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samuel/Documents/GitHub/MPI/data/"/>
    </mc:Choice>
  </mc:AlternateContent>
  <xr:revisionPtr revIDLastSave="0" documentId="13_ncr:1_{436ECAC4-F2F2-C24C-B635-7EC38D42C2E5}" xr6:coauthVersionLast="47" xr6:coauthVersionMax="47" xr10:uidLastSave="{00000000-0000-0000-0000-000000000000}"/>
  <bookViews>
    <workbookView xWindow="1000" yWindow="500" windowWidth="35040" windowHeight="19560" xr2:uid="{EC859667-7657-864A-893E-74DAD4037A95}"/>
  </bookViews>
  <sheets>
    <sheet name="mpi_dataset_summary_2017-2024" sheetId="1" r:id="rId1"/>
  </sheets>
  <definedNames>
    <definedName name="_xlnm._FilterDatabase" localSheetId="0" hidden="1">'mpi_dataset_summary_2017-2024'!$A$1:$T$1254</definedName>
    <definedName name="a">#REF!</definedName>
    <definedName name="CIQWBGuid" hidden="1">"11f8105d-b210-4855-8f15-ed38396691d9"</definedName>
    <definedName name="d">#REF!</definedName>
    <definedName name="_xlnm.Database">#REF!</definedName>
    <definedName name="Database2">#REF!</definedName>
    <definedName name="dwa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"05/17/2019 18:17:03"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Mining">#REF!</definedName>
    <definedName name="qryProjectSearch2">#REF!</definedName>
    <definedName name="qryProjectsSearch">#REF!</definedName>
    <definedName name="SearchFieldsMajorProjectsInventory">#REF!</definedName>
    <definedName name="SearchFieldsMajorProjectsInventory2">#REF!</definedName>
    <definedName name="Status">#REF!</definedName>
    <definedName name="Status_Ch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54" i="1" l="1"/>
  <c r="H1254" i="1"/>
  <c r="L1254" i="1"/>
  <c r="K1253" i="1"/>
  <c r="H1253" i="1"/>
  <c r="L1253" i="1"/>
  <c r="K1252" i="1"/>
  <c r="H1252" i="1"/>
  <c r="L1252" i="1"/>
  <c r="K1251" i="1"/>
  <c r="H1251" i="1"/>
  <c r="L1251" i="1"/>
  <c r="K1250" i="1"/>
  <c r="H1250" i="1"/>
  <c r="L1250" i="1"/>
  <c r="K1249" i="1"/>
  <c r="H1249" i="1"/>
  <c r="L1249" i="1"/>
  <c r="K1248" i="1"/>
  <c r="H1248" i="1"/>
  <c r="L1248" i="1"/>
  <c r="K1247" i="1"/>
  <c r="H1247" i="1"/>
  <c r="L1247" i="1"/>
  <c r="K1246" i="1"/>
  <c r="H1246" i="1"/>
  <c r="L1246" i="1"/>
  <c r="K1245" i="1"/>
  <c r="H1245" i="1"/>
  <c r="L1245" i="1"/>
  <c r="K1244" i="1"/>
  <c r="H1244" i="1"/>
  <c r="L1244" i="1"/>
  <c r="K1243" i="1"/>
  <c r="H1243" i="1"/>
  <c r="L1243" i="1"/>
  <c r="K1242" i="1"/>
  <c r="H1242" i="1"/>
  <c r="L1242" i="1"/>
  <c r="K1241" i="1"/>
  <c r="H1241" i="1"/>
  <c r="L1241" i="1"/>
  <c r="K1240" i="1"/>
  <c r="H1240" i="1"/>
  <c r="L1240" i="1"/>
  <c r="K1239" i="1"/>
  <c r="H1239" i="1"/>
  <c r="L1239" i="1"/>
  <c r="K1238" i="1"/>
  <c r="H1238" i="1"/>
  <c r="L1238" i="1"/>
  <c r="K1237" i="1"/>
  <c r="L1237" i="1"/>
  <c r="H1237" i="1"/>
  <c r="K1236" i="1"/>
  <c r="H1236" i="1"/>
  <c r="L1236" i="1"/>
  <c r="K1235" i="1"/>
  <c r="H1235" i="1"/>
  <c r="L1235" i="1"/>
  <c r="K1234" i="1"/>
  <c r="H1234" i="1"/>
  <c r="L1234" i="1"/>
  <c r="K1233" i="1"/>
  <c r="L1233" i="1"/>
  <c r="H1233" i="1"/>
  <c r="K1232" i="1"/>
  <c r="H1232" i="1"/>
  <c r="L1232" i="1"/>
  <c r="K1231" i="1"/>
  <c r="H1231" i="1"/>
  <c r="L1231" i="1"/>
  <c r="K1230" i="1"/>
  <c r="H1230" i="1"/>
  <c r="L1230" i="1"/>
  <c r="K1229" i="1"/>
  <c r="L1229" i="1"/>
  <c r="H1229" i="1"/>
  <c r="K1228" i="1"/>
  <c r="H1228" i="1"/>
  <c r="L1228" i="1"/>
  <c r="K1227" i="1"/>
  <c r="H1227" i="1"/>
  <c r="L1227" i="1"/>
  <c r="K1226" i="1"/>
  <c r="H1226" i="1"/>
  <c r="L1226" i="1"/>
  <c r="K1225" i="1"/>
  <c r="L1225" i="1"/>
  <c r="H1225" i="1"/>
  <c r="K1224" i="1"/>
  <c r="H1224" i="1"/>
  <c r="L1224" i="1"/>
  <c r="K1223" i="1"/>
  <c r="H1223" i="1"/>
  <c r="L1223" i="1"/>
  <c r="K1222" i="1"/>
  <c r="H1222" i="1"/>
  <c r="L1222" i="1"/>
  <c r="K1221" i="1"/>
  <c r="L1221" i="1"/>
  <c r="H1221" i="1"/>
  <c r="K1220" i="1"/>
  <c r="H1220" i="1"/>
  <c r="L1220" i="1"/>
  <c r="K1219" i="1"/>
  <c r="H1219" i="1"/>
  <c r="L1219" i="1"/>
  <c r="K1218" i="1"/>
  <c r="H1218" i="1"/>
  <c r="L1218" i="1"/>
  <c r="K1217" i="1"/>
  <c r="L1217" i="1"/>
  <c r="H1217" i="1"/>
  <c r="K1216" i="1"/>
  <c r="H1216" i="1"/>
  <c r="L1216" i="1"/>
  <c r="K1215" i="1"/>
  <c r="H1215" i="1"/>
  <c r="L1215" i="1"/>
  <c r="K1214" i="1"/>
  <c r="H1214" i="1"/>
  <c r="L1214" i="1"/>
  <c r="K1213" i="1"/>
  <c r="L1213" i="1"/>
  <c r="H1213" i="1"/>
  <c r="K1212" i="1"/>
  <c r="H1212" i="1"/>
  <c r="L1212" i="1"/>
  <c r="K1211" i="1"/>
  <c r="H1211" i="1"/>
  <c r="L1211" i="1"/>
  <c r="K1210" i="1"/>
  <c r="H1210" i="1"/>
  <c r="L1210" i="1"/>
  <c r="K1209" i="1"/>
  <c r="L1209" i="1"/>
  <c r="H1209" i="1"/>
  <c r="K1208" i="1"/>
  <c r="H1208" i="1"/>
  <c r="L1208" i="1"/>
  <c r="K1207" i="1"/>
  <c r="H1207" i="1"/>
  <c r="L1207" i="1"/>
  <c r="K1206" i="1"/>
  <c r="H1206" i="1"/>
  <c r="L1206" i="1"/>
  <c r="K1205" i="1"/>
  <c r="L1205" i="1"/>
  <c r="H1205" i="1"/>
  <c r="K1204" i="1"/>
  <c r="H1204" i="1"/>
  <c r="L1204" i="1"/>
  <c r="K1203" i="1"/>
  <c r="H1203" i="1"/>
  <c r="L1203" i="1"/>
  <c r="K1202" i="1"/>
  <c r="H1202" i="1"/>
  <c r="L1202" i="1"/>
  <c r="K1201" i="1"/>
  <c r="L1201" i="1"/>
  <c r="H1201" i="1"/>
  <c r="K1200" i="1"/>
  <c r="L1200" i="1"/>
  <c r="H1200" i="1"/>
  <c r="K1199" i="1"/>
  <c r="H1199" i="1"/>
  <c r="L1199" i="1"/>
  <c r="K1198" i="1"/>
  <c r="H1198" i="1"/>
  <c r="L1198" i="1"/>
  <c r="K1197" i="1"/>
  <c r="H1197" i="1"/>
  <c r="L1197" i="1"/>
  <c r="K1196" i="1"/>
  <c r="L1196" i="1"/>
  <c r="H1196" i="1"/>
  <c r="K1195" i="1"/>
  <c r="L1195" i="1"/>
  <c r="H1195" i="1"/>
  <c r="K1194" i="1"/>
  <c r="H1194" i="1"/>
  <c r="L1194" i="1"/>
  <c r="K1193" i="1"/>
  <c r="L1193" i="1"/>
  <c r="H1193" i="1"/>
  <c r="K1192" i="1"/>
  <c r="L1192" i="1"/>
  <c r="H1192" i="1"/>
  <c r="K1191" i="1"/>
  <c r="H1191" i="1"/>
  <c r="L1191" i="1"/>
  <c r="K1190" i="1"/>
  <c r="H1190" i="1"/>
  <c r="L1190" i="1"/>
  <c r="K1189" i="1"/>
  <c r="H1189" i="1"/>
  <c r="L1189" i="1"/>
  <c r="L1188" i="1"/>
  <c r="K1188" i="1"/>
  <c r="H1188" i="1"/>
  <c r="K1187" i="1"/>
  <c r="L1187" i="1"/>
  <c r="H1187" i="1"/>
  <c r="K1186" i="1"/>
  <c r="H1186" i="1"/>
  <c r="L1186" i="1"/>
  <c r="K1185" i="1"/>
  <c r="L1185" i="1"/>
  <c r="H1185" i="1"/>
  <c r="K1184" i="1"/>
  <c r="L1184" i="1"/>
  <c r="H1184" i="1"/>
  <c r="K1183" i="1"/>
  <c r="H1183" i="1"/>
  <c r="L1183" i="1"/>
  <c r="K1182" i="1"/>
  <c r="L1182" i="1"/>
  <c r="H1182" i="1"/>
  <c r="K1181" i="1"/>
  <c r="H1181" i="1"/>
  <c r="L1181" i="1"/>
  <c r="K1180" i="1"/>
  <c r="L1180" i="1"/>
  <c r="H1180" i="1"/>
  <c r="K1179" i="1"/>
  <c r="L1179" i="1"/>
  <c r="H1179" i="1"/>
  <c r="K1178" i="1"/>
  <c r="H1178" i="1"/>
  <c r="L1178" i="1"/>
  <c r="K1177" i="1"/>
  <c r="L1177" i="1"/>
  <c r="H1177" i="1"/>
  <c r="K1176" i="1"/>
  <c r="L1176" i="1"/>
  <c r="H1176" i="1"/>
  <c r="K1175" i="1"/>
  <c r="H1175" i="1"/>
  <c r="L1175" i="1"/>
  <c r="K1174" i="1"/>
  <c r="L1174" i="1"/>
  <c r="H1174" i="1"/>
  <c r="K1173" i="1"/>
  <c r="L1173" i="1"/>
  <c r="H1173" i="1"/>
  <c r="K1172" i="1"/>
  <c r="H1172" i="1"/>
  <c r="L1172" i="1"/>
  <c r="L1171" i="1"/>
  <c r="K1171" i="1"/>
  <c r="H1171" i="1"/>
  <c r="K1170" i="1"/>
  <c r="H1170" i="1"/>
  <c r="L1170" i="1"/>
  <c r="K1169" i="1"/>
  <c r="L1169" i="1"/>
  <c r="H1169" i="1"/>
  <c r="K1168" i="1"/>
  <c r="H1168" i="1"/>
  <c r="L1168" i="1"/>
  <c r="K1167" i="1"/>
  <c r="H1167" i="1"/>
  <c r="L1167" i="1"/>
  <c r="K1166" i="1"/>
  <c r="L1166" i="1"/>
  <c r="H1166" i="1"/>
  <c r="K1165" i="1"/>
  <c r="L1165" i="1"/>
  <c r="H1165" i="1"/>
  <c r="K1164" i="1"/>
  <c r="H1164" i="1"/>
  <c r="L1164" i="1"/>
  <c r="L1163" i="1"/>
  <c r="K1163" i="1"/>
  <c r="H1163" i="1"/>
  <c r="K1162" i="1"/>
  <c r="H1162" i="1"/>
  <c r="L1162" i="1"/>
  <c r="K1161" i="1"/>
  <c r="L1161" i="1"/>
  <c r="H1161" i="1"/>
  <c r="K1160" i="1"/>
  <c r="H1160" i="1"/>
  <c r="L1160" i="1"/>
  <c r="K1159" i="1"/>
  <c r="H1159" i="1"/>
  <c r="L1159" i="1"/>
  <c r="K1158" i="1"/>
  <c r="L1158" i="1"/>
  <c r="H1158" i="1"/>
  <c r="K1157" i="1"/>
  <c r="L1157" i="1"/>
  <c r="H1157" i="1"/>
  <c r="K1156" i="1"/>
  <c r="H1156" i="1"/>
  <c r="L1156" i="1"/>
  <c r="L1155" i="1"/>
  <c r="K1155" i="1"/>
  <c r="H1155" i="1"/>
  <c r="K1154" i="1"/>
  <c r="H1154" i="1"/>
  <c r="L1154" i="1"/>
  <c r="K1153" i="1"/>
  <c r="L1153" i="1"/>
  <c r="H1153" i="1"/>
  <c r="K1152" i="1"/>
  <c r="H1152" i="1"/>
  <c r="L1152" i="1"/>
  <c r="K1151" i="1"/>
  <c r="H1151" i="1"/>
  <c r="L1151" i="1"/>
  <c r="L1150" i="1"/>
  <c r="K1150" i="1"/>
  <c r="H1150" i="1"/>
  <c r="K1149" i="1"/>
  <c r="L1149" i="1"/>
  <c r="H1149" i="1"/>
  <c r="K1148" i="1"/>
  <c r="H1148" i="1"/>
  <c r="L1148" i="1"/>
  <c r="K1147" i="1"/>
  <c r="H1147" i="1"/>
  <c r="L1147" i="1"/>
  <c r="K1146" i="1"/>
  <c r="H1146" i="1"/>
  <c r="L1146" i="1"/>
  <c r="K1145" i="1"/>
  <c r="L1145" i="1"/>
  <c r="H1145" i="1"/>
  <c r="K1144" i="1"/>
  <c r="H1144" i="1"/>
  <c r="L1144" i="1"/>
  <c r="K1143" i="1"/>
  <c r="H1143" i="1"/>
  <c r="L1143" i="1"/>
  <c r="K1142" i="1"/>
  <c r="L1142" i="1"/>
  <c r="H1142" i="1"/>
  <c r="K1141" i="1"/>
  <c r="H1141" i="1"/>
  <c r="L1141" i="1"/>
  <c r="K1140" i="1"/>
  <c r="H1140" i="1"/>
  <c r="L1140" i="1"/>
  <c r="K1139" i="1"/>
  <c r="H1139" i="1"/>
  <c r="L1139" i="1"/>
  <c r="K1138" i="1"/>
  <c r="L1138" i="1"/>
  <c r="H1138" i="1"/>
  <c r="K1137" i="1"/>
  <c r="H1137" i="1"/>
  <c r="L1137" i="1"/>
  <c r="K1136" i="1"/>
  <c r="H1136" i="1"/>
  <c r="L1136" i="1"/>
  <c r="K1135" i="1"/>
  <c r="H1135" i="1"/>
  <c r="L1135" i="1"/>
  <c r="K1134" i="1"/>
  <c r="L1134" i="1"/>
  <c r="H1134" i="1"/>
  <c r="K1133" i="1"/>
  <c r="H1133" i="1"/>
  <c r="L1133" i="1"/>
  <c r="K1132" i="1"/>
  <c r="H1132" i="1"/>
  <c r="L1132" i="1"/>
  <c r="K1131" i="1"/>
  <c r="H1131" i="1"/>
  <c r="L1131" i="1"/>
  <c r="K1130" i="1"/>
  <c r="L1130" i="1"/>
  <c r="H1130" i="1"/>
  <c r="K1129" i="1"/>
  <c r="H1129" i="1"/>
  <c r="L1129" i="1"/>
  <c r="K1128" i="1"/>
  <c r="H1128" i="1"/>
  <c r="L1128" i="1"/>
  <c r="K1127" i="1"/>
  <c r="H1127" i="1"/>
  <c r="L1127" i="1"/>
  <c r="K1126" i="1"/>
  <c r="L1126" i="1"/>
  <c r="H1126" i="1"/>
  <c r="K1125" i="1"/>
  <c r="H1125" i="1"/>
  <c r="L1125" i="1"/>
  <c r="K1124" i="1"/>
  <c r="H1124" i="1"/>
  <c r="L1124" i="1"/>
  <c r="K1123" i="1"/>
  <c r="H1123" i="1"/>
  <c r="L1123" i="1"/>
  <c r="K1122" i="1"/>
  <c r="L1122" i="1"/>
  <c r="H1122" i="1"/>
  <c r="K1121" i="1"/>
  <c r="H1121" i="1"/>
  <c r="L1121" i="1"/>
  <c r="K1120" i="1"/>
  <c r="H1120" i="1"/>
  <c r="L1120" i="1"/>
  <c r="K1119" i="1"/>
  <c r="H1119" i="1"/>
  <c r="L1119" i="1"/>
  <c r="K1118" i="1"/>
  <c r="L1118" i="1"/>
  <c r="H1118" i="1"/>
  <c r="L1117" i="1"/>
  <c r="K1117" i="1"/>
  <c r="H1117" i="1"/>
  <c r="K1116" i="1"/>
  <c r="H1116" i="1"/>
  <c r="L1116" i="1"/>
  <c r="K1115" i="1"/>
  <c r="H1115" i="1"/>
  <c r="L1115" i="1"/>
  <c r="K1114" i="1"/>
  <c r="H1114" i="1"/>
  <c r="L1114" i="1"/>
  <c r="K1113" i="1"/>
  <c r="H1113" i="1"/>
  <c r="L1113" i="1"/>
  <c r="K1112" i="1"/>
  <c r="L1112" i="1"/>
  <c r="H1112" i="1"/>
  <c r="K1111" i="1"/>
  <c r="H1111" i="1"/>
  <c r="L1111" i="1"/>
  <c r="K1110" i="1"/>
  <c r="L1110" i="1"/>
  <c r="H1110" i="1"/>
  <c r="K1109" i="1"/>
  <c r="H1109" i="1"/>
  <c r="L1109" i="1"/>
  <c r="L1108" i="1"/>
  <c r="K1108" i="1"/>
  <c r="H1108" i="1"/>
  <c r="K1107" i="1"/>
  <c r="L1107" i="1"/>
  <c r="H1107" i="1"/>
  <c r="K1106" i="1"/>
  <c r="H1106" i="1"/>
  <c r="L1106" i="1"/>
  <c r="K1105" i="1"/>
  <c r="H1105" i="1"/>
  <c r="L1105" i="1"/>
  <c r="K1104" i="1"/>
  <c r="H1104" i="1"/>
  <c r="L1104" i="1"/>
  <c r="K1103" i="1"/>
  <c r="L1103" i="1"/>
  <c r="H1103" i="1"/>
  <c r="K1102" i="1"/>
  <c r="L1102" i="1"/>
  <c r="H1102" i="1"/>
  <c r="K1101" i="1"/>
  <c r="H1101" i="1"/>
  <c r="L1101" i="1"/>
  <c r="K1100" i="1"/>
  <c r="H1100" i="1"/>
  <c r="L1100" i="1"/>
  <c r="L1099" i="1"/>
  <c r="K1099" i="1"/>
  <c r="H1099" i="1"/>
  <c r="K1098" i="1"/>
  <c r="L1098" i="1"/>
  <c r="H1098" i="1"/>
  <c r="L1097" i="1"/>
  <c r="K1097" i="1"/>
  <c r="H1097" i="1"/>
  <c r="K1096" i="1"/>
  <c r="L1096" i="1"/>
  <c r="H1096" i="1"/>
  <c r="K1095" i="1"/>
  <c r="H1095" i="1"/>
  <c r="L1095" i="1"/>
  <c r="K1094" i="1"/>
  <c r="L1094" i="1"/>
  <c r="H1094" i="1"/>
  <c r="K1093" i="1"/>
  <c r="H1093" i="1"/>
  <c r="L1093" i="1"/>
  <c r="L1092" i="1"/>
  <c r="K1092" i="1"/>
  <c r="H1092" i="1"/>
  <c r="K1091" i="1"/>
  <c r="L1091" i="1"/>
  <c r="H1091" i="1"/>
  <c r="K1090" i="1"/>
  <c r="H1090" i="1"/>
  <c r="L1090" i="1"/>
  <c r="K1089" i="1"/>
  <c r="H1089" i="1"/>
  <c r="L1089" i="1"/>
  <c r="K1088" i="1"/>
  <c r="H1088" i="1"/>
  <c r="L1088" i="1"/>
  <c r="K1087" i="1"/>
  <c r="L1087" i="1"/>
  <c r="H1087" i="1"/>
  <c r="K1086" i="1"/>
  <c r="H1086" i="1"/>
  <c r="L1086" i="1"/>
  <c r="K1085" i="1"/>
  <c r="H1085" i="1"/>
  <c r="L1085" i="1"/>
  <c r="K1084" i="1"/>
  <c r="H1084" i="1"/>
  <c r="L1084" i="1"/>
  <c r="L1083" i="1"/>
  <c r="K1083" i="1"/>
  <c r="H1083" i="1"/>
  <c r="K1082" i="1"/>
  <c r="L1082" i="1"/>
  <c r="H1082" i="1"/>
  <c r="L1081" i="1"/>
  <c r="K1081" i="1"/>
  <c r="H1081" i="1"/>
  <c r="K1080" i="1"/>
  <c r="L1080" i="1"/>
  <c r="H1080" i="1"/>
  <c r="K1079" i="1"/>
  <c r="H1079" i="1"/>
  <c r="L1079" i="1"/>
  <c r="K1078" i="1"/>
  <c r="H1078" i="1"/>
  <c r="L1078" i="1"/>
  <c r="K1077" i="1"/>
  <c r="L1077" i="1"/>
  <c r="H1077" i="1"/>
  <c r="L1076" i="1"/>
  <c r="K1076" i="1"/>
  <c r="H1076" i="1"/>
  <c r="K1075" i="1"/>
  <c r="L1075" i="1"/>
  <c r="H1075" i="1"/>
  <c r="K1074" i="1"/>
  <c r="H1074" i="1"/>
  <c r="L1074" i="1"/>
  <c r="K1073" i="1"/>
  <c r="H1073" i="1"/>
  <c r="L1073" i="1"/>
  <c r="K1072" i="1"/>
  <c r="H1072" i="1"/>
  <c r="L1072" i="1"/>
  <c r="K1071" i="1"/>
  <c r="L1071" i="1"/>
  <c r="H1071" i="1"/>
  <c r="K1070" i="1"/>
  <c r="H1070" i="1"/>
  <c r="L1070" i="1"/>
  <c r="K1069" i="1"/>
  <c r="H1069" i="1"/>
  <c r="L1069" i="1"/>
  <c r="K1068" i="1"/>
  <c r="H1068" i="1"/>
  <c r="L1068" i="1"/>
  <c r="L1067" i="1"/>
  <c r="K1067" i="1"/>
  <c r="H1067" i="1"/>
  <c r="K1066" i="1"/>
  <c r="L1066" i="1"/>
  <c r="H1066" i="1"/>
  <c r="K1065" i="1"/>
  <c r="H1065" i="1"/>
  <c r="L1065" i="1"/>
  <c r="L1064" i="1"/>
  <c r="K1064" i="1"/>
  <c r="H1064" i="1"/>
  <c r="L1063" i="1"/>
  <c r="K1063" i="1"/>
  <c r="H1063" i="1"/>
  <c r="K1062" i="1"/>
  <c r="H1062" i="1"/>
  <c r="L1062" i="1"/>
  <c r="K1061" i="1"/>
  <c r="H1061" i="1"/>
  <c r="L1061" i="1"/>
  <c r="K1060" i="1"/>
  <c r="H1060" i="1"/>
  <c r="L1060" i="1"/>
  <c r="K1059" i="1"/>
  <c r="H1059" i="1"/>
  <c r="L1059" i="1"/>
  <c r="K1058" i="1"/>
  <c r="L1058" i="1"/>
  <c r="H1058" i="1"/>
  <c r="K1057" i="1"/>
  <c r="H1057" i="1"/>
  <c r="L1057" i="1"/>
  <c r="K1056" i="1"/>
  <c r="H1056" i="1"/>
  <c r="L1056" i="1"/>
  <c r="K1055" i="1"/>
  <c r="L1055" i="1"/>
  <c r="H1055" i="1"/>
  <c r="K1054" i="1"/>
  <c r="L1054" i="1"/>
  <c r="H1054" i="1"/>
  <c r="K1053" i="1"/>
  <c r="L1053" i="1"/>
  <c r="H1053" i="1"/>
  <c r="K1052" i="1"/>
  <c r="L1052" i="1"/>
  <c r="H1052" i="1"/>
  <c r="K1051" i="1"/>
  <c r="L1051" i="1"/>
  <c r="H1051" i="1"/>
  <c r="K1050" i="1"/>
  <c r="H1050" i="1"/>
  <c r="L1050" i="1"/>
  <c r="K1049" i="1"/>
  <c r="H1049" i="1"/>
  <c r="L1049" i="1"/>
  <c r="K1048" i="1"/>
  <c r="H1048" i="1"/>
  <c r="L1048" i="1"/>
  <c r="L1047" i="1"/>
  <c r="K1047" i="1"/>
  <c r="H1047" i="1"/>
  <c r="K1046" i="1"/>
  <c r="L1046" i="1"/>
  <c r="H1046" i="1"/>
  <c r="K1045" i="1"/>
  <c r="H1045" i="1"/>
  <c r="L1045" i="1"/>
  <c r="K1044" i="1"/>
  <c r="L1044" i="1"/>
  <c r="H1044" i="1"/>
  <c r="K1043" i="1"/>
  <c r="L1043" i="1"/>
  <c r="H1043" i="1"/>
  <c r="K1042" i="1"/>
  <c r="L1042" i="1"/>
  <c r="H1042" i="1"/>
  <c r="K1041" i="1"/>
  <c r="H1041" i="1"/>
  <c r="L1041" i="1"/>
  <c r="K1040" i="1"/>
  <c r="H1040" i="1"/>
  <c r="L1040" i="1"/>
  <c r="K1039" i="1"/>
  <c r="L1039" i="1"/>
  <c r="H1039" i="1"/>
  <c r="K1038" i="1"/>
  <c r="L1038" i="1"/>
  <c r="H1038" i="1"/>
  <c r="K1037" i="1"/>
  <c r="L1037" i="1"/>
  <c r="H1037" i="1"/>
  <c r="K1036" i="1"/>
  <c r="H1036" i="1"/>
  <c r="L1036" i="1"/>
  <c r="K1035" i="1"/>
  <c r="L1035" i="1"/>
  <c r="H1035" i="1"/>
  <c r="K1034" i="1"/>
  <c r="H1034" i="1"/>
  <c r="L1034" i="1"/>
  <c r="K1033" i="1"/>
  <c r="H1033" i="1"/>
  <c r="L1033" i="1"/>
  <c r="K1032" i="1"/>
  <c r="H1032" i="1"/>
  <c r="L1032" i="1"/>
  <c r="K1031" i="1"/>
  <c r="H1031" i="1"/>
  <c r="L1031" i="1"/>
  <c r="K1030" i="1"/>
  <c r="L1030" i="1"/>
  <c r="H1030" i="1"/>
  <c r="K1029" i="1"/>
  <c r="H1029" i="1"/>
  <c r="L1029" i="1"/>
  <c r="K1028" i="1"/>
  <c r="H1028" i="1"/>
  <c r="L1028" i="1"/>
  <c r="K1027" i="1"/>
  <c r="L1027" i="1"/>
  <c r="H1027" i="1"/>
  <c r="K1026" i="1"/>
  <c r="H1026" i="1"/>
  <c r="L1026" i="1"/>
  <c r="K1025" i="1"/>
  <c r="H1025" i="1"/>
  <c r="L1025" i="1"/>
  <c r="K1024" i="1"/>
  <c r="H1024" i="1"/>
  <c r="L1024" i="1"/>
  <c r="K1023" i="1"/>
  <c r="L1023" i="1"/>
  <c r="H1023" i="1"/>
  <c r="K1022" i="1"/>
  <c r="L1022" i="1"/>
  <c r="H1022" i="1"/>
  <c r="L1021" i="1"/>
  <c r="K1021" i="1"/>
  <c r="H1021" i="1"/>
  <c r="K1020" i="1"/>
  <c r="H1020" i="1"/>
  <c r="L1020" i="1"/>
  <c r="K1019" i="1"/>
  <c r="H1019" i="1"/>
  <c r="L1019" i="1"/>
  <c r="K1018" i="1"/>
  <c r="L1018" i="1"/>
  <c r="H1018" i="1"/>
  <c r="K1017" i="1"/>
  <c r="H1017" i="1"/>
  <c r="L1017" i="1"/>
  <c r="K1016" i="1"/>
  <c r="H1016" i="1"/>
  <c r="L1016" i="1"/>
  <c r="K1015" i="1"/>
  <c r="H1015" i="1"/>
  <c r="L1015" i="1"/>
  <c r="K1014" i="1"/>
  <c r="L1014" i="1"/>
  <c r="H1014" i="1"/>
  <c r="K1013" i="1"/>
  <c r="H1013" i="1"/>
  <c r="L1013" i="1"/>
  <c r="K1012" i="1"/>
  <c r="H1012" i="1"/>
  <c r="L1012" i="1"/>
  <c r="K1011" i="1"/>
  <c r="H1011" i="1"/>
  <c r="L1011" i="1"/>
  <c r="K1010" i="1"/>
  <c r="L1010" i="1"/>
  <c r="H1010" i="1"/>
  <c r="K1009" i="1"/>
  <c r="H1009" i="1"/>
  <c r="L1009" i="1"/>
  <c r="K1008" i="1"/>
  <c r="H1008" i="1"/>
  <c r="L1008" i="1"/>
  <c r="K1007" i="1"/>
  <c r="H1007" i="1"/>
  <c r="L1007" i="1"/>
  <c r="K1006" i="1"/>
  <c r="L1006" i="1"/>
  <c r="H1006" i="1"/>
  <c r="K1005" i="1"/>
  <c r="H1005" i="1"/>
  <c r="L1005" i="1"/>
  <c r="K1004" i="1"/>
  <c r="H1004" i="1"/>
  <c r="L1004" i="1"/>
  <c r="K1003" i="1"/>
  <c r="L1003" i="1"/>
  <c r="H1003" i="1"/>
  <c r="K1002" i="1"/>
  <c r="H1002" i="1"/>
  <c r="L1002" i="1"/>
  <c r="K1001" i="1"/>
  <c r="H1001" i="1"/>
  <c r="L1001" i="1"/>
  <c r="K1000" i="1"/>
  <c r="H1000" i="1"/>
  <c r="L1000" i="1"/>
  <c r="K999" i="1"/>
  <c r="H999" i="1"/>
  <c r="L999" i="1"/>
  <c r="K998" i="1"/>
  <c r="H998" i="1"/>
  <c r="L998" i="1"/>
  <c r="K997" i="1"/>
  <c r="H997" i="1"/>
  <c r="L997" i="1"/>
  <c r="K996" i="1"/>
  <c r="H996" i="1"/>
  <c r="L996" i="1"/>
  <c r="K995" i="1"/>
  <c r="L995" i="1"/>
  <c r="H995" i="1"/>
  <c r="K994" i="1"/>
  <c r="L994" i="1"/>
  <c r="H994" i="1"/>
  <c r="K993" i="1"/>
  <c r="L993" i="1"/>
  <c r="H993" i="1"/>
  <c r="K992" i="1"/>
  <c r="H992" i="1"/>
  <c r="L992" i="1"/>
  <c r="K991" i="1"/>
  <c r="L991" i="1"/>
  <c r="H991" i="1"/>
  <c r="K990" i="1"/>
  <c r="L990" i="1"/>
  <c r="H990" i="1"/>
  <c r="K989" i="1"/>
  <c r="L989" i="1"/>
  <c r="H989" i="1"/>
  <c r="K988" i="1"/>
  <c r="H988" i="1"/>
  <c r="L988" i="1"/>
  <c r="K987" i="1"/>
  <c r="L987" i="1"/>
  <c r="H987" i="1"/>
  <c r="K986" i="1"/>
  <c r="H986" i="1"/>
  <c r="L986" i="1"/>
  <c r="K985" i="1"/>
  <c r="L985" i="1"/>
  <c r="H985" i="1"/>
  <c r="K984" i="1"/>
  <c r="H984" i="1"/>
  <c r="L984" i="1"/>
  <c r="K983" i="1"/>
  <c r="L983" i="1"/>
  <c r="H983" i="1"/>
  <c r="K982" i="1"/>
  <c r="H982" i="1"/>
  <c r="L982" i="1"/>
  <c r="K981" i="1"/>
  <c r="L981" i="1"/>
  <c r="H981" i="1"/>
  <c r="K980" i="1"/>
  <c r="H980" i="1"/>
  <c r="L980" i="1"/>
  <c r="K979" i="1"/>
  <c r="L979" i="1"/>
  <c r="H979" i="1"/>
  <c r="K978" i="1"/>
  <c r="H978" i="1"/>
  <c r="L978" i="1"/>
  <c r="K977" i="1"/>
  <c r="L977" i="1"/>
  <c r="H977" i="1"/>
  <c r="K976" i="1"/>
  <c r="H976" i="1"/>
  <c r="L976" i="1"/>
  <c r="K975" i="1"/>
  <c r="L975" i="1"/>
  <c r="H975" i="1"/>
  <c r="K974" i="1"/>
  <c r="H974" i="1"/>
  <c r="L974" i="1"/>
  <c r="K973" i="1"/>
  <c r="L973" i="1"/>
  <c r="H973" i="1"/>
  <c r="K972" i="1"/>
  <c r="H972" i="1"/>
  <c r="L972" i="1"/>
  <c r="K971" i="1"/>
  <c r="L971" i="1"/>
  <c r="H971" i="1"/>
  <c r="K970" i="1"/>
  <c r="H970" i="1"/>
  <c r="L970" i="1"/>
  <c r="K969" i="1"/>
  <c r="L969" i="1"/>
  <c r="H969" i="1"/>
  <c r="K968" i="1"/>
  <c r="H968" i="1"/>
  <c r="L968" i="1"/>
  <c r="K967" i="1"/>
  <c r="L967" i="1"/>
  <c r="H967" i="1"/>
  <c r="K966" i="1"/>
  <c r="H966" i="1"/>
  <c r="L966" i="1"/>
  <c r="K965" i="1"/>
  <c r="L965" i="1"/>
  <c r="H965" i="1"/>
  <c r="K964" i="1"/>
  <c r="H964" i="1"/>
  <c r="L964" i="1"/>
  <c r="K963" i="1"/>
  <c r="L963" i="1"/>
  <c r="H963" i="1"/>
  <c r="K962" i="1"/>
  <c r="H962" i="1"/>
  <c r="L962" i="1"/>
  <c r="K961" i="1"/>
  <c r="L961" i="1"/>
  <c r="H961" i="1"/>
  <c r="K960" i="1"/>
  <c r="H960" i="1"/>
  <c r="L960" i="1"/>
  <c r="K959" i="1"/>
  <c r="L959" i="1"/>
  <c r="H959" i="1"/>
  <c r="K958" i="1"/>
  <c r="H958" i="1"/>
  <c r="L958" i="1"/>
  <c r="K957" i="1"/>
  <c r="L957" i="1"/>
  <c r="H957" i="1"/>
  <c r="K956" i="1"/>
  <c r="H956" i="1"/>
  <c r="L956" i="1"/>
  <c r="K955" i="1"/>
  <c r="L955" i="1"/>
  <c r="H955" i="1"/>
  <c r="K954" i="1"/>
  <c r="H954" i="1"/>
  <c r="L954" i="1"/>
  <c r="K953" i="1"/>
  <c r="L953" i="1"/>
  <c r="H953" i="1"/>
  <c r="K952" i="1"/>
  <c r="H952" i="1"/>
  <c r="L952" i="1"/>
  <c r="K951" i="1"/>
  <c r="L951" i="1"/>
  <c r="H951" i="1"/>
  <c r="K950" i="1"/>
  <c r="H950" i="1"/>
  <c r="L950" i="1"/>
  <c r="K949" i="1"/>
  <c r="L949" i="1"/>
  <c r="H949" i="1"/>
  <c r="K948" i="1"/>
  <c r="H948" i="1"/>
  <c r="L948" i="1"/>
  <c r="K947" i="1"/>
  <c r="L947" i="1"/>
  <c r="H947" i="1"/>
  <c r="K946" i="1"/>
  <c r="H946" i="1"/>
  <c r="L946" i="1"/>
  <c r="K945" i="1"/>
  <c r="L945" i="1"/>
  <c r="H945" i="1"/>
  <c r="K944" i="1"/>
  <c r="H944" i="1"/>
  <c r="L944" i="1"/>
  <c r="K943" i="1"/>
  <c r="L943" i="1"/>
  <c r="H943" i="1"/>
  <c r="K942" i="1"/>
  <c r="H942" i="1"/>
  <c r="L942" i="1"/>
  <c r="K941" i="1"/>
  <c r="L941" i="1"/>
  <c r="H941" i="1"/>
  <c r="K940" i="1"/>
  <c r="H940" i="1"/>
  <c r="L940" i="1"/>
  <c r="K939" i="1"/>
  <c r="L939" i="1"/>
  <c r="H939" i="1"/>
  <c r="K938" i="1"/>
  <c r="H938" i="1"/>
  <c r="L938" i="1"/>
  <c r="K937" i="1"/>
  <c r="L937" i="1"/>
  <c r="H937" i="1"/>
  <c r="K936" i="1"/>
  <c r="H936" i="1"/>
  <c r="L936" i="1"/>
  <c r="K935" i="1"/>
  <c r="L935" i="1"/>
  <c r="H935" i="1"/>
  <c r="K934" i="1"/>
  <c r="H934" i="1"/>
  <c r="L934" i="1"/>
  <c r="K933" i="1"/>
  <c r="L933" i="1"/>
  <c r="H933" i="1"/>
  <c r="K932" i="1"/>
  <c r="H932" i="1"/>
  <c r="L932" i="1"/>
  <c r="K931" i="1"/>
  <c r="L931" i="1"/>
  <c r="H931" i="1"/>
  <c r="K930" i="1"/>
  <c r="H930" i="1"/>
  <c r="L930" i="1"/>
  <c r="K929" i="1"/>
  <c r="L929" i="1"/>
  <c r="H929" i="1"/>
  <c r="K928" i="1"/>
  <c r="H928" i="1"/>
  <c r="L928" i="1"/>
  <c r="K927" i="1"/>
  <c r="L927" i="1"/>
  <c r="H927" i="1"/>
  <c r="K926" i="1"/>
  <c r="H926" i="1"/>
  <c r="L926" i="1"/>
  <c r="K925" i="1"/>
  <c r="L925" i="1"/>
  <c r="H925" i="1"/>
  <c r="K924" i="1"/>
  <c r="H924" i="1"/>
  <c r="L924" i="1"/>
  <c r="K923" i="1"/>
  <c r="L923" i="1"/>
  <c r="H923" i="1"/>
  <c r="K922" i="1"/>
  <c r="H922" i="1"/>
  <c r="L922" i="1"/>
  <c r="K921" i="1"/>
  <c r="L921" i="1"/>
  <c r="H921" i="1"/>
  <c r="K920" i="1"/>
  <c r="H920" i="1"/>
  <c r="L920" i="1"/>
  <c r="K919" i="1"/>
  <c r="L919" i="1"/>
  <c r="H919" i="1"/>
  <c r="K918" i="1"/>
  <c r="H918" i="1"/>
  <c r="L918" i="1"/>
  <c r="K917" i="1"/>
  <c r="L917" i="1"/>
  <c r="H917" i="1"/>
  <c r="K916" i="1"/>
  <c r="H916" i="1"/>
  <c r="L916" i="1"/>
  <c r="K915" i="1"/>
  <c r="L915" i="1"/>
  <c r="H915" i="1"/>
  <c r="K914" i="1"/>
  <c r="H914" i="1"/>
  <c r="L914" i="1"/>
  <c r="K913" i="1"/>
  <c r="L913" i="1"/>
  <c r="H913" i="1"/>
  <c r="K912" i="1"/>
  <c r="H912" i="1"/>
  <c r="L912" i="1"/>
  <c r="K911" i="1"/>
  <c r="L911" i="1"/>
  <c r="H911" i="1"/>
  <c r="K910" i="1"/>
  <c r="H910" i="1"/>
  <c r="L910" i="1"/>
  <c r="K909" i="1"/>
  <c r="L909" i="1"/>
  <c r="H909" i="1"/>
  <c r="K908" i="1"/>
  <c r="H908" i="1"/>
  <c r="L908" i="1"/>
  <c r="K907" i="1"/>
  <c r="L907" i="1"/>
  <c r="H907" i="1"/>
  <c r="K906" i="1"/>
  <c r="H906" i="1"/>
  <c r="L906" i="1"/>
  <c r="K905" i="1"/>
  <c r="L905" i="1"/>
  <c r="H905" i="1"/>
  <c r="K904" i="1"/>
  <c r="H904" i="1"/>
  <c r="L904" i="1"/>
  <c r="K903" i="1"/>
  <c r="H903" i="1"/>
  <c r="L903" i="1"/>
  <c r="K902" i="1"/>
  <c r="H902" i="1"/>
  <c r="L902" i="1"/>
  <c r="K901" i="1"/>
  <c r="L901" i="1"/>
  <c r="H901" i="1"/>
  <c r="L900" i="1"/>
  <c r="K900" i="1"/>
  <c r="H900" i="1"/>
  <c r="K899" i="1"/>
  <c r="L899" i="1"/>
  <c r="H899" i="1"/>
  <c r="K898" i="1"/>
  <c r="H898" i="1"/>
  <c r="L898" i="1"/>
  <c r="K897" i="1"/>
  <c r="H897" i="1"/>
  <c r="L897" i="1"/>
  <c r="K896" i="1"/>
  <c r="H896" i="1"/>
  <c r="L896" i="1"/>
  <c r="K895" i="1"/>
  <c r="L895" i="1"/>
  <c r="H895" i="1"/>
  <c r="K894" i="1"/>
  <c r="L894" i="1"/>
  <c r="H894" i="1"/>
  <c r="K893" i="1"/>
  <c r="H893" i="1"/>
  <c r="L893" i="1"/>
  <c r="K892" i="1"/>
  <c r="H892" i="1"/>
  <c r="L892" i="1"/>
  <c r="L891" i="1"/>
  <c r="K891" i="1"/>
  <c r="H891" i="1"/>
  <c r="K890" i="1"/>
  <c r="L890" i="1"/>
  <c r="H890" i="1"/>
  <c r="L889" i="1"/>
  <c r="K889" i="1"/>
  <c r="H889" i="1"/>
  <c r="K888" i="1"/>
  <c r="L888" i="1"/>
  <c r="H888" i="1"/>
  <c r="K887" i="1"/>
  <c r="H887" i="1"/>
  <c r="L887" i="1"/>
  <c r="K886" i="1"/>
  <c r="L886" i="1"/>
  <c r="H886" i="1"/>
  <c r="K885" i="1"/>
  <c r="H885" i="1"/>
  <c r="L885" i="1"/>
  <c r="L884" i="1"/>
  <c r="K884" i="1"/>
  <c r="H884" i="1"/>
  <c r="K883" i="1"/>
  <c r="L883" i="1"/>
  <c r="H883" i="1"/>
  <c r="K882" i="1"/>
  <c r="H882" i="1"/>
  <c r="L882" i="1"/>
  <c r="K881" i="1"/>
  <c r="H881" i="1"/>
  <c r="L881" i="1"/>
  <c r="K880" i="1"/>
  <c r="H880" i="1"/>
  <c r="L880" i="1"/>
  <c r="K879" i="1"/>
  <c r="L879" i="1"/>
  <c r="H879" i="1"/>
  <c r="K878" i="1"/>
  <c r="L878" i="1"/>
  <c r="H878" i="1"/>
  <c r="K877" i="1"/>
  <c r="H877" i="1"/>
  <c r="L877" i="1"/>
  <c r="K876" i="1"/>
  <c r="H876" i="1"/>
  <c r="L876" i="1"/>
  <c r="L875" i="1"/>
  <c r="K875" i="1"/>
  <c r="H875" i="1"/>
  <c r="K874" i="1"/>
  <c r="L874" i="1"/>
  <c r="H874" i="1"/>
  <c r="L873" i="1"/>
  <c r="K873" i="1"/>
  <c r="H873" i="1"/>
  <c r="K872" i="1"/>
  <c r="L872" i="1"/>
  <c r="H872" i="1"/>
  <c r="K871" i="1"/>
  <c r="H871" i="1"/>
  <c r="L871" i="1"/>
  <c r="K870" i="1"/>
  <c r="L870" i="1"/>
  <c r="H870" i="1"/>
  <c r="K869" i="1"/>
  <c r="H869" i="1"/>
  <c r="L869" i="1"/>
  <c r="L868" i="1"/>
  <c r="K868" i="1"/>
  <c r="H868" i="1"/>
  <c r="K867" i="1"/>
  <c r="L867" i="1"/>
  <c r="H867" i="1"/>
  <c r="K866" i="1"/>
  <c r="H866" i="1"/>
  <c r="L866" i="1"/>
  <c r="K865" i="1"/>
  <c r="L865" i="1"/>
  <c r="H865" i="1"/>
  <c r="K864" i="1"/>
  <c r="H864" i="1"/>
  <c r="L864" i="1"/>
  <c r="K863" i="1"/>
  <c r="L863" i="1"/>
  <c r="H863" i="1"/>
  <c r="K862" i="1"/>
  <c r="L862" i="1"/>
  <c r="H862" i="1"/>
  <c r="K861" i="1"/>
  <c r="H861" i="1"/>
  <c r="L861" i="1"/>
  <c r="K860" i="1"/>
  <c r="H860" i="1"/>
  <c r="L860" i="1"/>
  <c r="L859" i="1"/>
  <c r="K859" i="1"/>
  <c r="H859" i="1"/>
  <c r="K858" i="1"/>
  <c r="L858" i="1"/>
  <c r="H858" i="1"/>
  <c r="L857" i="1"/>
  <c r="K857" i="1"/>
  <c r="H857" i="1"/>
  <c r="K856" i="1"/>
  <c r="L856" i="1"/>
  <c r="H856" i="1"/>
  <c r="K855" i="1"/>
  <c r="H855" i="1"/>
  <c r="L855" i="1"/>
  <c r="K854" i="1"/>
  <c r="L854" i="1"/>
  <c r="H854" i="1"/>
  <c r="K853" i="1"/>
  <c r="H853" i="1"/>
  <c r="L853" i="1"/>
  <c r="L852" i="1"/>
  <c r="K852" i="1"/>
  <c r="H852" i="1"/>
  <c r="L851" i="1"/>
  <c r="K851" i="1"/>
  <c r="H851" i="1"/>
  <c r="K850" i="1"/>
  <c r="H850" i="1"/>
  <c r="L850" i="1"/>
  <c r="K849" i="1"/>
  <c r="L849" i="1"/>
  <c r="H849" i="1"/>
  <c r="K848" i="1"/>
  <c r="H848" i="1"/>
  <c r="L848" i="1"/>
  <c r="K847" i="1"/>
  <c r="H847" i="1"/>
  <c r="L847" i="1"/>
  <c r="K846" i="1"/>
  <c r="L846" i="1"/>
  <c r="H846" i="1"/>
  <c r="L845" i="1"/>
  <c r="K845" i="1"/>
  <c r="H845" i="1"/>
  <c r="K844" i="1"/>
  <c r="H844" i="1"/>
  <c r="L844" i="1"/>
  <c r="K843" i="1"/>
  <c r="L843" i="1"/>
  <c r="H843" i="1"/>
  <c r="K842" i="1"/>
  <c r="H842" i="1"/>
  <c r="L842" i="1"/>
  <c r="K841" i="1"/>
  <c r="L841" i="1"/>
  <c r="H841" i="1"/>
  <c r="K840" i="1"/>
  <c r="H840" i="1"/>
  <c r="L840" i="1"/>
  <c r="K839" i="1"/>
  <c r="L839" i="1"/>
  <c r="H839" i="1"/>
  <c r="K838" i="1"/>
  <c r="H838" i="1"/>
  <c r="L838" i="1"/>
  <c r="K837" i="1"/>
  <c r="L837" i="1"/>
  <c r="H837" i="1"/>
  <c r="L836" i="1"/>
  <c r="K836" i="1"/>
  <c r="H836" i="1"/>
  <c r="K835" i="1"/>
  <c r="L835" i="1"/>
  <c r="H835" i="1"/>
  <c r="K834" i="1"/>
  <c r="H834" i="1"/>
  <c r="L834" i="1"/>
  <c r="K833" i="1"/>
  <c r="H833" i="1"/>
  <c r="L833" i="1"/>
  <c r="K832" i="1"/>
  <c r="H832" i="1"/>
  <c r="L832" i="1"/>
  <c r="K831" i="1"/>
  <c r="L831" i="1"/>
  <c r="H831" i="1"/>
  <c r="K830" i="1"/>
  <c r="L830" i="1"/>
  <c r="H830" i="1"/>
  <c r="L829" i="1"/>
  <c r="K829" i="1"/>
  <c r="H829" i="1"/>
  <c r="K828" i="1"/>
  <c r="H828" i="1"/>
  <c r="L828" i="1"/>
  <c r="L827" i="1"/>
  <c r="K827" i="1"/>
  <c r="H827" i="1"/>
  <c r="K826" i="1"/>
  <c r="L826" i="1"/>
  <c r="H826" i="1"/>
  <c r="L825" i="1"/>
  <c r="K825" i="1"/>
  <c r="H825" i="1"/>
  <c r="K824" i="1"/>
  <c r="L824" i="1"/>
  <c r="H824" i="1"/>
  <c r="K823" i="1"/>
  <c r="H823" i="1"/>
  <c r="L823" i="1"/>
  <c r="K822" i="1"/>
  <c r="L822" i="1"/>
  <c r="H822" i="1"/>
  <c r="K821" i="1"/>
  <c r="H821" i="1"/>
  <c r="L821" i="1"/>
  <c r="K820" i="1"/>
  <c r="H820" i="1"/>
  <c r="L820" i="1"/>
  <c r="K819" i="1"/>
  <c r="H819" i="1"/>
  <c r="L819" i="1"/>
  <c r="L818" i="1"/>
  <c r="K818" i="1"/>
  <c r="H818" i="1"/>
  <c r="K817" i="1"/>
  <c r="L817" i="1"/>
  <c r="H817" i="1"/>
  <c r="K816" i="1"/>
  <c r="H816" i="1"/>
  <c r="L816" i="1"/>
  <c r="K815" i="1"/>
  <c r="L815" i="1"/>
  <c r="H815" i="1"/>
  <c r="K814" i="1"/>
  <c r="H814" i="1"/>
  <c r="L814" i="1"/>
  <c r="K813" i="1"/>
  <c r="L813" i="1"/>
  <c r="H813" i="1"/>
  <c r="K812" i="1"/>
  <c r="H812" i="1"/>
  <c r="L812" i="1"/>
  <c r="L811" i="1"/>
  <c r="K811" i="1"/>
  <c r="H811" i="1"/>
  <c r="K810" i="1"/>
  <c r="L810" i="1"/>
  <c r="H810" i="1"/>
  <c r="K809" i="1"/>
  <c r="H809" i="1"/>
  <c r="L809" i="1"/>
  <c r="K808" i="1"/>
  <c r="L808" i="1"/>
  <c r="H808" i="1"/>
  <c r="K807" i="1"/>
  <c r="H807" i="1"/>
  <c r="L807" i="1"/>
  <c r="K806" i="1"/>
  <c r="L806" i="1"/>
  <c r="H806" i="1"/>
  <c r="K805" i="1"/>
  <c r="H805" i="1"/>
  <c r="L805" i="1"/>
  <c r="K804" i="1"/>
  <c r="H804" i="1"/>
  <c r="L804" i="1"/>
  <c r="K803" i="1"/>
  <c r="H803" i="1"/>
  <c r="L803" i="1"/>
  <c r="L802" i="1"/>
  <c r="K802" i="1"/>
  <c r="H802" i="1"/>
  <c r="K801" i="1"/>
  <c r="L801" i="1"/>
  <c r="H801" i="1"/>
  <c r="K800" i="1"/>
  <c r="H800" i="1"/>
  <c r="L800" i="1"/>
  <c r="K799" i="1"/>
  <c r="L799" i="1"/>
  <c r="H799" i="1"/>
  <c r="K798" i="1"/>
  <c r="H798" i="1"/>
  <c r="L798" i="1"/>
  <c r="K797" i="1"/>
  <c r="H797" i="1"/>
  <c r="L797" i="1"/>
  <c r="K796" i="1"/>
  <c r="H796" i="1"/>
  <c r="L796" i="1"/>
  <c r="K795" i="1"/>
  <c r="H795" i="1"/>
  <c r="L795" i="1"/>
  <c r="K794" i="1"/>
  <c r="L794" i="1"/>
  <c r="H794" i="1"/>
  <c r="K793" i="1"/>
  <c r="H793" i="1"/>
  <c r="L793" i="1"/>
  <c r="K792" i="1"/>
  <c r="H792" i="1"/>
  <c r="L792" i="1"/>
  <c r="K791" i="1"/>
  <c r="H791" i="1"/>
  <c r="L791" i="1"/>
  <c r="K790" i="1"/>
  <c r="L790" i="1"/>
  <c r="H790" i="1"/>
  <c r="K789" i="1"/>
  <c r="H789" i="1"/>
  <c r="L789" i="1"/>
  <c r="K788" i="1"/>
  <c r="H788" i="1"/>
  <c r="L788" i="1"/>
  <c r="K787" i="1"/>
  <c r="H787" i="1"/>
  <c r="L787" i="1"/>
  <c r="L786" i="1"/>
  <c r="K786" i="1"/>
  <c r="H786" i="1"/>
  <c r="K785" i="1"/>
  <c r="L785" i="1"/>
  <c r="H785" i="1"/>
  <c r="K784" i="1"/>
  <c r="H784" i="1"/>
  <c r="L784" i="1"/>
  <c r="K783" i="1"/>
  <c r="L783" i="1"/>
  <c r="H783" i="1"/>
  <c r="K782" i="1"/>
  <c r="H782" i="1"/>
  <c r="L782" i="1"/>
  <c r="K781" i="1"/>
  <c r="H781" i="1"/>
  <c r="L781" i="1"/>
  <c r="K780" i="1"/>
  <c r="H780" i="1"/>
  <c r="L780" i="1"/>
  <c r="K779" i="1"/>
  <c r="H779" i="1"/>
  <c r="L779" i="1"/>
  <c r="K778" i="1"/>
  <c r="L778" i="1"/>
  <c r="H778" i="1"/>
  <c r="K777" i="1"/>
  <c r="L777" i="1"/>
  <c r="H777" i="1"/>
  <c r="K776" i="1"/>
  <c r="H776" i="1"/>
  <c r="L776" i="1"/>
  <c r="K775" i="1"/>
  <c r="L775" i="1"/>
  <c r="H775" i="1"/>
  <c r="K774" i="1"/>
  <c r="L774" i="1"/>
  <c r="H774" i="1"/>
  <c r="K773" i="1"/>
  <c r="H773" i="1"/>
  <c r="L773" i="1"/>
  <c r="K772" i="1"/>
  <c r="H772" i="1"/>
  <c r="L772" i="1"/>
  <c r="K771" i="1"/>
  <c r="H771" i="1"/>
  <c r="L771" i="1"/>
  <c r="L770" i="1"/>
  <c r="K770" i="1"/>
  <c r="H770" i="1"/>
  <c r="K769" i="1"/>
  <c r="L769" i="1"/>
  <c r="H769" i="1"/>
  <c r="K768" i="1"/>
  <c r="H768" i="1"/>
  <c r="L768" i="1"/>
  <c r="K767" i="1"/>
  <c r="L767" i="1"/>
  <c r="H767" i="1"/>
  <c r="K766" i="1"/>
  <c r="H766" i="1"/>
  <c r="L766" i="1"/>
  <c r="K765" i="1"/>
  <c r="H765" i="1"/>
  <c r="L765" i="1"/>
  <c r="K764" i="1"/>
  <c r="H764" i="1"/>
  <c r="L764" i="1"/>
  <c r="K763" i="1"/>
  <c r="H763" i="1"/>
  <c r="L763" i="1"/>
  <c r="K762" i="1"/>
  <c r="L762" i="1"/>
  <c r="H762" i="1"/>
  <c r="K761" i="1"/>
  <c r="L761" i="1"/>
  <c r="H761" i="1"/>
  <c r="K760" i="1"/>
  <c r="H760" i="1"/>
  <c r="L760" i="1"/>
  <c r="K759" i="1"/>
  <c r="H759" i="1"/>
  <c r="L759" i="1"/>
  <c r="K758" i="1"/>
  <c r="H758" i="1"/>
  <c r="L758" i="1"/>
  <c r="K757" i="1"/>
  <c r="L757" i="1"/>
  <c r="H757" i="1"/>
  <c r="K756" i="1"/>
  <c r="H756" i="1"/>
  <c r="L756" i="1"/>
  <c r="K755" i="1"/>
  <c r="H755" i="1"/>
  <c r="L755" i="1"/>
  <c r="K754" i="1"/>
  <c r="H754" i="1"/>
  <c r="L754" i="1"/>
  <c r="K753" i="1"/>
  <c r="L753" i="1"/>
  <c r="H753" i="1"/>
  <c r="K752" i="1"/>
  <c r="H752" i="1"/>
  <c r="L752" i="1"/>
  <c r="K751" i="1"/>
  <c r="H751" i="1"/>
  <c r="L751" i="1"/>
  <c r="K750" i="1"/>
  <c r="H750" i="1"/>
  <c r="L750" i="1"/>
  <c r="K749" i="1"/>
  <c r="L749" i="1"/>
  <c r="H749" i="1"/>
  <c r="K748" i="1"/>
  <c r="H748" i="1"/>
  <c r="L748" i="1"/>
  <c r="K747" i="1"/>
  <c r="H747" i="1"/>
  <c r="L747" i="1"/>
  <c r="K746" i="1"/>
  <c r="H746" i="1"/>
  <c r="L746" i="1"/>
  <c r="K745" i="1"/>
  <c r="L745" i="1"/>
  <c r="H745" i="1"/>
  <c r="K744" i="1"/>
  <c r="H744" i="1"/>
  <c r="L744" i="1"/>
  <c r="K743" i="1"/>
  <c r="H743" i="1"/>
  <c r="L743" i="1"/>
  <c r="K742" i="1"/>
  <c r="H742" i="1"/>
  <c r="L742" i="1"/>
  <c r="K741" i="1"/>
  <c r="L741" i="1"/>
  <c r="H741" i="1"/>
  <c r="K740" i="1"/>
  <c r="H740" i="1"/>
  <c r="L740" i="1"/>
  <c r="K739" i="1"/>
  <c r="H739" i="1"/>
  <c r="L739" i="1"/>
  <c r="K738" i="1"/>
  <c r="H738" i="1"/>
  <c r="L738" i="1"/>
  <c r="K737" i="1"/>
  <c r="L737" i="1"/>
  <c r="H737" i="1"/>
  <c r="K736" i="1"/>
  <c r="H736" i="1"/>
  <c r="L736" i="1"/>
  <c r="K735" i="1"/>
  <c r="L735" i="1"/>
  <c r="H735" i="1"/>
  <c r="K734" i="1"/>
  <c r="L734" i="1"/>
  <c r="H734" i="1"/>
  <c r="K733" i="1"/>
  <c r="L733" i="1"/>
  <c r="H733" i="1"/>
  <c r="K732" i="1"/>
  <c r="H732" i="1"/>
  <c r="L732" i="1"/>
  <c r="K731" i="1"/>
  <c r="H731" i="1"/>
  <c r="L731" i="1"/>
  <c r="K730" i="1"/>
  <c r="H730" i="1"/>
  <c r="L730" i="1"/>
  <c r="K729" i="1"/>
  <c r="L729" i="1"/>
  <c r="H729" i="1"/>
  <c r="K728" i="1"/>
  <c r="H728" i="1"/>
  <c r="L728" i="1"/>
  <c r="K727" i="1"/>
  <c r="H727" i="1"/>
  <c r="L727" i="1"/>
  <c r="K726" i="1"/>
  <c r="H726" i="1"/>
  <c r="L726" i="1"/>
  <c r="K725" i="1"/>
  <c r="L725" i="1"/>
  <c r="H725" i="1"/>
  <c r="K724" i="1"/>
  <c r="H724" i="1"/>
  <c r="L724" i="1"/>
  <c r="K723" i="1"/>
  <c r="H723" i="1"/>
  <c r="L723" i="1"/>
  <c r="K722" i="1"/>
  <c r="H722" i="1"/>
  <c r="L722" i="1"/>
  <c r="K721" i="1"/>
  <c r="L721" i="1"/>
  <c r="H721" i="1"/>
  <c r="K720" i="1"/>
  <c r="L720" i="1"/>
  <c r="H720" i="1"/>
  <c r="K719" i="1"/>
  <c r="L719" i="1"/>
  <c r="H719" i="1"/>
  <c r="K718" i="1"/>
  <c r="L718" i="1"/>
  <c r="H718" i="1"/>
  <c r="K717" i="1"/>
  <c r="L717" i="1"/>
  <c r="H717" i="1"/>
  <c r="L716" i="1"/>
  <c r="K716" i="1"/>
  <c r="H716" i="1"/>
  <c r="K715" i="1"/>
  <c r="H715" i="1"/>
  <c r="L715" i="1"/>
  <c r="K714" i="1"/>
  <c r="H714" i="1"/>
  <c r="L714" i="1"/>
  <c r="K713" i="1"/>
  <c r="H713" i="1"/>
  <c r="L713" i="1"/>
  <c r="K712" i="1"/>
  <c r="L712" i="1"/>
  <c r="H712" i="1"/>
  <c r="K711" i="1"/>
  <c r="H711" i="1"/>
  <c r="L711" i="1"/>
  <c r="K710" i="1"/>
  <c r="H710" i="1"/>
  <c r="L710" i="1"/>
  <c r="K709" i="1"/>
  <c r="L709" i="1"/>
  <c r="H709" i="1"/>
  <c r="K708" i="1"/>
  <c r="H708" i="1"/>
  <c r="L708" i="1"/>
  <c r="K707" i="1"/>
  <c r="H707" i="1"/>
  <c r="L707" i="1"/>
  <c r="K706" i="1"/>
  <c r="H706" i="1"/>
  <c r="L706" i="1"/>
  <c r="K705" i="1"/>
  <c r="L705" i="1"/>
  <c r="H705" i="1"/>
  <c r="K704" i="1"/>
  <c r="H704" i="1"/>
  <c r="L704" i="1"/>
  <c r="K703" i="1"/>
  <c r="L703" i="1"/>
  <c r="H703" i="1"/>
  <c r="K702" i="1"/>
  <c r="H702" i="1"/>
  <c r="L702" i="1"/>
  <c r="K701" i="1"/>
  <c r="L701" i="1"/>
  <c r="H701" i="1"/>
  <c r="L700" i="1"/>
  <c r="K700" i="1"/>
  <c r="H700" i="1"/>
  <c r="K699" i="1"/>
  <c r="H699" i="1"/>
  <c r="L699" i="1"/>
  <c r="K698" i="1"/>
  <c r="H698" i="1"/>
  <c r="L698" i="1"/>
  <c r="K697" i="1"/>
  <c r="H697" i="1"/>
  <c r="L697" i="1"/>
  <c r="K696" i="1"/>
  <c r="H696" i="1"/>
  <c r="L696" i="1"/>
  <c r="K695" i="1"/>
  <c r="H695" i="1"/>
  <c r="L695" i="1"/>
  <c r="K694" i="1"/>
  <c r="L694" i="1"/>
  <c r="H694" i="1"/>
  <c r="K693" i="1"/>
  <c r="L693" i="1"/>
  <c r="H693" i="1"/>
  <c r="K692" i="1"/>
  <c r="H692" i="1"/>
  <c r="L692" i="1"/>
  <c r="K691" i="1"/>
  <c r="H691" i="1"/>
  <c r="L691" i="1"/>
  <c r="K690" i="1"/>
  <c r="H690" i="1"/>
  <c r="L690" i="1"/>
  <c r="K689" i="1"/>
  <c r="L689" i="1"/>
  <c r="H689" i="1"/>
  <c r="K688" i="1"/>
  <c r="L688" i="1"/>
  <c r="H688" i="1"/>
  <c r="K687" i="1"/>
  <c r="L687" i="1"/>
  <c r="H687" i="1"/>
  <c r="K686" i="1"/>
  <c r="L686" i="1"/>
  <c r="H686" i="1"/>
  <c r="K685" i="1"/>
  <c r="L685" i="1"/>
  <c r="H685" i="1"/>
  <c r="L684" i="1"/>
  <c r="K684" i="1"/>
  <c r="H684" i="1"/>
  <c r="K683" i="1"/>
  <c r="H683" i="1"/>
  <c r="L683" i="1"/>
  <c r="K682" i="1"/>
  <c r="H682" i="1"/>
  <c r="L682" i="1"/>
  <c r="K681" i="1"/>
  <c r="H681" i="1"/>
  <c r="L681" i="1"/>
  <c r="K680" i="1"/>
  <c r="L680" i="1"/>
  <c r="H680" i="1"/>
  <c r="K679" i="1"/>
  <c r="H679" i="1"/>
  <c r="L679" i="1"/>
  <c r="K678" i="1"/>
  <c r="L678" i="1"/>
  <c r="H678" i="1"/>
  <c r="K677" i="1"/>
  <c r="L677" i="1"/>
  <c r="H677" i="1"/>
  <c r="K676" i="1"/>
  <c r="H676" i="1"/>
  <c r="L676" i="1"/>
  <c r="K675" i="1"/>
  <c r="H675" i="1"/>
  <c r="L675" i="1"/>
  <c r="L674" i="1"/>
  <c r="K674" i="1"/>
  <c r="H674" i="1"/>
  <c r="K673" i="1"/>
  <c r="H673" i="1"/>
  <c r="L673" i="1"/>
  <c r="L672" i="1"/>
  <c r="K672" i="1"/>
  <c r="H672" i="1"/>
  <c r="K671" i="1"/>
  <c r="H671" i="1"/>
  <c r="L671" i="1"/>
  <c r="K670" i="1"/>
  <c r="H670" i="1"/>
  <c r="L670" i="1"/>
  <c r="K669" i="1"/>
  <c r="L669" i="1"/>
  <c r="H669" i="1"/>
  <c r="K668" i="1"/>
  <c r="H668" i="1"/>
  <c r="L668" i="1"/>
  <c r="L667" i="1"/>
  <c r="K667" i="1"/>
  <c r="H667" i="1"/>
  <c r="K666" i="1"/>
  <c r="L666" i="1"/>
  <c r="H666" i="1"/>
  <c r="K665" i="1"/>
  <c r="L665" i="1"/>
  <c r="H665" i="1"/>
  <c r="K664" i="1"/>
  <c r="H664" i="1"/>
  <c r="L664" i="1"/>
  <c r="K663" i="1"/>
  <c r="H663" i="1"/>
  <c r="L663" i="1"/>
  <c r="K662" i="1"/>
  <c r="H662" i="1"/>
  <c r="L662" i="1"/>
  <c r="K661" i="1"/>
  <c r="L661" i="1"/>
  <c r="H661" i="1"/>
  <c r="K660" i="1"/>
  <c r="H660" i="1"/>
  <c r="L660" i="1"/>
  <c r="K659" i="1"/>
  <c r="H659" i="1"/>
  <c r="L659" i="1"/>
  <c r="K658" i="1"/>
  <c r="L658" i="1"/>
  <c r="H658" i="1"/>
  <c r="K657" i="1"/>
  <c r="L657" i="1"/>
  <c r="H657" i="1"/>
  <c r="K656" i="1"/>
  <c r="H656" i="1"/>
  <c r="L656" i="1"/>
  <c r="K655" i="1"/>
  <c r="H655" i="1"/>
  <c r="L655" i="1"/>
  <c r="K654" i="1"/>
  <c r="H654" i="1"/>
  <c r="L654" i="1"/>
  <c r="K653" i="1"/>
  <c r="H653" i="1"/>
  <c r="L653" i="1"/>
  <c r="K652" i="1"/>
  <c r="H652" i="1"/>
  <c r="L652" i="1"/>
  <c r="K651" i="1"/>
  <c r="H651" i="1"/>
  <c r="L651" i="1"/>
  <c r="K650" i="1"/>
  <c r="L650" i="1"/>
  <c r="H650" i="1"/>
  <c r="K649" i="1"/>
  <c r="L649" i="1"/>
  <c r="H649" i="1"/>
  <c r="K648" i="1"/>
  <c r="H648" i="1"/>
  <c r="L648" i="1"/>
  <c r="K647" i="1"/>
  <c r="H647" i="1"/>
  <c r="L647" i="1"/>
  <c r="K646" i="1"/>
  <c r="H646" i="1"/>
  <c r="L646" i="1"/>
  <c r="K645" i="1"/>
  <c r="L645" i="1"/>
  <c r="H645" i="1"/>
  <c r="K644" i="1"/>
  <c r="H644" i="1"/>
  <c r="L644" i="1"/>
  <c r="K643" i="1"/>
  <c r="H643" i="1"/>
  <c r="L643" i="1"/>
  <c r="K642" i="1"/>
  <c r="L642" i="1"/>
  <c r="H642" i="1"/>
  <c r="K641" i="1"/>
  <c r="L641" i="1"/>
  <c r="H641" i="1"/>
  <c r="K640" i="1"/>
  <c r="H640" i="1"/>
  <c r="L640" i="1"/>
  <c r="K639" i="1"/>
  <c r="H639" i="1"/>
  <c r="L639" i="1"/>
  <c r="K638" i="1"/>
  <c r="H638" i="1"/>
  <c r="L638" i="1"/>
  <c r="K637" i="1"/>
  <c r="L637" i="1"/>
  <c r="H637" i="1"/>
  <c r="K636" i="1"/>
  <c r="H636" i="1"/>
  <c r="L636" i="1"/>
  <c r="K635" i="1"/>
  <c r="H635" i="1"/>
  <c r="L635" i="1"/>
  <c r="K634" i="1"/>
  <c r="L634" i="1"/>
  <c r="H634" i="1"/>
  <c r="K633" i="1"/>
  <c r="L633" i="1"/>
  <c r="H633" i="1"/>
  <c r="K632" i="1"/>
  <c r="H632" i="1"/>
  <c r="L632" i="1"/>
  <c r="K631" i="1"/>
  <c r="H631" i="1"/>
  <c r="L631" i="1"/>
  <c r="K630" i="1"/>
  <c r="H630" i="1"/>
  <c r="L630" i="1"/>
  <c r="K629" i="1"/>
  <c r="L629" i="1"/>
  <c r="H629" i="1"/>
  <c r="K628" i="1"/>
  <c r="H628" i="1"/>
  <c r="L628" i="1"/>
  <c r="K627" i="1"/>
  <c r="L627" i="1"/>
  <c r="H627" i="1"/>
  <c r="K626" i="1"/>
  <c r="H626" i="1"/>
  <c r="L626" i="1"/>
  <c r="K625" i="1"/>
  <c r="H625" i="1"/>
  <c r="L625" i="1"/>
  <c r="K624" i="1"/>
  <c r="H624" i="1"/>
  <c r="L624" i="1"/>
  <c r="K623" i="1"/>
  <c r="H623" i="1"/>
  <c r="L623" i="1"/>
  <c r="K622" i="1"/>
  <c r="L622" i="1"/>
  <c r="H622" i="1"/>
  <c r="K621" i="1"/>
  <c r="H621" i="1"/>
  <c r="L621" i="1"/>
  <c r="K620" i="1"/>
  <c r="H620" i="1"/>
  <c r="L620" i="1"/>
  <c r="K619" i="1"/>
  <c r="H619" i="1"/>
  <c r="L619" i="1"/>
  <c r="K618" i="1"/>
  <c r="L618" i="1"/>
  <c r="H618" i="1"/>
  <c r="K617" i="1"/>
  <c r="H617" i="1"/>
  <c r="L617" i="1"/>
  <c r="K616" i="1"/>
  <c r="H616" i="1"/>
  <c r="L616" i="1"/>
  <c r="K615" i="1"/>
  <c r="H615" i="1"/>
  <c r="L615" i="1"/>
  <c r="L614" i="1"/>
  <c r="K614" i="1"/>
  <c r="H614" i="1"/>
  <c r="K613" i="1"/>
  <c r="L613" i="1"/>
  <c r="H613" i="1"/>
  <c r="K612" i="1"/>
  <c r="H612" i="1"/>
  <c r="L612" i="1"/>
  <c r="K611" i="1"/>
  <c r="L611" i="1"/>
  <c r="H611" i="1"/>
  <c r="K610" i="1"/>
  <c r="H610" i="1"/>
  <c r="L610" i="1"/>
  <c r="K609" i="1"/>
  <c r="H609" i="1"/>
  <c r="L609" i="1"/>
  <c r="K608" i="1"/>
  <c r="H608" i="1"/>
  <c r="L608" i="1"/>
  <c r="K607" i="1"/>
  <c r="H607" i="1"/>
  <c r="L607" i="1"/>
  <c r="K606" i="1"/>
  <c r="L606" i="1"/>
  <c r="H606" i="1"/>
  <c r="K605" i="1"/>
  <c r="L605" i="1"/>
  <c r="H605" i="1"/>
  <c r="K604" i="1"/>
  <c r="H604" i="1"/>
  <c r="L604" i="1"/>
  <c r="K603" i="1"/>
  <c r="L603" i="1"/>
  <c r="H603" i="1"/>
  <c r="K602" i="1"/>
  <c r="L602" i="1"/>
  <c r="H602" i="1"/>
  <c r="K601" i="1"/>
  <c r="H601" i="1"/>
  <c r="L601" i="1"/>
  <c r="K600" i="1"/>
  <c r="H600" i="1"/>
  <c r="L600" i="1"/>
  <c r="K599" i="1"/>
  <c r="H599" i="1"/>
  <c r="L599" i="1"/>
  <c r="L598" i="1"/>
  <c r="K598" i="1"/>
  <c r="H598" i="1"/>
  <c r="K597" i="1"/>
  <c r="L597" i="1"/>
  <c r="H597" i="1"/>
  <c r="K596" i="1"/>
  <c r="H596" i="1"/>
  <c r="L596" i="1"/>
  <c r="K595" i="1"/>
  <c r="L595" i="1"/>
  <c r="H595" i="1"/>
  <c r="K594" i="1"/>
  <c r="H594" i="1"/>
  <c r="L594" i="1"/>
  <c r="K593" i="1"/>
  <c r="H593" i="1"/>
  <c r="L593" i="1"/>
  <c r="K592" i="1"/>
  <c r="H592" i="1"/>
  <c r="L592" i="1"/>
  <c r="K591" i="1"/>
  <c r="H591" i="1"/>
  <c r="L591" i="1"/>
  <c r="K590" i="1"/>
  <c r="L590" i="1"/>
  <c r="H590" i="1"/>
  <c r="K589" i="1"/>
  <c r="L589" i="1"/>
  <c r="H589" i="1"/>
  <c r="K588" i="1"/>
  <c r="H588" i="1"/>
  <c r="L588" i="1"/>
  <c r="K587" i="1"/>
  <c r="L587" i="1"/>
  <c r="H587" i="1"/>
  <c r="K586" i="1"/>
  <c r="L586" i="1"/>
  <c r="H586" i="1"/>
  <c r="K585" i="1"/>
  <c r="H585" i="1"/>
  <c r="L585" i="1"/>
  <c r="K584" i="1"/>
  <c r="H584" i="1"/>
  <c r="L584" i="1"/>
  <c r="K583" i="1"/>
  <c r="H583" i="1"/>
  <c r="L583" i="1"/>
  <c r="L582" i="1"/>
  <c r="K582" i="1"/>
  <c r="H582" i="1"/>
  <c r="K581" i="1"/>
  <c r="L581" i="1"/>
  <c r="H581" i="1"/>
  <c r="K580" i="1"/>
  <c r="H580" i="1"/>
  <c r="L580" i="1"/>
  <c r="K579" i="1"/>
  <c r="L579" i="1"/>
  <c r="H579" i="1"/>
  <c r="K578" i="1"/>
  <c r="H578" i="1"/>
  <c r="L578" i="1"/>
  <c r="K577" i="1"/>
  <c r="H577" i="1"/>
  <c r="L577" i="1"/>
  <c r="K576" i="1"/>
  <c r="H576" i="1"/>
  <c r="L576" i="1"/>
  <c r="K575" i="1"/>
  <c r="H575" i="1"/>
  <c r="L575" i="1"/>
  <c r="K574" i="1"/>
  <c r="L574" i="1"/>
  <c r="H574" i="1"/>
  <c r="K573" i="1"/>
  <c r="L573" i="1"/>
  <c r="H573" i="1"/>
  <c r="K572" i="1"/>
  <c r="H572" i="1"/>
  <c r="L572" i="1"/>
  <c r="K571" i="1"/>
  <c r="L571" i="1"/>
  <c r="H571" i="1"/>
  <c r="K570" i="1"/>
  <c r="L570" i="1"/>
  <c r="H570" i="1"/>
  <c r="K569" i="1"/>
  <c r="H569" i="1"/>
  <c r="L569" i="1"/>
  <c r="K568" i="1"/>
  <c r="H568" i="1"/>
  <c r="L568" i="1"/>
  <c r="K567" i="1"/>
  <c r="H567" i="1"/>
  <c r="L567" i="1"/>
  <c r="L566" i="1"/>
  <c r="K566" i="1"/>
  <c r="H566" i="1"/>
  <c r="K565" i="1"/>
  <c r="L565" i="1"/>
  <c r="H565" i="1"/>
  <c r="K564" i="1"/>
  <c r="H564" i="1"/>
  <c r="L564" i="1"/>
  <c r="K563" i="1"/>
  <c r="L563" i="1"/>
  <c r="H563" i="1"/>
  <c r="K562" i="1"/>
  <c r="H562" i="1"/>
  <c r="L562" i="1"/>
  <c r="K561" i="1"/>
  <c r="H561" i="1"/>
  <c r="L561" i="1"/>
  <c r="K560" i="1"/>
  <c r="H560" i="1"/>
  <c r="L560" i="1"/>
  <c r="K559" i="1"/>
  <c r="H559" i="1"/>
  <c r="L559" i="1"/>
  <c r="K558" i="1"/>
  <c r="L558" i="1"/>
  <c r="H558" i="1"/>
  <c r="K557" i="1"/>
  <c r="L557" i="1"/>
  <c r="H557" i="1"/>
  <c r="K556" i="1"/>
  <c r="H556" i="1"/>
  <c r="L556" i="1"/>
  <c r="K555" i="1"/>
  <c r="L555" i="1"/>
  <c r="H555" i="1"/>
  <c r="K554" i="1"/>
  <c r="L554" i="1"/>
  <c r="H554" i="1"/>
  <c r="K553" i="1"/>
  <c r="H553" i="1"/>
  <c r="L553" i="1"/>
  <c r="K552" i="1"/>
  <c r="H552" i="1"/>
  <c r="L552" i="1"/>
  <c r="K551" i="1"/>
  <c r="H551" i="1"/>
  <c r="L551" i="1"/>
  <c r="L550" i="1"/>
  <c r="K550" i="1"/>
  <c r="H550" i="1"/>
  <c r="K549" i="1"/>
  <c r="L549" i="1"/>
  <c r="H549" i="1"/>
  <c r="K548" i="1"/>
  <c r="H548" i="1"/>
  <c r="L548" i="1"/>
  <c r="K547" i="1"/>
  <c r="L547" i="1"/>
  <c r="H547" i="1"/>
  <c r="K546" i="1"/>
  <c r="H546" i="1"/>
  <c r="L546" i="1"/>
  <c r="K545" i="1"/>
  <c r="H545" i="1"/>
  <c r="L545" i="1"/>
  <c r="K544" i="1"/>
  <c r="H544" i="1"/>
  <c r="L544" i="1"/>
  <c r="K543" i="1"/>
  <c r="H543" i="1"/>
  <c r="L543" i="1"/>
  <c r="K542" i="1"/>
  <c r="L542" i="1"/>
  <c r="H542" i="1"/>
  <c r="K541" i="1"/>
  <c r="L541" i="1"/>
  <c r="H541" i="1"/>
  <c r="K540" i="1"/>
  <c r="H540" i="1"/>
  <c r="L540" i="1"/>
  <c r="K539" i="1"/>
  <c r="H539" i="1"/>
  <c r="L539" i="1"/>
  <c r="K538" i="1"/>
  <c r="H538" i="1"/>
  <c r="L538" i="1"/>
  <c r="K537" i="1"/>
  <c r="L537" i="1"/>
  <c r="H537" i="1"/>
  <c r="K536" i="1"/>
  <c r="H536" i="1"/>
  <c r="L536" i="1"/>
  <c r="K535" i="1"/>
  <c r="H535" i="1"/>
  <c r="L535" i="1"/>
  <c r="K534" i="1"/>
  <c r="H534" i="1"/>
  <c r="L534" i="1"/>
  <c r="K533" i="1"/>
  <c r="L533" i="1"/>
  <c r="H533" i="1"/>
  <c r="K532" i="1"/>
  <c r="H532" i="1"/>
  <c r="L532" i="1"/>
  <c r="K531" i="1"/>
  <c r="H531" i="1"/>
  <c r="L531" i="1"/>
  <c r="K530" i="1"/>
  <c r="H530" i="1"/>
  <c r="L530" i="1"/>
  <c r="K529" i="1"/>
  <c r="L529" i="1"/>
  <c r="H529" i="1"/>
  <c r="K528" i="1"/>
  <c r="H528" i="1"/>
  <c r="L528" i="1"/>
  <c r="K527" i="1"/>
  <c r="H527" i="1"/>
  <c r="L527" i="1"/>
  <c r="K526" i="1"/>
  <c r="H526" i="1"/>
  <c r="L526" i="1"/>
  <c r="K525" i="1"/>
  <c r="L525" i="1"/>
  <c r="H525" i="1"/>
  <c r="K524" i="1"/>
  <c r="H524" i="1"/>
  <c r="L524" i="1"/>
  <c r="K523" i="1"/>
  <c r="H523" i="1"/>
  <c r="L523" i="1"/>
  <c r="K522" i="1"/>
  <c r="H522" i="1"/>
  <c r="L522" i="1"/>
  <c r="K521" i="1"/>
  <c r="L521" i="1"/>
  <c r="H521" i="1"/>
  <c r="K520" i="1"/>
  <c r="H520" i="1"/>
  <c r="L520" i="1"/>
  <c r="K519" i="1"/>
  <c r="H519" i="1"/>
  <c r="L519" i="1"/>
  <c r="K518" i="1"/>
  <c r="H518" i="1"/>
  <c r="L518" i="1"/>
  <c r="K517" i="1"/>
  <c r="L517" i="1"/>
  <c r="H517" i="1"/>
  <c r="K516" i="1"/>
  <c r="H516" i="1"/>
  <c r="L516" i="1"/>
  <c r="K515" i="1"/>
  <c r="H515" i="1"/>
  <c r="L515" i="1"/>
  <c r="K514" i="1"/>
  <c r="H514" i="1"/>
  <c r="L514" i="1"/>
  <c r="K513" i="1"/>
  <c r="L513" i="1"/>
  <c r="H513" i="1"/>
  <c r="K512" i="1"/>
  <c r="H512" i="1"/>
  <c r="L512" i="1"/>
  <c r="K511" i="1"/>
  <c r="H511" i="1"/>
  <c r="L511" i="1"/>
  <c r="K510" i="1"/>
  <c r="H510" i="1"/>
  <c r="L510" i="1"/>
  <c r="K509" i="1"/>
  <c r="L509" i="1"/>
  <c r="H509" i="1"/>
  <c r="K508" i="1"/>
  <c r="H508" i="1"/>
  <c r="L508" i="1"/>
  <c r="K507" i="1"/>
  <c r="L507" i="1"/>
  <c r="H507" i="1"/>
  <c r="K506" i="1"/>
  <c r="H506" i="1"/>
  <c r="L506" i="1"/>
  <c r="K505" i="1"/>
  <c r="L505" i="1"/>
  <c r="H505" i="1"/>
  <c r="K504" i="1"/>
  <c r="H504" i="1"/>
  <c r="L504" i="1"/>
  <c r="K503" i="1"/>
  <c r="H503" i="1"/>
  <c r="L503" i="1"/>
  <c r="K502" i="1"/>
  <c r="H502" i="1"/>
  <c r="L502" i="1"/>
  <c r="K501" i="1"/>
  <c r="L501" i="1"/>
  <c r="H501" i="1"/>
  <c r="K500" i="1"/>
  <c r="H500" i="1"/>
  <c r="L500" i="1"/>
  <c r="K499" i="1"/>
  <c r="H499" i="1"/>
  <c r="L499" i="1"/>
  <c r="K498" i="1"/>
  <c r="H498" i="1"/>
  <c r="L498" i="1"/>
  <c r="K497" i="1"/>
  <c r="L497" i="1"/>
  <c r="H497" i="1"/>
  <c r="K496" i="1"/>
  <c r="H496" i="1"/>
  <c r="L496" i="1"/>
  <c r="K495" i="1"/>
  <c r="H495" i="1"/>
  <c r="L495" i="1"/>
  <c r="K494" i="1"/>
  <c r="L494" i="1"/>
  <c r="H494" i="1"/>
  <c r="K493" i="1"/>
  <c r="L493" i="1"/>
  <c r="H493" i="1"/>
  <c r="K492" i="1"/>
  <c r="H492" i="1"/>
  <c r="L492" i="1"/>
  <c r="K491" i="1"/>
  <c r="L491" i="1"/>
  <c r="H491" i="1"/>
  <c r="K490" i="1"/>
  <c r="H490" i="1"/>
  <c r="L490" i="1"/>
  <c r="K489" i="1"/>
  <c r="L489" i="1"/>
  <c r="H489" i="1"/>
  <c r="K488" i="1"/>
  <c r="H488" i="1"/>
  <c r="L488" i="1"/>
  <c r="K487" i="1"/>
  <c r="H487" i="1"/>
  <c r="L487" i="1"/>
  <c r="K486" i="1"/>
  <c r="H486" i="1"/>
  <c r="L486" i="1"/>
  <c r="K485" i="1"/>
  <c r="L485" i="1"/>
  <c r="H485" i="1"/>
  <c r="K484" i="1"/>
  <c r="H484" i="1"/>
  <c r="L484" i="1"/>
  <c r="K483" i="1"/>
  <c r="H483" i="1"/>
  <c r="L483" i="1"/>
  <c r="K482" i="1"/>
  <c r="H482" i="1"/>
  <c r="L482" i="1"/>
  <c r="K481" i="1"/>
  <c r="L481" i="1"/>
  <c r="H481" i="1"/>
  <c r="K480" i="1"/>
  <c r="H480" i="1"/>
  <c r="L480" i="1"/>
  <c r="K479" i="1"/>
  <c r="H479" i="1"/>
  <c r="L479" i="1"/>
  <c r="K478" i="1"/>
  <c r="L478" i="1"/>
  <c r="H478" i="1"/>
  <c r="K477" i="1"/>
  <c r="L477" i="1"/>
  <c r="H477" i="1"/>
  <c r="K476" i="1"/>
  <c r="H476" i="1"/>
  <c r="L476" i="1"/>
  <c r="K475" i="1"/>
  <c r="L475" i="1"/>
  <c r="H475" i="1"/>
  <c r="K474" i="1"/>
  <c r="H474" i="1"/>
  <c r="L474" i="1"/>
  <c r="K473" i="1"/>
  <c r="L473" i="1"/>
  <c r="H473" i="1"/>
  <c r="K472" i="1"/>
  <c r="H472" i="1"/>
  <c r="L472" i="1"/>
  <c r="K471" i="1"/>
  <c r="H471" i="1"/>
  <c r="L471" i="1"/>
  <c r="K470" i="1"/>
  <c r="H470" i="1"/>
  <c r="L470" i="1"/>
  <c r="K469" i="1"/>
  <c r="L469" i="1"/>
  <c r="H469" i="1"/>
  <c r="K468" i="1"/>
  <c r="H468" i="1"/>
  <c r="L468" i="1"/>
  <c r="K467" i="1"/>
  <c r="H467" i="1"/>
  <c r="L467" i="1"/>
  <c r="K466" i="1"/>
  <c r="H466" i="1"/>
  <c r="L466" i="1"/>
  <c r="K465" i="1"/>
  <c r="L465" i="1"/>
  <c r="H465" i="1"/>
  <c r="K464" i="1"/>
  <c r="H464" i="1"/>
  <c r="L464" i="1"/>
  <c r="K463" i="1"/>
  <c r="H463" i="1"/>
  <c r="L463" i="1"/>
  <c r="K462" i="1"/>
  <c r="H462" i="1"/>
  <c r="L462" i="1"/>
  <c r="K461" i="1"/>
  <c r="L461" i="1"/>
  <c r="H461" i="1"/>
  <c r="K460" i="1"/>
  <c r="H460" i="1"/>
  <c r="L460" i="1"/>
  <c r="K459" i="1"/>
  <c r="H459" i="1"/>
  <c r="L459" i="1"/>
  <c r="K458" i="1"/>
  <c r="H458" i="1"/>
  <c r="L458" i="1"/>
  <c r="K457" i="1"/>
  <c r="L457" i="1"/>
  <c r="H457" i="1"/>
  <c r="L456" i="1"/>
  <c r="K456" i="1"/>
  <c r="H456" i="1"/>
  <c r="K455" i="1"/>
  <c r="L455" i="1"/>
  <c r="H455" i="1"/>
  <c r="K454" i="1"/>
  <c r="H454" i="1"/>
  <c r="L454" i="1"/>
  <c r="K453" i="1"/>
  <c r="H453" i="1"/>
  <c r="L453" i="1"/>
  <c r="K452" i="1"/>
  <c r="L452" i="1"/>
  <c r="H452" i="1"/>
  <c r="K451" i="1"/>
  <c r="H451" i="1"/>
  <c r="L451" i="1"/>
  <c r="K450" i="1"/>
  <c r="H450" i="1"/>
  <c r="L450" i="1"/>
  <c r="K449" i="1"/>
  <c r="L449" i="1"/>
  <c r="H449" i="1"/>
  <c r="L448" i="1"/>
  <c r="K448" i="1"/>
  <c r="H448" i="1"/>
  <c r="K447" i="1"/>
  <c r="H447" i="1"/>
  <c r="L447" i="1"/>
  <c r="K446" i="1"/>
  <c r="L446" i="1"/>
  <c r="H446" i="1"/>
  <c r="K445" i="1"/>
  <c r="H445" i="1"/>
  <c r="L445" i="1"/>
  <c r="K444" i="1"/>
  <c r="H444" i="1"/>
  <c r="L444" i="1"/>
  <c r="K443" i="1"/>
  <c r="H443" i="1"/>
  <c r="L443" i="1"/>
  <c r="K442" i="1"/>
  <c r="L442" i="1"/>
  <c r="H442" i="1"/>
  <c r="K441" i="1"/>
  <c r="L441" i="1"/>
  <c r="H441" i="1"/>
  <c r="L440" i="1"/>
  <c r="K440" i="1"/>
  <c r="H440" i="1"/>
  <c r="K439" i="1"/>
  <c r="H439" i="1"/>
  <c r="L439" i="1"/>
  <c r="K438" i="1"/>
  <c r="H438" i="1"/>
  <c r="L438" i="1"/>
  <c r="K437" i="1"/>
  <c r="L437" i="1"/>
  <c r="H437" i="1"/>
  <c r="K436" i="1"/>
  <c r="H436" i="1"/>
  <c r="L436" i="1"/>
  <c r="K435" i="1"/>
  <c r="L435" i="1"/>
  <c r="H435" i="1"/>
  <c r="K434" i="1"/>
  <c r="L434" i="1"/>
  <c r="H434" i="1"/>
  <c r="K433" i="1"/>
  <c r="L433" i="1"/>
  <c r="H433" i="1"/>
  <c r="K432" i="1"/>
  <c r="H432" i="1"/>
  <c r="L432" i="1"/>
  <c r="K431" i="1"/>
  <c r="H431" i="1"/>
  <c r="L431" i="1"/>
  <c r="K430" i="1"/>
  <c r="H430" i="1"/>
  <c r="L430" i="1"/>
  <c r="K429" i="1"/>
  <c r="L429" i="1"/>
  <c r="H429" i="1"/>
  <c r="K428" i="1"/>
  <c r="H428" i="1"/>
  <c r="L428" i="1"/>
  <c r="K427" i="1"/>
  <c r="L427" i="1"/>
  <c r="H427" i="1"/>
  <c r="K426" i="1"/>
  <c r="L426" i="1"/>
  <c r="H426" i="1"/>
  <c r="K425" i="1"/>
  <c r="H425" i="1"/>
  <c r="L425" i="1"/>
  <c r="K424" i="1"/>
  <c r="H424" i="1"/>
  <c r="L424" i="1"/>
  <c r="K423" i="1"/>
  <c r="L423" i="1"/>
  <c r="H423" i="1"/>
  <c r="K422" i="1"/>
  <c r="H422" i="1"/>
  <c r="L422" i="1"/>
  <c r="K421" i="1"/>
  <c r="H421" i="1"/>
  <c r="L421" i="1"/>
  <c r="L420" i="1"/>
  <c r="K420" i="1"/>
  <c r="H420" i="1"/>
  <c r="K419" i="1"/>
  <c r="H419" i="1"/>
  <c r="L419" i="1"/>
  <c r="K418" i="1"/>
  <c r="H418" i="1"/>
  <c r="L418" i="1"/>
  <c r="K417" i="1"/>
  <c r="L417" i="1"/>
  <c r="H417" i="1"/>
  <c r="K416" i="1"/>
  <c r="L416" i="1"/>
  <c r="H416" i="1"/>
  <c r="K415" i="1"/>
  <c r="H415" i="1"/>
  <c r="L415" i="1"/>
  <c r="K414" i="1"/>
  <c r="H414" i="1"/>
  <c r="L414" i="1"/>
  <c r="K413" i="1"/>
  <c r="H413" i="1"/>
  <c r="L413" i="1"/>
  <c r="L412" i="1"/>
  <c r="K412" i="1"/>
  <c r="H412" i="1"/>
  <c r="K411" i="1"/>
  <c r="L411" i="1"/>
  <c r="H411" i="1"/>
  <c r="K410" i="1"/>
  <c r="H410" i="1"/>
  <c r="L410" i="1"/>
  <c r="K409" i="1"/>
  <c r="L409" i="1"/>
  <c r="H409" i="1"/>
  <c r="K408" i="1"/>
  <c r="L408" i="1"/>
  <c r="H408" i="1"/>
  <c r="K407" i="1"/>
  <c r="H407" i="1"/>
  <c r="L407" i="1"/>
  <c r="K406" i="1"/>
  <c r="H406" i="1"/>
  <c r="L406" i="1"/>
  <c r="K405" i="1"/>
  <c r="H405" i="1"/>
  <c r="L405" i="1"/>
  <c r="L404" i="1"/>
  <c r="K404" i="1"/>
  <c r="H404" i="1"/>
  <c r="K403" i="1"/>
  <c r="L403" i="1"/>
  <c r="H403" i="1"/>
  <c r="K402" i="1"/>
  <c r="H402" i="1"/>
  <c r="L402" i="1"/>
  <c r="K401" i="1"/>
  <c r="L401" i="1"/>
  <c r="H401" i="1"/>
  <c r="K400" i="1"/>
  <c r="H400" i="1"/>
  <c r="L400" i="1"/>
  <c r="K399" i="1"/>
  <c r="H399" i="1"/>
  <c r="L399" i="1"/>
  <c r="K398" i="1"/>
  <c r="H398" i="1"/>
  <c r="L398" i="1"/>
  <c r="K397" i="1"/>
  <c r="H397" i="1"/>
  <c r="L397" i="1"/>
  <c r="K396" i="1"/>
  <c r="L396" i="1"/>
  <c r="H396" i="1"/>
  <c r="K395" i="1"/>
  <c r="L395" i="1"/>
  <c r="H395" i="1"/>
  <c r="K394" i="1"/>
  <c r="H394" i="1"/>
  <c r="L394" i="1"/>
  <c r="K393" i="1"/>
  <c r="L393" i="1"/>
  <c r="H393" i="1"/>
  <c r="K392" i="1"/>
  <c r="L392" i="1"/>
  <c r="H392" i="1"/>
  <c r="K391" i="1"/>
  <c r="H391" i="1"/>
  <c r="L391" i="1"/>
  <c r="K390" i="1"/>
  <c r="H390" i="1"/>
  <c r="L390" i="1"/>
  <c r="K389" i="1"/>
  <c r="H389" i="1"/>
  <c r="L389" i="1"/>
  <c r="L388" i="1"/>
  <c r="K388" i="1"/>
  <c r="H388" i="1"/>
  <c r="K387" i="1"/>
  <c r="L387" i="1"/>
  <c r="H387" i="1"/>
  <c r="K386" i="1"/>
  <c r="H386" i="1"/>
  <c r="L386" i="1"/>
  <c r="K385" i="1"/>
  <c r="L385" i="1"/>
  <c r="H385" i="1"/>
  <c r="K384" i="1"/>
  <c r="H384" i="1"/>
  <c r="L384" i="1"/>
  <c r="K383" i="1"/>
  <c r="H383" i="1"/>
  <c r="L383" i="1"/>
  <c r="K382" i="1"/>
  <c r="H382" i="1"/>
  <c r="L382" i="1"/>
  <c r="K381" i="1"/>
  <c r="H381" i="1"/>
  <c r="L381" i="1"/>
  <c r="K380" i="1"/>
  <c r="L380" i="1"/>
  <c r="H380" i="1"/>
  <c r="K379" i="1"/>
  <c r="L379" i="1"/>
  <c r="H379" i="1"/>
  <c r="K378" i="1"/>
  <c r="H378" i="1"/>
  <c r="L378" i="1"/>
  <c r="K377" i="1"/>
  <c r="L377" i="1"/>
  <c r="H377" i="1"/>
  <c r="K376" i="1"/>
  <c r="L376" i="1"/>
  <c r="H376" i="1"/>
  <c r="K375" i="1"/>
  <c r="H375" i="1"/>
  <c r="L375" i="1"/>
  <c r="K374" i="1"/>
  <c r="H374" i="1"/>
  <c r="L374" i="1"/>
  <c r="K373" i="1"/>
  <c r="H373" i="1"/>
  <c r="L373" i="1"/>
  <c r="L372" i="1"/>
  <c r="K372" i="1"/>
  <c r="H372" i="1"/>
  <c r="K371" i="1"/>
  <c r="L371" i="1"/>
  <c r="H371" i="1"/>
  <c r="K370" i="1"/>
  <c r="H370" i="1"/>
  <c r="L370" i="1"/>
  <c r="K369" i="1"/>
  <c r="L369" i="1"/>
  <c r="H369" i="1"/>
  <c r="K368" i="1"/>
  <c r="H368" i="1"/>
  <c r="L368" i="1"/>
  <c r="K367" i="1"/>
  <c r="H367" i="1"/>
  <c r="L367" i="1"/>
  <c r="K366" i="1"/>
  <c r="H366" i="1"/>
  <c r="L366" i="1"/>
  <c r="K365" i="1"/>
  <c r="H365" i="1"/>
  <c r="L365" i="1"/>
  <c r="K364" i="1"/>
  <c r="L364" i="1"/>
  <c r="H364" i="1"/>
  <c r="K363" i="1"/>
  <c r="L363" i="1"/>
  <c r="H363" i="1"/>
  <c r="K362" i="1"/>
  <c r="H362" i="1"/>
  <c r="L362" i="1"/>
  <c r="K361" i="1"/>
  <c r="L361" i="1"/>
  <c r="H361" i="1"/>
  <c r="K360" i="1"/>
  <c r="L360" i="1"/>
  <c r="H360" i="1"/>
  <c r="K359" i="1"/>
  <c r="H359" i="1"/>
  <c r="L359" i="1"/>
  <c r="K358" i="1"/>
  <c r="H358" i="1"/>
  <c r="L358" i="1"/>
  <c r="K357" i="1"/>
  <c r="H357" i="1"/>
  <c r="L357" i="1"/>
  <c r="L356" i="1"/>
  <c r="K356" i="1"/>
  <c r="H356" i="1"/>
  <c r="K355" i="1"/>
  <c r="L355" i="1"/>
  <c r="H355" i="1"/>
  <c r="K354" i="1"/>
  <c r="H354" i="1"/>
  <c r="L354" i="1"/>
  <c r="K353" i="1"/>
  <c r="L353" i="1"/>
  <c r="H353" i="1"/>
  <c r="K352" i="1"/>
  <c r="H352" i="1"/>
  <c r="L352" i="1"/>
  <c r="K351" i="1"/>
  <c r="H351" i="1"/>
  <c r="L351" i="1"/>
  <c r="K350" i="1"/>
  <c r="H350" i="1"/>
  <c r="L350" i="1"/>
  <c r="K349" i="1"/>
  <c r="H349" i="1"/>
  <c r="L349" i="1"/>
  <c r="K348" i="1"/>
  <c r="L348" i="1"/>
  <c r="H348" i="1"/>
  <c r="K347" i="1"/>
  <c r="L347" i="1"/>
  <c r="H347" i="1"/>
  <c r="K346" i="1"/>
  <c r="H346" i="1"/>
  <c r="L346" i="1"/>
  <c r="K345" i="1"/>
  <c r="L345" i="1"/>
  <c r="H345" i="1"/>
  <c r="K344" i="1"/>
  <c r="L344" i="1"/>
  <c r="H344" i="1"/>
  <c r="K343" i="1"/>
  <c r="H343" i="1"/>
  <c r="L343" i="1"/>
  <c r="K342" i="1"/>
  <c r="H342" i="1"/>
  <c r="L342" i="1"/>
  <c r="K341" i="1"/>
  <c r="H341" i="1"/>
  <c r="L341" i="1"/>
  <c r="L340" i="1"/>
  <c r="K340" i="1"/>
  <c r="H340" i="1"/>
  <c r="K339" i="1"/>
  <c r="L339" i="1"/>
  <c r="H339" i="1"/>
  <c r="K338" i="1"/>
  <c r="H338" i="1"/>
  <c r="L338" i="1"/>
  <c r="K337" i="1"/>
  <c r="L337" i="1"/>
  <c r="H337" i="1"/>
  <c r="K336" i="1"/>
  <c r="H336" i="1"/>
  <c r="L336" i="1"/>
  <c r="K335" i="1"/>
  <c r="H335" i="1"/>
  <c r="L335" i="1"/>
  <c r="K334" i="1"/>
  <c r="H334" i="1"/>
  <c r="L334" i="1"/>
  <c r="K333" i="1"/>
  <c r="H333" i="1"/>
  <c r="L333" i="1"/>
  <c r="K332" i="1"/>
  <c r="L332" i="1"/>
  <c r="H332" i="1"/>
  <c r="K331" i="1"/>
  <c r="L331" i="1"/>
  <c r="H331" i="1"/>
  <c r="K330" i="1"/>
  <c r="H330" i="1"/>
  <c r="L330" i="1"/>
  <c r="K329" i="1"/>
  <c r="L329" i="1"/>
  <c r="H329" i="1"/>
  <c r="K328" i="1"/>
  <c r="L328" i="1"/>
  <c r="H328" i="1"/>
  <c r="K327" i="1"/>
  <c r="H327" i="1"/>
  <c r="L327" i="1"/>
  <c r="K326" i="1"/>
  <c r="H326" i="1"/>
  <c r="L326" i="1"/>
  <c r="K325" i="1"/>
  <c r="H325" i="1"/>
  <c r="L325" i="1"/>
  <c r="L324" i="1"/>
  <c r="K324" i="1"/>
  <c r="H324" i="1"/>
  <c r="K323" i="1"/>
  <c r="H323" i="1"/>
  <c r="L323" i="1"/>
  <c r="K322" i="1"/>
  <c r="H322" i="1"/>
  <c r="L322" i="1"/>
  <c r="K321" i="1"/>
  <c r="L321" i="1"/>
  <c r="H321" i="1"/>
  <c r="K320" i="1"/>
  <c r="H320" i="1"/>
  <c r="L320" i="1"/>
  <c r="K319" i="1"/>
  <c r="H319" i="1"/>
  <c r="L319" i="1"/>
  <c r="K318" i="1"/>
  <c r="H318" i="1"/>
  <c r="L318" i="1"/>
  <c r="K317" i="1"/>
  <c r="L317" i="1"/>
  <c r="H317" i="1"/>
  <c r="K316" i="1"/>
  <c r="H316" i="1"/>
  <c r="L316" i="1"/>
  <c r="K315" i="1"/>
  <c r="H315" i="1"/>
  <c r="L315" i="1"/>
  <c r="K314" i="1"/>
  <c r="H314" i="1"/>
  <c r="L314" i="1"/>
  <c r="K313" i="1"/>
  <c r="L313" i="1"/>
  <c r="H313" i="1"/>
  <c r="K312" i="1"/>
  <c r="H312" i="1"/>
  <c r="L312" i="1"/>
  <c r="K311" i="1"/>
  <c r="H311" i="1"/>
  <c r="L311" i="1"/>
  <c r="K310" i="1"/>
  <c r="H310" i="1"/>
  <c r="L310" i="1"/>
  <c r="K309" i="1"/>
  <c r="L309" i="1"/>
  <c r="H309" i="1"/>
  <c r="K308" i="1"/>
  <c r="H308" i="1"/>
  <c r="L308" i="1"/>
  <c r="K307" i="1"/>
  <c r="H307" i="1"/>
  <c r="L307" i="1"/>
  <c r="K306" i="1"/>
  <c r="H306" i="1"/>
  <c r="L306" i="1"/>
  <c r="K305" i="1"/>
  <c r="L305" i="1"/>
  <c r="H305" i="1"/>
  <c r="K304" i="1"/>
  <c r="H304" i="1"/>
  <c r="L304" i="1"/>
  <c r="K303" i="1"/>
  <c r="H303" i="1"/>
  <c r="L303" i="1"/>
  <c r="K302" i="1"/>
  <c r="H302" i="1"/>
  <c r="L302" i="1"/>
  <c r="K301" i="1"/>
  <c r="L301" i="1"/>
  <c r="H301" i="1"/>
  <c r="K300" i="1"/>
  <c r="H300" i="1"/>
  <c r="L300" i="1"/>
  <c r="K299" i="1"/>
  <c r="H299" i="1"/>
  <c r="L299" i="1"/>
  <c r="K298" i="1"/>
  <c r="H298" i="1"/>
  <c r="L298" i="1"/>
  <c r="K297" i="1"/>
  <c r="L297" i="1"/>
  <c r="H297" i="1"/>
  <c r="K296" i="1"/>
  <c r="H296" i="1"/>
  <c r="L296" i="1"/>
  <c r="K295" i="1"/>
  <c r="H295" i="1"/>
  <c r="L295" i="1"/>
  <c r="K294" i="1"/>
  <c r="H294" i="1"/>
  <c r="L294" i="1"/>
  <c r="K293" i="1"/>
  <c r="L293" i="1"/>
  <c r="H293" i="1"/>
  <c r="K292" i="1"/>
  <c r="H292" i="1"/>
  <c r="L292" i="1"/>
  <c r="K291" i="1"/>
  <c r="H291" i="1"/>
  <c r="L291" i="1"/>
  <c r="K290" i="1"/>
  <c r="H290" i="1"/>
  <c r="L290" i="1"/>
  <c r="K289" i="1"/>
  <c r="L289" i="1"/>
  <c r="H289" i="1"/>
  <c r="K288" i="1"/>
  <c r="H288" i="1"/>
  <c r="L288" i="1"/>
  <c r="K287" i="1"/>
  <c r="H287" i="1"/>
  <c r="L287" i="1"/>
  <c r="K286" i="1"/>
  <c r="H286" i="1"/>
  <c r="L286" i="1"/>
  <c r="K285" i="1"/>
  <c r="L285" i="1"/>
  <c r="H285" i="1"/>
  <c r="K284" i="1"/>
  <c r="H284" i="1"/>
  <c r="L284" i="1"/>
  <c r="K283" i="1"/>
  <c r="H283" i="1"/>
  <c r="L283" i="1"/>
  <c r="K282" i="1"/>
  <c r="H282" i="1"/>
  <c r="L282" i="1"/>
  <c r="K281" i="1"/>
  <c r="L281" i="1"/>
  <c r="H281" i="1"/>
  <c r="K280" i="1"/>
  <c r="H280" i="1"/>
  <c r="L280" i="1"/>
  <c r="K279" i="1"/>
  <c r="H279" i="1"/>
  <c r="L279" i="1"/>
  <c r="K278" i="1"/>
  <c r="H278" i="1"/>
  <c r="L278" i="1"/>
  <c r="K277" i="1"/>
  <c r="L277" i="1"/>
  <c r="H277" i="1"/>
  <c r="K276" i="1"/>
  <c r="H276" i="1"/>
  <c r="L276" i="1"/>
  <c r="K275" i="1"/>
  <c r="H275" i="1"/>
  <c r="L275" i="1"/>
  <c r="K274" i="1"/>
  <c r="H274" i="1"/>
  <c r="L274" i="1"/>
  <c r="K273" i="1"/>
  <c r="L273" i="1"/>
  <c r="H273" i="1"/>
  <c r="K272" i="1"/>
  <c r="H272" i="1"/>
  <c r="L272" i="1"/>
  <c r="K271" i="1"/>
  <c r="H271" i="1"/>
  <c r="L271" i="1"/>
  <c r="K270" i="1"/>
  <c r="H270" i="1"/>
  <c r="L270" i="1"/>
  <c r="K269" i="1"/>
  <c r="L269" i="1"/>
  <c r="H269" i="1"/>
  <c r="K268" i="1"/>
  <c r="H268" i="1"/>
  <c r="L268" i="1"/>
  <c r="K267" i="1"/>
  <c r="H267" i="1"/>
  <c r="L267" i="1"/>
  <c r="K266" i="1"/>
  <c r="H266" i="1"/>
  <c r="L266" i="1"/>
  <c r="K265" i="1"/>
  <c r="L265" i="1"/>
  <c r="H265" i="1"/>
  <c r="K264" i="1"/>
  <c r="H264" i="1"/>
  <c r="L264" i="1"/>
  <c r="K263" i="1"/>
  <c r="H263" i="1"/>
  <c r="L263" i="1"/>
  <c r="K262" i="1"/>
  <c r="H262" i="1"/>
  <c r="L262" i="1"/>
  <c r="K261" i="1"/>
  <c r="L261" i="1"/>
  <c r="H261" i="1"/>
  <c r="K260" i="1"/>
  <c r="H260" i="1"/>
  <c r="L260" i="1"/>
  <c r="K259" i="1"/>
  <c r="H259" i="1"/>
  <c r="L259" i="1"/>
  <c r="K258" i="1"/>
  <c r="H258" i="1"/>
  <c r="L258" i="1"/>
  <c r="K257" i="1"/>
  <c r="L257" i="1"/>
  <c r="H257" i="1"/>
  <c r="K256" i="1"/>
  <c r="H256" i="1"/>
  <c r="L256" i="1"/>
  <c r="K255" i="1"/>
  <c r="H255" i="1"/>
  <c r="L255" i="1"/>
  <c r="K254" i="1"/>
  <c r="H254" i="1"/>
  <c r="L254" i="1"/>
  <c r="K253" i="1"/>
  <c r="L253" i="1"/>
  <c r="H253" i="1"/>
  <c r="K252" i="1"/>
  <c r="H252" i="1"/>
  <c r="L252" i="1"/>
  <c r="K251" i="1"/>
  <c r="H251" i="1"/>
  <c r="L251" i="1"/>
  <c r="K250" i="1"/>
  <c r="H250" i="1"/>
  <c r="L250" i="1"/>
  <c r="K249" i="1"/>
  <c r="L249" i="1"/>
  <c r="H249" i="1"/>
  <c r="K248" i="1"/>
  <c r="H248" i="1"/>
  <c r="L248" i="1"/>
  <c r="K247" i="1"/>
  <c r="H247" i="1"/>
  <c r="L247" i="1"/>
  <c r="K246" i="1"/>
  <c r="H246" i="1"/>
  <c r="L246" i="1"/>
  <c r="K245" i="1"/>
  <c r="L245" i="1"/>
  <c r="H245" i="1"/>
  <c r="K244" i="1"/>
  <c r="H244" i="1"/>
  <c r="L244" i="1"/>
  <c r="K243" i="1"/>
  <c r="H243" i="1"/>
  <c r="L243" i="1"/>
  <c r="K242" i="1"/>
  <c r="H242" i="1"/>
  <c r="L242" i="1"/>
  <c r="K241" i="1"/>
  <c r="L241" i="1"/>
  <c r="H241" i="1"/>
  <c r="K240" i="1"/>
  <c r="H240" i="1"/>
  <c r="L240" i="1"/>
  <c r="K239" i="1"/>
  <c r="H239" i="1"/>
  <c r="L239" i="1"/>
  <c r="K238" i="1"/>
  <c r="H238" i="1"/>
  <c r="L238" i="1"/>
  <c r="K237" i="1"/>
  <c r="L237" i="1"/>
  <c r="H237" i="1"/>
  <c r="K236" i="1"/>
  <c r="H236" i="1"/>
  <c r="L236" i="1"/>
  <c r="K235" i="1"/>
  <c r="H235" i="1"/>
  <c r="L235" i="1"/>
  <c r="K234" i="1"/>
  <c r="H234" i="1"/>
  <c r="L234" i="1"/>
  <c r="K233" i="1"/>
  <c r="L233" i="1"/>
  <c r="H233" i="1"/>
  <c r="K232" i="1"/>
  <c r="H232" i="1"/>
  <c r="L232" i="1"/>
  <c r="K231" i="1"/>
  <c r="H231" i="1"/>
  <c r="L231" i="1"/>
  <c r="K230" i="1"/>
  <c r="H230" i="1"/>
  <c r="L230" i="1"/>
  <c r="K229" i="1"/>
  <c r="L229" i="1"/>
  <c r="H229" i="1"/>
  <c r="K228" i="1"/>
  <c r="H228" i="1"/>
  <c r="L228" i="1"/>
  <c r="K227" i="1"/>
  <c r="H227" i="1"/>
  <c r="L227" i="1"/>
  <c r="K226" i="1"/>
  <c r="H226" i="1"/>
  <c r="L226" i="1"/>
  <c r="K225" i="1"/>
  <c r="L225" i="1"/>
  <c r="H225" i="1"/>
  <c r="K224" i="1"/>
  <c r="H224" i="1"/>
  <c r="L224" i="1"/>
  <c r="K223" i="1"/>
  <c r="H223" i="1"/>
  <c r="L223" i="1"/>
  <c r="K222" i="1"/>
  <c r="H222" i="1"/>
  <c r="L222" i="1"/>
  <c r="K221" i="1"/>
  <c r="L221" i="1"/>
  <c r="H221" i="1"/>
  <c r="K220" i="1"/>
  <c r="H220" i="1"/>
  <c r="L220" i="1"/>
  <c r="K219" i="1"/>
  <c r="H219" i="1"/>
  <c r="L219" i="1"/>
  <c r="K218" i="1"/>
  <c r="H218" i="1"/>
  <c r="L218" i="1"/>
  <c r="K217" i="1"/>
  <c r="H217" i="1"/>
  <c r="L217" i="1"/>
  <c r="K216" i="1"/>
  <c r="H216" i="1"/>
  <c r="L216" i="1"/>
  <c r="K215" i="1"/>
  <c r="H215" i="1"/>
  <c r="L215" i="1"/>
  <c r="K214" i="1"/>
  <c r="H214" i="1"/>
  <c r="L214" i="1"/>
  <c r="K213" i="1"/>
  <c r="H213" i="1"/>
  <c r="L213" i="1"/>
  <c r="K212" i="1"/>
  <c r="H212" i="1"/>
  <c r="L212" i="1"/>
  <c r="K211" i="1"/>
  <c r="H211" i="1"/>
  <c r="L211" i="1"/>
  <c r="K210" i="1"/>
  <c r="H210" i="1"/>
  <c r="L210" i="1"/>
  <c r="K209" i="1"/>
  <c r="H209" i="1"/>
  <c r="L209" i="1"/>
  <c r="K208" i="1"/>
  <c r="H208" i="1"/>
  <c r="L208" i="1"/>
  <c r="K207" i="1"/>
  <c r="H207" i="1"/>
  <c r="L207" i="1"/>
  <c r="K206" i="1"/>
  <c r="H206" i="1"/>
  <c r="L206" i="1"/>
  <c r="K205" i="1"/>
  <c r="H205" i="1"/>
  <c r="L205" i="1"/>
  <c r="K204" i="1"/>
  <c r="H204" i="1"/>
  <c r="L204" i="1"/>
  <c r="K203" i="1"/>
  <c r="H203" i="1"/>
  <c r="L203" i="1"/>
  <c r="K202" i="1"/>
  <c r="H202" i="1"/>
  <c r="L202" i="1"/>
  <c r="K201" i="1"/>
  <c r="H201" i="1"/>
  <c r="L201" i="1"/>
  <c r="K200" i="1"/>
  <c r="H200" i="1"/>
  <c r="L200" i="1"/>
  <c r="K199" i="1"/>
  <c r="H199" i="1"/>
  <c r="L199" i="1"/>
  <c r="K198" i="1"/>
  <c r="H198" i="1"/>
  <c r="L198" i="1"/>
  <c r="K197" i="1"/>
  <c r="H197" i="1"/>
  <c r="L197" i="1"/>
  <c r="K196" i="1"/>
  <c r="H196" i="1"/>
  <c r="L196" i="1"/>
  <c r="K195" i="1"/>
  <c r="H195" i="1"/>
  <c r="L195" i="1"/>
  <c r="K194" i="1"/>
  <c r="H194" i="1"/>
  <c r="L194" i="1"/>
  <c r="K193" i="1"/>
  <c r="H193" i="1"/>
  <c r="L193" i="1"/>
  <c r="K192" i="1"/>
  <c r="H192" i="1"/>
  <c r="L192" i="1"/>
  <c r="K191" i="1"/>
  <c r="H191" i="1"/>
  <c r="L191" i="1"/>
  <c r="K190" i="1"/>
  <c r="H190" i="1"/>
  <c r="L190" i="1"/>
  <c r="K189" i="1"/>
  <c r="H189" i="1"/>
  <c r="L189" i="1"/>
  <c r="K188" i="1"/>
  <c r="H188" i="1"/>
  <c r="L188" i="1"/>
  <c r="K187" i="1"/>
  <c r="H187" i="1"/>
  <c r="L187" i="1"/>
  <c r="K186" i="1"/>
  <c r="H186" i="1"/>
  <c r="L186" i="1"/>
  <c r="K185" i="1"/>
  <c r="H185" i="1"/>
  <c r="L185" i="1"/>
  <c r="K184" i="1"/>
  <c r="H184" i="1"/>
  <c r="L184" i="1"/>
  <c r="K183" i="1"/>
  <c r="H183" i="1"/>
  <c r="L183" i="1"/>
  <c r="K182" i="1"/>
  <c r="H182" i="1"/>
  <c r="L182" i="1"/>
  <c r="K181" i="1"/>
  <c r="H181" i="1"/>
  <c r="L181" i="1"/>
  <c r="K180" i="1"/>
  <c r="H180" i="1"/>
  <c r="L180" i="1"/>
  <c r="K179" i="1"/>
  <c r="H179" i="1"/>
  <c r="L179" i="1"/>
  <c r="K178" i="1"/>
  <c r="H178" i="1"/>
  <c r="L178" i="1"/>
  <c r="K177" i="1"/>
  <c r="H177" i="1"/>
  <c r="L177" i="1"/>
  <c r="K176" i="1"/>
  <c r="H176" i="1"/>
  <c r="L176" i="1"/>
  <c r="K175" i="1"/>
  <c r="H175" i="1"/>
  <c r="L175" i="1"/>
  <c r="K174" i="1"/>
  <c r="H174" i="1"/>
  <c r="L174" i="1"/>
  <c r="K173" i="1"/>
  <c r="H173" i="1"/>
  <c r="L173" i="1"/>
  <c r="K172" i="1"/>
  <c r="H172" i="1"/>
  <c r="L172" i="1"/>
  <c r="K171" i="1"/>
  <c r="H171" i="1"/>
  <c r="L171" i="1"/>
  <c r="K170" i="1"/>
  <c r="H170" i="1"/>
  <c r="L170" i="1"/>
  <c r="K169" i="1"/>
  <c r="H169" i="1"/>
  <c r="L169" i="1"/>
  <c r="K168" i="1"/>
  <c r="H168" i="1"/>
  <c r="L168" i="1"/>
  <c r="K167" i="1"/>
  <c r="H167" i="1"/>
  <c r="L167" i="1"/>
  <c r="K166" i="1"/>
  <c r="H166" i="1"/>
  <c r="L166" i="1"/>
  <c r="K165" i="1"/>
  <c r="H165" i="1"/>
  <c r="L165" i="1"/>
  <c r="K164" i="1"/>
  <c r="H164" i="1"/>
  <c r="L164" i="1"/>
  <c r="K163" i="1"/>
  <c r="H163" i="1"/>
  <c r="L163" i="1"/>
  <c r="K162" i="1"/>
  <c r="H162" i="1"/>
  <c r="L162" i="1"/>
  <c r="K161" i="1"/>
  <c r="H161" i="1"/>
  <c r="L161" i="1"/>
  <c r="K160" i="1"/>
  <c r="H160" i="1"/>
  <c r="L160" i="1"/>
  <c r="K159" i="1"/>
  <c r="H159" i="1"/>
  <c r="L159" i="1"/>
  <c r="K158" i="1"/>
  <c r="H158" i="1"/>
  <c r="L158" i="1"/>
  <c r="K157" i="1"/>
  <c r="H157" i="1"/>
  <c r="L157" i="1"/>
  <c r="K156" i="1"/>
  <c r="H156" i="1"/>
  <c r="L156" i="1"/>
  <c r="K155" i="1"/>
  <c r="H155" i="1"/>
  <c r="L155" i="1"/>
  <c r="K154" i="1"/>
  <c r="H154" i="1"/>
  <c r="L154" i="1"/>
  <c r="K153" i="1"/>
  <c r="H153" i="1"/>
  <c r="L153" i="1"/>
  <c r="K152" i="1"/>
  <c r="H152" i="1"/>
  <c r="L152" i="1"/>
  <c r="K151" i="1"/>
  <c r="H151" i="1"/>
  <c r="L151" i="1"/>
  <c r="K150" i="1"/>
  <c r="H150" i="1"/>
  <c r="L150" i="1"/>
  <c r="K149" i="1"/>
  <c r="H149" i="1"/>
  <c r="L149" i="1"/>
  <c r="K148" i="1"/>
  <c r="H148" i="1"/>
  <c r="L148" i="1"/>
  <c r="K147" i="1"/>
  <c r="H147" i="1"/>
  <c r="L147" i="1"/>
  <c r="K146" i="1"/>
  <c r="H146" i="1"/>
  <c r="L146" i="1"/>
  <c r="K145" i="1"/>
  <c r="H145" i="1"/>
  <c r="L145" i="1"/>
  <c r="K144" i="1"/>
  <c r="H144" i="1"/>
  <c r="L144" i="1"/>
  <c r="K143" i="1"/>
  <c r="H143" i="1"/>
  <c r="L143" i="1"/>
  <c r="K142" i="1"/>
  <c r="H142" i="1"/>
  <c r="L142" i="1"/>
  <c r="K141" i="1"/>
  <c r="H141" i="1"/>
  <c r="L141" i="1"/>
  <c r="K140" i="1"/>
  <c r="H140" i="1"/>
  <c r="L140" i="1"/>
  <c r="K139" i="1"/>
  <c r="H139" i="1"/>
  <c r="L139" i="1"/>
  <c r="K138" i="1"/>
  <c r="H138" i="1"/>
  <c r="L138" i="1"/>
  <c r="K137" i="1"/>
  <c r="H137" i="1"/>
  <c r="L137" i="1"/>
  <c r="K136" i="1"/>
  <c r="H136" i="1"/>
  <c r="L136" i="1"/>
  <c r="K135" i="1"/>
  <c r="H135" i="1"/>
  <c r="L135" i="1"/>
  <c r="K134" i="1"/>
  <c r="H134" i="1"/>
  <c r="L134" i="1"/>
  <c r="K133" i="1"/>
  <c r="H133" i="1"/>
  <c r="L133" i="1"/>
  <c r="K132" i="1"/>
  <c r="H132" i="1"/>
  <c r="L132" i="1"/>
  <c r="K131" i="1"/>
  <c r="H131" i="1"/>
  <c r="L131" i="1"/>
  <c r="K130" i="1"/>
  <c r="H130" i="1"/>
  <c r="L130" i="1"/>
  <c r="K129" i="1"/>
  <c r="H129" i="1"/>
  <c r="L129" i="1"/>
  <c r="K128" i="1"/>
  <c r="H128" i="1"/>
  <c r="L128" i="1"/>
  <c r="K127" i="1"/>
  <c r="H127" i="1"/>
  <c r="L127" i="1"/>
  <c r="K126" i="1"/>
  <c r="H126" i="1"/>
  <c r="L126" i="1"/>
  <c r="K125" i="1"/>
  <c r="H125" i="1"/>
  <c r="L125" i="1"/>
  <c r="K124" i="1"/>
  <c r="H124" i="1"/>
  <c r="L124" i="1"/>
  <c r="K123" i="1"/>
  <c r="H123" i="1"/>
  <c r="L123" i="1"/>
  <c r="K122" i="1"/>
  <c r="H122" i="1"/>
  <c r="L122" i="1"/>
  <c r="K121" i="1"/>
  <c r="H121" i="1"/>
  <c r="L121" i="1"/>
  <c r="K120" i="1"/>
  <c r="H120" i="1"/>
  <c r="L120" i="1"/>
  <c r="K119" i="1"/>
  <c r="H119" i="1"/>
  <c r="L119" i="1"/>
  <c r="K118" i="1"/>
  <c r="H118" i="1"/>
  <c r="L118" i="1"/>
  <c r="K117" i="1"/>
  <c r="H117" i="1"/>
  <c r="L117" i="1"/>
  <c r="K116" i="1"/>
  <c r="H116" i="1"/>
  <c r="L116" i="1"/>
  <c r="K115" i="1"/>
  <c r="H115" i="1"/>
  <c r="L115" i="1"/>
  <c r="K114" i="1"/>
  <c r="H114" i="1"/>
  <c r="L114" i="1"/>
  <c r="K113" i="1"/>
  <c r="H113" i="1"/>
  <c r="L113" i="1"/>
  <c r="K112" i="1"/>
  <c r="H112" i="1"/>
  <c r="L112" i="1"/>
  <c r="K111" i="1"/>
  <c r="H111" i="1"/>
  <c r="L111" i="1"/>
  <c r="K110" i="1"/>
  <c r="H110" i="1"/>
  <c r="L110" i="1"/>
  <c r="K109" i="1"/>
  <c r="H109" i="1"/>
  <c r="L109" i="1"/>
  <c r="K108" i="1"/>
  <c r="H108" i="1"/>
  <c r="L108" i="1"/>
  <c r="K107" i="1"/>
  <c r="H107" i="1"/>
  <c r="L107" i="1"/>
  <c r="K106" i="1"/>
  <c r="H106" i="1"/>
  <c r="L106" i="1"/>
  <c r="K105" i="1"/>
  <c r="H105" i="1"/>
  <c r="L105" i="1"/>
  <c r="K104" i="1"/>
  <c r="H104" i="1"/>
  <c r="L104" i="1"/>
  <c r="K103" i="1"/>
  <c r="H103" i="1"/>
  <c r="L103" i="1"/>
  <c r="K102" i="1"/>
  <c r="H102" i="1"/>
  <c r="L102" i="1"/>
  <c r="K101" i="1"/>
  <c r="H101" i="1"/>
  <c r="L101" i="1"/>
  <c r="K100" i="1"/>
  <c r="H100" i="1"/>
  <c r="L100" i="1"/>
  <c r="K99" i="1"/>
  <c r="H99" i="1"/>
  <c r="L99" i="1"/>
  <c r="K98" i="1"/>
  <c r="L98" i="1"/>
  <c r="H98" i="1"/>
  <c r="K97" i="1"/>
  <c r="H97" i="1"/>
  <c r="L97" i="1"/>
  <c r="K96" i="1"/>
  <c r="H96" i="1"/>
  <c r="L96" i="1"/>
  <c r="K95" i="1"/>
  <c r="H95" i="1"/>
  <c r="L95" i="1"/>
  <c r="K94" i="1"/>
  <c r="H94" i="1"/>
  <c r="L94" i="1"/>
  <c r="K93" i="1"/>
  <c r="H93" i="1"/>
  <c r="L93" i="1"/>
  <c r="K92" i="1"/>
  <c r="H92" i="1"/>
  <c r="L92" i="1"/>
  <c r="K91" i="1"/>
  <c r="H91" i="1"/>
  <c r="L91" i="1"/>
  <c r="K90" i="1"/>
  <c r="H90" i="1"/>
  <c r="L90" i="1"/>
  <c r="K89" i="1"/>
  <c r="H89" i="1"/>
  <c r="L89" i="1"/>
  <c r="K88" i="1"/>
  <c r="H88" i="1"/>
  <c r="L88" i="1"/>
  <c r="K87" i="1"/>
  <c r="L87" i="1"/>
  <c r="H87" i="1"/>
  <c r="K86" i="1"/>
  <c r="L86" i="1"/>
  <c r="H86" i="1"/>
  <c r="K85" i="1"/>
  <c r="H85" i="1"/>
  <c r="L85" i="1"/>
  <c r="K84" i="1"/>
  <c r="H84" i="1"/>
  <c r="L84" i="1"/>
  <c r="K83" i="1"/>
  <c r="H83" i="1"/>
  <c r="L83" i="1"/>
  <c r="K82" i="1"/>
  <c r="L82" i="1"/>
  <c r="H82" i="1"/>
  <c r="K81" i="1"/>
  <c r="H81" i="1"/>
  <c r="L81" i="1"/>
  <c r="K80" i="1"/>
  <c r="H80" i="1"/>
  <c r="L80" i="1"/>
  <c r="K79" i="1"/>
  <c r="H79" i="1"/>
  <c r="L79" i="1"/>
  <c r="K78" i="1"/>
  <c r="L78" i="1"/>
  <c r="H78" i="1"/>
  <c r="K77" i="1"/>
  <c r="H77" i="1"/>
  <c r="L77" i="1"/>
  <c r="K76" i="1"/>
  <c r="H76" i="1"/>
  <c r="L76" i="1"/>
  <c r="K75" i="1"/>
  <c r="H75" i="1"/>
  <c r="L75" i="1"/>
  <c r="K74" i="1"/>
  <c r="H74" i="1"/>
  <c r="L74" i="1"/>
  <c r="K73" i="1"/>
  <c r="L73" i="1"/>
  <c r="H73" i="1"/>
  <c r="K72" i="1"/>
  <c r="H72" i="1"/>
  <c r="L72" i="1"/>
  <c r="K71" i="1"/>
  <c r="L71" i="1"/>
  <c r="H71" i="1"/>
  <c r="K70" i="1"/>
  <c r="H70" i="1"/>
  <c r="L70" i="1"/>
  <c r="K69" i="1"/>
  <c r="L69" i="1"/>
  <c r="H69" i="1"/>
  <c r="K68" i="1"/>
  <c r="H68" i="1"/>
  <c r="L68" i="1"/>
  <c r="K67" i="1"/>
  <c r="L67" i="1"/>
  <c r="H67" i="1"/>
  <c r="K66" i="1"/>
  <c r="H66" i="1"/>
  <c r="L66" i="1"/>
  <c r="K65" i="1"/>
  <c r="L65" i="1"/>
  <c r="H65" i="1"/>
  <c r="K64" i="1"/>
  <c r="H64" i="1"/>
  <c r="L64" i="1"/>
  <c r="K63" i="1"/>
  <c r="L63" i="1"/>
  <c r="H63" i="1"/>
  <c r="K62" i="1"/>
  <c r="H62" i="1"/>
  <c r="L62" i="1"/>
  <c r="K61" i="1"/>
  <c r="L61" i="1"/>
  <c r="H61" i="1"/>
  <c r="K60" i="1"/>
  <c r="H60" i="1"/>
  <c r="L60" i="1"/>
  <c r="K59" i="1"/>
  <c r="L59" i="1"/>
  <c r="H59" i="1"/>
  <c r="K58" i="1"/>
  <c r="H58" i="1"/>
  <c r="L58" i="1"/>
  <c r="K57" i="1"/>
  <c r="L57" i="1"/>
  <c r="H57" i="1"/>
  <c r="K56" i="1"/>
  <c r="H56" i="1"/>
  <c r="L56" i="1"/>
  <c r="K55" i="1"/>
  <c r="L55" i="1"/>
  <c r="H55" i="1"/>
  <c r="K54" i="1"/>
  <c r="H54" i="1"/>
  <c r="L54" i="1"/>
  <c r="K53" i="1"/>
  <c r="L53" i="1"/>
  <c r="H53" i="1"/>
  <c r="K52" i="1"/>
  <c r="H52" i="1"/>
  <c r="L52" i="1"/>
  <c r="K51" i="1"/>
  <c r="L51" i="1"/>
  <c r="H51" i="1"/>
  <c r="K50" i="1"/>
  <c r="H50" i="1"/>
  <c r="L50" i="1"/>
  <c r="K49" i="1"/>
  <c r="L49" i="1"/>
  <c r="H49" i="1"/>
  <c r="K48" i="1"/>
  <c r="H48" i="1"/>
  <c r="L48" i="1"/>
  <c r="K47" i="1"/>
  <c r="L47" i="1"/>
  <c r="H47" i="1"/>
  <c r="K46" i="1"/>
  <c r="H46" i="1"/>
  <c r="L46" i="1"/>
  <c r="K45" i="1"/>
  <c r="L45" i="1"/>
  <c r="H45" i="1"/>
  <c r="K44" i="1"/>
  <c r="H44" i="1"/>
  <c r="L44" i="1"/>
  <c r="K43" i="1"/>
  <c r="L43" i="1"/>
  <c r="H43" i="1"/>
  <c r="K42" i="1"/>
  <c r="H42" i="1"/>
  <c r="L42" i="1"/>
  <c r="K41" i="1"/>
  <c r="L41" i="1"/>
  <c r="H41" i="1"/>
  <c r="K40" i="1"/>
  <c r="H40" i="1"/>
  <c r="L40" i="1"/>
  <c r="K39" i="1"/>
  <c r="L39" i="1"/>
  <c r="H39" i="1"/>
  <c r="K38" i="1"/>
  <c r="H38" i="1"/>
  <c r="L38" i="1"/>
  <c r="K37" i="1"/>
  <c r="L37" i="1"/>
  <c r="H37" i="1"/>
  <c r="K36" i="1"/>
  <c r="H36" i="1"/>
  <c r="L36" i="1"/>
  <c r="K35" i="1"/>
  <c r="L35" i="1"/>
  <c r="H35" i="1"/>
  <c r="K34" i="1"/>
  <c r="H34" i="1"/>
  <c r="L34" i="1"/>
  <c r="K33" i="1"/>
  <c r="L33" i="1"/>
  <c r="H33" i="1"/>
  <c r="K32" i="1"/>
  <c r="H32" i="1"/>
  <c r="L32" i="1"/>
  <c r="K31" i="1"/>
  <c r="L31" i="1"/>
  <c r="H31" i="1"/>
  <c r="K30" i="1"/>
  <c r="H30" i="1"/>
  <c r="L30" i="1"/>
  <c r="K29" i="1"/>
  <c r="L29" i="1"/>
  <c r="H29" i="1"/>
  <c r="K28" i="1"/>
  <c r="H28" i="1"/>
  <c r="L28" i="1"/>
  <c r="K27" i="1"/>
  <c r="L27" i="1"/>
  <c r="H27" i="1"/>
  <c r="K26" i="1"/>
  <c r="H26" i="1"/>
  <c r="L26" i="1"/>
  <c r="K25" i="1"/>
  <c r="L25" i="1"/>
  <c r="H25" i="1"/>
  <c r="K24" i="1"/>
  <c r="H24" i="1"/>
  <c r="L24" i="1"/>
  <c r="K23" i="1"/>
  <c r="L23" i="1"/>
  <c r="H23" i="1"/>
  <c r="K22" i="1"/>
  <c r="H22" i="1"/>
  <c r="L22" i="1"/>
  <c r="K21" i="1"/>
  <c r="L21" i="1"/>
  <c r="H21" i="1"/>
  <c r="K20" i="1"/>
  <c r="H20" i="1"/>
  <c r="L20" i="1"/>
  <c r="K19" i="1"/>
  <c r="L19" i="1"/>
  <c r="H19" i="1"/>
  <c r="K18" i="1"/>
  <c r="H18" i="1"/>
  <c r="L18" i="1"/>
  <c r="K17" i="1"/>
  <c r="L17" i="1"/>
  <c r="H17" i="1"/>
  <c r="K16" i="1"/>
  <c r="H16" i="1"/>
  <c r="L16" i="1"/>
  <c r="K15" i="1"/>
  <c r="L15" i="1"/>
  <c r="H15" i="1"/>
  <c r="K14" i="1"/>
  <c r="H14" i="1"/>
  <c r="L14" i="1"/>
  <c r="K13" i="1"/>
  <c r="L13" i="1"/>
  <c r="H13" i="1"/>
  <c r="K12" i="1"/>
  <c r="H12" i="1"/>
  <c r="L12" i="1"/>
  <c r="K11" i="1"/>
  <c r="L11" i="1"/>
  <c r="H11" i="1"/>
  <c r="K10" i="1"/>
  <c r="H10" i="1"/>
  <c r="L10" i="1"/>
  <c r="K9" i="1"/>
  <c r="L9" i="1"/>
  <c r="H9" i="1"/>
  <c r="K8" i="1"/>
  <c r="H8" i="1"/>
  <c r="L8" i="1"/>
  <c r="K7" i="1"/>
  <c r="L7" i="1"/>
  <c r="H7" i="1"/>
  <c r="K6" i="1"/>
  <c r="H6" i="1"/>
  <c r="L6" i="1"/>
  <c r="K5" i="1"/>
  <c r="L5" i="1"/>
  <c r="H5" i="1"/>
  <c r="K4" i="1"/>
  <c r="H4" i="1"/>
  <c r="L4" i="1"/>
  <c r="N98" i="1"/>
  <c r="K3" i="1"/>
  <c r="L3" i="1"/>
  <c r="H3" i="1"/>
  <c r="K2" i="1"/>
  <c r="H2" i="1"/>
  <c r="L2" i="1"/>
  <c r="N2" i="1" l="1"/>
  <c r="N4" i="1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N32" i="1"/>
  <c r="N34" i="1"/>
  <c r="N36" i="1"/>
  <c r="N38" i="1"/>
  <c r="N40" i="1"/>
  <c r="N42" i="1"/>
  <c r="N44" i="1"/>
  <c r="N46" i="1"/>
  <c r="N48" i="1"/>
  <c r="N50" i="1"/>
  <c r="N52" i="1"/>
  <c r="N54" i="1"/>
  <c r="N56" i="1"/>
  <c r="N58" i="1"/>
  <c r="N60" i="1"/>
  <c r="N62" i="1"/>
  <c r="N64" i="1"/>
  <c r="N66" i="1"/>
  <c r="N68" i="1"/>
  <c r="N70" i="1"/>
  <c r="N72" i="1"/>
  <c r="N75" i="1"/>
  <c r="N81" i="1"/>
  <c r="N86" i="1"/>
  <c r="N91" i="1"/>
  <c r="N97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32" i="1"/>
  <c r="N233" i="1"/>
  <c r="N248" i="1"/>
  <c r="N249" i="1"/>
  <c r="N264" i="1"/>
  <c r="N265" i="1"/>
  <c r="N280" i="1"/>
  <c r="N281" i="1"/>
  <c r="N296" i="1"/>
  <c r="N297" i="1"/>
  <c r="N312" i="1"/>
  <c r="N313" i="1"/>
  <c r="N328" i="1"/>
  <c r="N343" i="1"/>
  <c r="N367" i="1"/>
  <c r="N384" i="1"/>
  <c r="N392" i="1"/>
  <c r="N407" i="1"/>
  <c r="N415" i="1"/>
  <c r="N5" i="1"/>
  <c r="N7" i="1"/>
  <c r="N9" i="1"/>
  <c r="N11" i="1"/>
  <c r="N13" i="1"/>
  <c r="N15" i="1"/>
  <c r="N17" i="1"/>
  <c r="N19" i="1"/>
  <c r="N21" i="1"/>
  <c r="N23" i="1"/>
  <c r="N25" i="1"/>
  <c r="N27" i="1"/>
  <c r="N29" i="1"/>
  <c r="N31" i="1"/>
  <c r="N33" i="1"/>
  <c r="N35" i="1"/>
  <c r="N37" i="1"/>
  <c r="N39" i="1"/>
  <c r="N41" i="1"/>
  <c r="N43" i="1"/>
  <c r="N45" i="1"/>
  <c r="N47" i="1"/>
  <c r="N49" i="1"/>
  <c r="N51" i="1"/>
  <c r="N53" i="1"/>
  <c r="N55" i="1"/>
  <c r="N57" i="1"/>
  <c r="N59" i="1"/>
  <c r="N61" i="1"/>
  <c r="N63" i="1"/>
  <c r="N65" i="1"/>
  <c r="N67" i="1"/>
  <c r="N69" i="1"/>
  <c r="N71" i="1"/>
  <c r="N73" i="1"/>
  <c r="N77" i="1"/>
  <c r="N82" i="1"/>
  <c r="N87" i="1"/>
  <c r="N93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228" i="1"/>
  <c r="N229" i="1"/>
  <c r="N244" i="1"/>
  <c r="N245" i="1"/>
  <c r="N260" i="1"/>
  <c r="N261" i="1"/>
  <c r="N276" i="1"/>
  <c r="N277" i="1"/>
  <c r="N292" i="1"/>
  <c r="N293" i="1"/>
  <c r="N308" i="1"/>
  <c r="N309" i="1"/>
  <c r="N336" i="1"/>
  <c r="N344" i="1"/>
  <c r="N359" i="1"/>
  <c r="N383" i="1"/>
  <c r="N400" i="1"/>
  <c r="N408" i="1"/>
  <c r="N416" i="1"/>
  <c r="N366" i="1"/>
  <c r="N350" i="1"/>
  <c r="N334" i="1"/>
  <c r="N315" i="1"/>
  <c r="N299" i="1"/>
  <c r="N283" i="1"/>
  <c r="N267" i="1"/>
  <c r="N251" i="1"/>
  <c r="N235" i="1"/>
  <c r="N212" i="1"/>
  <c r="N204" i="1"/>
  <c r="N196" i="1"/>
  <c r="N188" i="1"/>
  <c r="N180" i="1"/>
  <c r="N172" i="1"/>
  <c r="N164" i="1"/>
  <c r="N156" i="1"/>
  <c r="N148" i="1"/>
  <c r="N140" i="1"/>
  <c r="N132" i="1"/>
  <c r="N124" i="1"/>
  <c r="N116" i="1"/>
  <c r="N108" i="1"/>
  <c r="N100" i="1"/>
  <c r="N92" i="1"/>
  <c r="N84" i="1"/>
  <c r="N76" i="1"/>
  <c r="N330" i="1"/>
  <c r="N3" i="1"/>
  <c r="N358" i="1"/>
  <c r="N342" i="1"/>
  <c r="N326" i="1"/>
  <c r="N311" i="1"/>
  <c r="N295" i="1"/>
  <c r="N279" i="1"/>
  <c r="N263" i="1"/>
  <c r="N247" i="1"/>
  <c r="N231" i="1"/>
  <c r="N218" i="1"/>
  <c r="N210" i="1"/>
  <c r="N202" i="1"/>
  <c r="N194" i="1"/>
  <c r="N186" i="1"/>
  <c r="N178" i="1"/>
  <c r="N170" i="1"/>
  <c r="N162" i="1"/>
  <c r="N154" i="1"/>
  <c r="N146" i="1"/>
  <c r="N138" i="1"/>
  <c r="N130" i="1"/>
  <c r="N122" i="1"/>
  <c r="N114" i="1"/>
  <c r="N106" i="1"/>
  <c r="N374" i="1"/>
  <c r="N319" i="1"/>
  <c r="N303" i="1"/>
  <c r="N287" i="1"/>
  <c r="N271" i="1"/>
  <c r="N255" i="1"/>
  <c r="N239" i="1"/>
  <c r="N223" i="1"/>
  <c r="N214" i="1"/>
  <c r="N206" i="1"/>
  <c r="N198" i="1"/>
  <c r="N190" i="1"/>
  <c r="N182" i="1"/>
  <c r="N174" i="1"/>
  <c r="N166" i="1"/>
  <c r="N158" i="1"/>
  <c r="N150" i="1"/>
  <c r="N142" i="1"/>
  <c r="N134" i="1"/>
  <c r="N126" i="1"/>
  <c r="N118" i="1"/>
  <c r="N110" i="1"/>
  <c r="N102" i="1"/>
  <c r="N307" i="1"/>
  <c r="N291" i="1"/>
  <c r="N275" i="1"/>
  <c r="N259" i="1"/>
  <c r="N243" i="1"/>
  <c r="N227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2" i="1"/>
  <c r="N104" i="1"/>
  <c r="N96" i="1"/>
  <c r="N88" i="1"/>
  <c r="N80" i="1"/>
  <c r="N78" i="1"/>
  <c r="N83" i="1"/>
  <c r="N89" i="1"/>
  <c r="N94" i="1"/>
  <c r="N99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4" i="1"/>
  <c r="N225" i="1"/>
  <c r="N240" i="1"/>
  <c r="N241" i="1"/>
  <c r="N256" i="1"/>
  <c r="N257" i="1"/>
  <c r="N272" i="1"/>
  <c r="N273" i="1"/>
  <c r="N288" i="1"/>
  <c r="N289" i="1"/>
  <c r="N304" i="1"/>
  <c r="N305" i="1"/>
  <c r="N320" i="1"/>
  <c r="N321" i="1"/>
  <c r="N335" i="1"/>
  <c r="N352" i="1"/>
  <c r="N360" i="1"/>
  <c r="N375" i="1"/>
  <c r="N399" i="1"/>
  <c r="N74" i="1"/>
  <c r="N79" i="1"/>
  <c r="N85" i="1"/>
  <c r="N90" i="1"/>
  <c r="N95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13" i="1"/>
  <c r="N220" i="1"/>
  <c r="N221" i="1"/>
  <c r="N236" i="1"/>
  <c r="N237" i="1"/>
  <c r="N252" i="1"/>
  <c r="N253" i="1"/>
  <c r="N268" i="1"/>
  <c r="N269" i="1"/>
  <c r="N284" i="1"/>
  <c r="N285" i="1"/>
  <c r="N300" i="1"/>
  <c r="N301" i="1"/>
  <c r="N316" i="1"/>
  <c r="N317" i="1"/>
  <c r="N327" i="1"/>
  <c r="N351" i="1"/>
  <c r="N368" i="1"/>
  <c r="N376" i="1"/>
  <c r="N391" i="1"/>
  <c r="N424" i="1"/>
  <c r="N234" i="1"/>
  <c r="N250" i="1"/>
  <c r="N266" i="1"/>
  <c r="N282" i="1"/>
  <c r="N298" i="1"/>
  <c r="N314" i="1"/>
  <c r="N324" i="1"/>
  <c r="N329" i="1"/>
  <c r="N333" i="1"/>
  <c r="N340" i="1"/>
  <c r="N345" i="1"/>
  <c r="N349" i="1"/>
  <c r="N356" i="1"/>
  <c r="N361" i="1"/>
  <c r="N365" i="1"/>
  <c r="N1253" i="1"/>
  <c r="N1249" i="1"/>
  <c r="N1252" i="1"/>
  <c r="N1251" i="1"/>
  <c r="N1247" i="1"/>
  <c r="N1245" i="1"/>
  <c r="N1243" i="1"/>
  <c r="N1241" i="1"/>
  <c r="N1199" i="1"/>
  <c r="N1204" i="1"/>
  <c r="N1237" i="1"/>
  <c r="N1233" i="1"/>
  <c r="N1229" i="1"/>
  <c r="N1239" i="1"/>
  <c r="N1235" i="1"/>
  <c r="N1231" i="1"/>
  <c r="N1194" i="1"/>
  <c r="N1178" i="1"/>
  <c r="N1172" i="1"/>
  <c r="N1164" i="1"/>
  <c r="N1156" i="1"/>
  <c r="N1148" i="1"/>
  <c r="N1225" i="1"/>
  <c r="N1221" i="1"/>
  <c r="N1217" i="1"/>
  <c r="N1213" i="1"/>
  <c r="N1209" i="1"/>
  <c r="N1205" i="1"/>
  <c r="N1203" i="1"/>
  <c r="N1186" i="1"/>
  <c r="N1168" i="1"/>
  <c r="N1160" i="1"/>
  <c r="N1152" i="1"/>
  <c r="N1144" i="1"/>
  <c r="N1227" i="1"/>
  <c r="N1223" i="1"/>
  <c r="N1219" i="1"/>
  <c r="N1215" i="1"/>
  <c r="N1211" i="1"/>
  <c r="N1207" i="1"/>
  <c r="N1182" i="1"/>
  <c r="N1165" i="1"/>
  <c r="N1162" i="1"/>
  <c r="N1149" i="1"/>
  <c r="N1137" i="1"/>
  <c r="N1129" i="1"/>
  <c r="N1121" i="1"/>
  <c r="N1190" i="1"/>
  <c r="N1169" i="1"/>
  <c r="N1166" i="1"/>
  <c r="N1153" i="1"/>
  <c r="N1150" i="1"/>
  <c r="N1146" i="1"/>
  <c r="N1145" i="1"/>
  <c r="N1139" i="1"/>
  <c r="N1138" i="1"/>
  <c r="N1131" i="1"/>
  <c r="N1130" i="1"/>
  <c r="N1123" i="1"/>
  <c r="N1122" i="1"/>
  <c r="N1115" i="1"/>
  <c r="N1114" i="1"/>
  <c r="N1173" i="1"/>
  <c r="N1170" i="1"/>
  <c r="N1157" i="1"/>
  <c r="N1154" i="1"/>
  <c r="N1141" i="1"/>
  <c r="N1133" i="1"/>
  <c r="N1125" i="1"/>
  <c r="N1117" i="1"/>
  <c r="N1109" i="1"/>
  <c r="N1174" i="1"/>
  <c r="N1161" i="1"/>
  <c r="N1158" i="1"/>
  <c r="N1142" i="1"/>
  <c r="N1135" i="1"/>
  <c r="N1134" i="1"/>
  <c r="N1127" i="1"/>
  <c r="N1126" i="1"/>
  <c r="N1101" i="1"/>
  <c r="N1085" i="1"/>
  <c r="N1069" i="1"/>
  <c r="N1097" i="1"/>
  <c r="N1081" i="1"/>
  <c r="N1065" i="1"/>
  <c r="N1119" i="1"/>
  <c r="N1113" i="1"/>
  <c r="N1110" i="1"/>
  <c r="N1118" i="1"/>
  <c r="N1105" i="1"/>
  <c r="N1103" i="1"/>
  <c r="N1094" i="1"/>
  <c r="N1089" i="1"/>
  <c r="N1087" i="1"/>
  <c r="N1078" i="1"/>
  <c r="N1071" i="1"/>
  <c r="N1077" i="1"/>
  <c r="N1061" i="1"/>
  <c r="N1059" i="1"/>
  <c r="N1045" i="1"/>
  <c r="N1029" i="1"/>
  <c r="N1021" i="1"/>
  <c r="N1093" i="1"/>
  <c r="N1057" i="1"/>
  <c r="N1041" i="1"/>
  <c r="N1073" i="1"/>
  <c r="N1053" i="1"/>
  <c r="N1017" i="1"/>
  <c r="N1009" i="1"/>
  <c r="N1001" i="1"/>
  <c r="N1037" i="1"/>
  <c r="N1033" i="1"/>
  <c r="N1031" i="1"/>
  <c r="N1030" i="1"/>
  <c r="N1025" i="1"/>
  <c r="N1019" i="1"/>
  <c r="N1018" i="1"/>
  <c r="N1011" i="1"/>
  <c r="N1010" i="1"/>
  <c r="N1026" i="1"/>
  <c r="N1013" i="1"/>
  <c r="N1005" i="1"/>
  <c r="N997" i="1"/>
  <c r="N1049" i="1"/>
  <c r="N1035" i="1"/>
  <c r="N1027" i="1"/>
  <c r="N1015" i="1"/>
  <c r="N1014" i="1"/>
  <c r="N1007" i="1"/>
  <c r="N1006" i="1"/>
  <c r="N999" i="1"/>
  <c r="N998" i="1"/>
  <c r="N893" i="1"/>
  <c r="N877" i="1"/>
  <c r="N861" i="1"/>
  <c r="N845" i="1"/>
  <c r="N829" i="1"/>
  <c r="N889" i="1"/>
  <c r="N873" i="1"/>
  <c r="N993" i="1"/>
  <c r="N989" i="1"/>
  <c r="N985" i="1"/>
  <c r="N981" i="1"/>
  <c r="N977" i="1"/>
  <c r="N973" i="1"/>
  <c r="N969" i="1"/>
  <c r="N965" i="1"/>
  <c r="N961" i="1"/>
  <c r="N957" i="1"/>
  <c r="N953" i="1"/>
  <c r="N949" i="1"/>
  <c r="N945" i="1"/>
  <c r="N941" i="1"/>
  <c r="N937" i="1"/>
  <c r="N933" i="1"/>
  <c r="N929" i="1"/>
  <c r="N925" i="1"/>
  <c r="N921" i="1"/>
  <c r="N902" i="1"/>
  <c r="N897" i="1"/>
  <c r="N895" i="1"/>
  <c r="N886" i="1"/>
  <c r="N881" i="1"/>
  <c r="N879" i="1"/>
  <c r="N870" i="1"/>
  <c r="N917" i="1"/>
  <c r="N901" i="1"/>
  <c r="N865" i="1"/>
  <c r="N838" i="1"/>
  <c r="N833" i="1"/>
  <c r="N816" i="1"/>
  <c r="N800" i="1"/>
  <c r="N784" i="1"/>
  <c r="N768" i="1"/>
  <c r="N756" i="1"/>
  <c r="N748" i="1"/>
  <c r="N740" i="1"/>
  <c r="N732" i="1"/>
  <c r="N724" i="1"/>
  <c r="N716" i="1"/>
  <c r="N708" i="1"/>
  <c r="N700" i="1"/>
  <c r="N692" i="1"/>
  <c r="N684" i="1"/>
  <c r="N913" i="1"/>
  <c r="N885" i="1"/>
  <c r="N857" i="1"/>
  <c r="N853" i="1"/>
  <c r="N847" i="1"/>
  <c r="N825" i="1"/>
  <c r="N812" i="1"/>
  <c r="N796" i="1"/>
  <c r="N780" i="1"/>
  <c r="N764" i="1"/>
  <c r="N758" i="1"/>
  <c r="N757" i="1"/>
  <c r="N750" i="1"/>
  <c r="N749" i="1"/>
  <c r="N742" i="1"/>
  <c r="N741" i="1"/>
  <c r="N909" i="1"/>
  <c r="N869" i="1"/>
  <c r="N863" i="1"/>
  <c r="N854" i="1"/>
  <c r="N849" i="1"/>
  <c r="N822" i="1"/>
  <c r="N813" i="1"/>
  <c r="N808" i="1"/>
  <c r="N806" i="1"/>
  <c r="N797" i="1"/>
  <c r="N792" i="1"/>
  <c r="N790" i="1"/>
  <c r="N776" i="1"/>
  <c r="N760" i="1"/>
  <c r="N752" i="1"/>
  <c r="N744" i="1"/>
  <c r="N736" i="1"/>
  <c r="N728" i="1"/>
  <c r="N905" i="1"/>
  <c r="N846" i="1"/>
  <c r="N841" i="1"/>
  <c r="N839" i="1"/>
  <c r="N837" i="1"/>
  <c r="N831" i="1"/>
  <c r="N820" i="1"/>
  <c r="N804" i="1"/>
  <c r="N788" i="1"/>
  <c r="N772" i="1"/>
  <c r="N754" i="1"/>
  <c r="N753" i="1"/>
  <c r="N746" i="1"/>
  <c r="N745" i="1"/>
  <c r="N738" i="1"/>
  <c r="N737" i="1"/>
  <c r="N730" i="1"/>
  <c r="N729" i="1"/>
  <c r="N722" i="1"/>
  <c r="N721" i="1"/>
  <c r="N714" i="1"/>
  <c r="N713" i="1"/>
  <c r="N706" i="1"/>
  <c r="N705" i="1"/>
  <c r="N698" i="1"/>
  <c r="N697" i="1"/>
  <c r="N690" i="1"/>
  <c r="N689" i="1"/>
  <c r="N682" i="1"/>
  <c r="N725" i="1"/>
  <c r="N710" i="1"/>
  <c r="N696" i="1"/>
  <c r="N693" i="1"/>
  <c r="N677" i="1"/>
  <c r="N672" i="1"/>
  <c r="N670" i="1"/>
  <c r="N733" i="1"/>
  <c r="N704" i="1"/>
  <c r="N668" i="1"/>
  <c r="N660" i="1"/>
  <c r="N652" i="1"/>
  <c r="N726" i="1"/>
  <c r="N712" i="1"/>
  <c r="N709" i="1"/>
  <c r="N694" i="1"/>
  <c r="N680" i="1"/>
  <c r="N678" i="1"/>
  <c r="N669" i="1"/>
  <c r="N662" i="1"/>
  <c r="N661" i="1"/>
  <c r="N654" i="1"/>
  <c r="N653" i="1"/>
  <c r="N646" i="1"/>
  <c r="N645" i="1"/>
  <c r="N638" i="1"/>
  <c r="N637" i="1"/>
  <c r="N630" i="1"/>
  <c r="N734" i="1"/>
  <c r="N720" i="1"/>
  <c r="N688" i="1"/>
  <c r="N676" i="1"/>
  <c r="N664" i="1"/>
  <c r="N656" i="1"/>
  <c r="N648" i="1"/>
  <c r="N640" i="1"/>
  <c r="N632" i="1"/>
  <c r="N644" i="1"/>
  <c r="N636" i="1"/>
  <c r="N612" i="1"/>
  <c r="N596" i="1"/>
  <c r="N580" i="1"/>
  <c r="N564" i="1"/>
  <c r="N548" i="1"/>
  <c r="N536" i="1"/>
  <c r="N528" i="1"/>
  <c r="N520" i="1"/>
  <c r="N512" i="1"/>
  <c r="N504" i="1"/>
  <c r="N496" i="1"/>
  <c r="N488" i="1"/>
  <c r="N480" i="1"/>
  <c r="N472" i="1"/>
  <c r="N464" i="1"/>
  <c r="N456" i="1"/>
  <c r="N448" i="1"/>
  <c r="N440" i="1"/>
  <c r="N432" i="1"/>
  <c r="N628" i="1"/>
  <c r="N624" i="1"/>
  <c r="N608" i="1"/>
  <c r="N592" i="1"/>
  <c r="N576" i="1"/>
  <c r="N560" i="1"/>
  <c r="N544" i="1"/>
  <c r="N538" i="1"/>
  <c r="N537" i="1"/>
  <c r="N530" i="1"/>
  <c r="N529" i="1"/>
  <c r="N522" i="1"/>
  <c r="N521" i="1"/>
  <c r="N625" i="1"/>
  <c r="N620" i="1"/>
  <c r="N618" i="1"/>
  <c r="N604" i="1"/>
  <c r="N588" i="1"/>
  <c r="N572" i="1"/>
  <c r="N556" i="1"/>
  <c r="N540" i="1"/>
  <c r="N532" i="1"/>
  <c r="N524" i="1"/>
  <c r="N516" i="1"/>
  <c r="N508" i="1"/>
  <c r="N500" i="1"/>
  <c r="N492" i="1"/>
  <c r="N484" i="1"/>
  <c r="N476" i="1"/>
  <c r="N468" i="1"/>
  <c r="N616" i="1"/>
  <c r="N600" i="1"/>
  <c r="N584" i="1"/>
  <c r="N568" i="1"/>
  <c r="N552" i="1"/>
  <c r="N534" i="1"/>
  <c r="N533" i="1"/>
  <c r="N526" i="1"/>
  <c r="N525" i="1"/>
  <c r="N518" i="1"/>
  <c r="N517" i="1"/>
  <c r="N510" i="1"/>
  <c r="N509" i="1"/>
  <c r="N506" i="1"/>
  <c r="N493" i="1"/>
  <c r="N490" i="1"/>
  <c r="N477" i="1"/>
  <c r="N474" i="1"/>
  <c r="N454" i="1"/>
  <c r="N445" i="1"/>
  <c r="N436" i="1"/>
  <c r="N422" i="1"/>
  <c r="N514" i="1"/>
  <c r="N497" i="1"/>
  <c r="N494" i="1"/>
  <c r="N481" i="1"/>
  <c r="N478" i="1"/>
  <c r="N501" i="1"/>
  <c r="N498" i="1"/>
  <c r="N485" i="1"/>
  <c r="N482" i="1"/>
  <c r="N469" i="1"/>
  <c r="N466" i="1"/>
  <c r="N461" i="1"/>
  <c r="N458" i="1"/>
  <c r="N457" i="1"/>
  <c r="N452" i="1"/>
  <c r="N438" i="1"/>
  <c r="N513" i="1"/>
  <c r="N505" i="1"/>
  <c r="N502" i="1"/>
  <c r="N489" i="1"/>
  <c r="N486" i="1"/>
  <c r="N473" i="1"/>
  <c r="N470" i="1"/>
  <c r="N462" i="1"/>
  <c r="N453" i="1"/>
  <c r="N450" i="1"/>
  <c r="N449" i="1"/>
  <c r="N444" i="1"/>
  <c r="N430" i="1"/>
  <c r="N427" i="1"/>
  <c r="N338" i="1"/>
  <c r="N354" i="1"/>
  <c r="N370" i="1"/>
  <c r="N386" i="1"/>
  <c r="N402" i="1"/>
  <c r="N418" i="1"/>
  <c r="N425" i="1"/>
  <c r="N428" i="1"/>
  <c r="N434" i="1"/>
  <c r="N441" i="1"/>
  <c r="N442" i="1"/>
  <c r="N443" i="1"/>
  <c r="N230" i="1"/>
  <c r="N246" i="1"/>
  <c r="N262" i="1"/>
  <c r="N278" i="1"/>
  <c r="N294" i="1"/>
  <c r="N310" i="1"/>
  <c r="N325" i="1"/>
  <c r="N332" i="1"/>
  <c r="N337" i="1"/>
  <c r="N341" i="1"/>
  <c r="N348" i="1"/>
  <c r="N353" i="1"/>
  <c r="N357" i="1"/>
  <c r="N364" i="1"/>
  <c r="N371" i="1"/>
  <c r="N373" i="1"/>
  <c r="N380" i="1"/>
  <c r="N385" i="1"/>
  <c r="N387" i="1"/>
  <c r="N389" i="1"/>
  <c r="N390" i="1"/>
  <c r="N396" i="1"/>
  <c r="N401" i="1"/>
  <c r="N403" i="1"/>
  <c r="N405" i="1"/>
  <c r="N406" i="1"/>
  <c r="N412" i="1"/>
  <c r="N417" i="1"/>
  <c r="N419" i="1"/>
  <c r="N421" i="1"/>
  <c r="N423" i="1"/>
  <c r="N437" i="1"/>
  <c r="N446" i="1"/>
  <c r="N465" i="1"/>
  <c r="N222" i="1"/>
  <c r="N238" i="1"/>
  <c r="N254" i="1"/>
  <c r="N270" i="1"/>
  <c r="N286" i="1"/>
  <c r="N302" i="1"/>
  <c r="N318" i="1"/>
  <c r="N323" i="1"/>
  <c r="N339" i="1"/>
  <c r="N355" i="1"/>
  <c r="N369" i="1"/>
  <c r="N346" i="1"/>
  <c r="N362" i="1"/>
  <c r="N378" i="1"/>
  <c r="N394" i="1"/>
  <c r="N410" i="1"/>
  <c r="N426" i="1"/>
  <c r="N460" i="1"/>
  <c r="N226" i="1"/>
  <c r="N242" i="1"/>
  <c r="N258" i="1"/>
  <c r="N274" i="1"/>
  <c r="N290" i="1"/>
  <c r="N306" i="1"/>
  <c r="N322" i="1"/>
  <c r="N331" i="1"/>
  <c r="N347" i="1"/>
  <c r="N363" i="1"/>
  <c r="N372" i="1"/>
  <c r="N377" i="1"/>
  <c r="N379" i="1"/>
  <c r="N381" i="1"/>
  <c r="N382" i="1"/>
  <c r="N388" i="1"/>
  <c r="N393" i="1"/>
  <c r="N395" i="1"/>
  <c r="N397" i="1"/>
  <c r="N398" i="1"/>
  <c r="N404" i="1"/>
  <c r="N409" i="1"/>
  <c r="N411" i="1"/>
  <c r="N413" i="1"/>
  <c r="N414" i="1"/>
  <c r="N420" i="1"/>
  <c r="N429" i="1"/>
  <c r="N433" i="1"/>
  <c r="N459" i="1"/>
  <c r="N561" i="1"/>
  <c r="N578" i="1"/>
  <c r="N586" i="1"/>
  <c r="N601" i="1"/>
  <c r="N617" i="1"/>
  <c r="N435" i="1"/>
  <c r="N553" i="1"/>
  <c r="N577" i="1"/>
  <c r="N594" i="1"/>
  <c r="N602" i="1"/>
  <c r="N626" i="1"/>
  <c r="N546" i="1"/>
  <c r="N554" i="1"/>
  <c r="N569" i="1"/>
  <c r="N593" i="1"/>
  <c r="N610" i="1"/>
  <c r="N451" i="1"/>
  <c r="N545" i="1"/>
  <c r="N562" i="1"/>
  <c r="N570" i="1"/>
  <c r="N585" i="1"/>
  <c r="N609" i="1"/>
  <c r="N542" i="1"/>
  <c r="N547" i="1"/>
  <c r="N549" i="1"/>
  <c r="N551" i="1"/>
  <c r="N558" i="1"/>
  <c r="N563" i="1"/>
  <c r="N565" i="1"/>
  <c r="N567" i="1"/>
  <c r="N574" i="1"/>
  <c r="N579" i="1"/>
  <c r="N581" i="1"/>
  <c r="N583" i="1"/>
  <c r="N590" i="1"/>
  <c r="N595" i="1"/>
  <c r="N597" i="1"/>
  <c r="N599" i="1"/>
  <c r="N606" i="1"/>
  <c r="N611" i="1"/>
  <c r="N613" i="1"/>
  <c r="N615" i="1"/>
  <c r="N622" i="1"/>
  <c r="N627" i="1"/>
  <c r="N686" i="1"/>
  <c r="N467" i="1"/>
  <c r="N475" i="1"/>
  <c r="N483" i="1"/>
  <c r="N491" i="1"/>
  <c r="N499" i="1"/>
  <c r="N507" i="1"/>
  <c r="N515" i="1"/>
  <c r="N523" i="1"/>
  <c r="N531" i="1"/>
  <c r="N539" i="1"/>
  <c r="N702" i="1"/>
  <c r="N541" i="1"/>
  <c r="N543" i="1"/>
  <c r="N550" i="1"/>
  <c r="N555" i="1"/>
  <c r="N557" i="1"/>
  <c r="N559" i="1"/>
  <c r="N566" i="1"/>
  <c r="N571" i="1"/>
  <c r="N573" i="1"/>
  <c r="N575" i="1"/>
  <c r="N582" i="1"/>
  <c r="N587" i="1"/>
  <c r="N589" i="1"/>
  <c r="N591" i="1"/>
  <c r="N598" i="1"/>
  <c r="N603" i="1"/>
  <c r="N605" i="1"/>
  <c r="N607" i="1"/>
  <c r="N614" i="1"/>
  <c r="N619" i="1"/>
  <c r="N621" i="1"/>
  <c r="N623" i="1"/>
  <c r="N633" i="1"/>
  <c r="N634" i="1"/>
  <c r="N635" i="1"/>
  <c r="N641" i="1"/>
  <c r="N642" i="1"/>
  <c r="N643" i="1"/>
  <c r="N649" i="1"/>
  <c r="N650" i="1"/>
  <c r="N651" i="1"/>
  <c r="N657" i="1"/>
  <c r="N658" i="1"/>
  <c r="N701" i="1"/>
  <c r="N717" i="1"/>
  <c r="N718" i="1"/>
  <c r="N431" i="1"/>
  <c r="N439" i="1"/>
  <c r="N447" i="1"/>
  <c r="N455" i="1"/>
  <c r="N463" i="1"/>
  <c r="N471" i="1"/>
  <c r="N479" i="1"/>
  <c r="N487" i="1"/>
  <c r="N495" i="1"/>
  <c r="N503" i="1"/>
  <c r="N511" i="1"/>
  <c r="N519" i="1"/>
  <c r="N527" i="1"/>
  <c r="N535" i="1"/>
  <c r="N629" i="1"/>
  <c r="N685" i="1"/>
  <c r="N631" i="1"/>
  <c r="N639" i="1"/>
  <c r="N647" i="1"/>
  <c r="N655" i="1"/>
  <c r="N663" i="1"/>
  <c r="N666" i="1"/>
  <c r="N671" i="1"/>
  <c r="N673" i="1"/>
  <c r="N675" i="1"/>
  <c r="N711" i="1"/>
  <c r="N781" i="1"/>
  <c r="N805" i="1"/>
  <c r="N814" i="1"/>
  <c r="N703" i="1"/>
  <c r="N773" i="1"/>
  <c r="N789" i="1"/>
  <c r="N855" i="1"/>
  <c r="N659" i="1"/>
  <c r="N665" i="1"/>
  <c r="N667" i="1"/>
  <c r="N674" i="1"/>
  <c r="N679" i="1"/>
  <c r="N681" i="1"/>
  <c r="N695" i="1"/>
  <c r="N766" i="1"/>
  <c r="N774" i="1"/>
  <c r="N798" i="1"/>
  <c r="N823" i="1"/>
  <c r="N687" i="1"/>
  <c r="N719" i="1"/>
  <c r="N765" i="1"/>
  <c r="N782" i="1"/>
  <c r="N821" i="1"/>
  <c r="N830" i="1"/>
  <c r="N762" i="1"/>
  <c r="N767" i="1"/>
  <c r="N769" i="1"/>
  <c r="N771" i="1"/>
  <c r="N778" i="1"/>
  <c r="N783" i="1"/>
  <c r="N785" i="1"/>
  <c r="N787" i="1"/>
  <c r="N794" i="1"/>
  <c r="N799" i="1"/>
  <c r="N801" i="1"/>
  <c r="N803" i="1"/>
  <c r="N810" i="1"/>
  <c r="N815" i="1"/>
  <c r="N817" i="1"/>
  <c r="N819" i="1"/>
  <c r="N832" i="1"/>
  <c r="N852" i="1"/>
  <c r="N868" i="1"/>
  <c r="N880" i="1"/>
  <c r="N882" i="1"/>
  <c r="N894" i="1"/>
  <c r="N727" i="1"/>
  <c r="N735" i="1"/>
  <c r="N743" i="1"/>
  <c r="N751" i="1"/>
  <c r="N759" i="1"/>
  <c r="N827" i="1"/>
  <c r="N850" i="1"/>
  <c r="N859" i="1"/>
  <c r="N864" i="1"/>
  <c r="N871" i="1"/>
  <c r="N884" i="1"/>
  <c r="N896" i="1"/>
  <c r="N898" i="1"/>
  <c r="N761" i="1"/>
  <c r="N763" i="1"/>
  <c r="N770" i="1"/>
  <c r="N775" i="1"/>
  <c r="N777" i="1"/>
  <c r="N779" i="1"/>
  <c r="N786" i="1"/>
  <c r="N791" i="1"/>
  <c r="N793" i="1"/>
  <c r="N795" i="1"/>
  <c r="N802" i="1"/>
  <c r="N807" i="1"/>
  <c r="N809" i="1"/>
  <c r="N811" i="1"/>
  <c r="N818" i="1"/>
  <c r="N836" i="1"/>
  <c r="N848" i="1"/>
  <c r="N875" i="1"/>
  <c r="N887" i="1"/>
  <c r="N900" i="1"/>
  <c r="N683" i="1"/>
  <c r="N691" i="1"/>
  <c r="N699" i="1"/>
  <c r="N707" i="1"/>
  <c r="N715" i="1"/>
  <c r="N723" i="1"/>
  <c r="N731" i="1"/>
  <c r="N739" i="1"/>
  <c r="N747" i="1"/>
  <c r="N755" i="1"/>
  <c r="N834" i="1"/>
  <c r="N843" i="1"/>
  <c r="N862" i="1"/>
  <c r="N866" i="1"/>
  <c r="N878" i="1"/>
  <c r="N891" i="1"/>
  <c r="N903" i="1"/>
  <c r="N1002" i="1"/>
  <c r="N1022" i="1"/>
  <c r="N1023" i="1"/>
  <c r="N904" i="1"/>
  <c r="N906" i="1"/>
  <c r="N907" i="1"/>
  <c r="N908" i="1"/>
  <c r="N910" i="1"/>
  <c r="N911" i="1"/>
  <c r="N912" i="1"/>
  <c r="N914" i="1"/>
  <c r="N915" i="1"/>
  <c r="N916" i="1"/>
  <c r="N918" i="1"/>
  <c r="N919" i="1"/>
  <c r="N920" i="1"/>
  <c r="N922" i="1"/>
  <c r="N923" i="1"/>
  <c r="N924" i="1"/>
  <c r="N926" i="1"/>
  <c r="N927" i="1"/>
  <c r="N928" i="1"/>
  <c r="N930" i="1"/>
  <c r="N931" i="1"/>
  <c r="N932" i="1"/>
  <c r="N934" i="1"/>
  <c r="N935" i="1"/>
  <c r="N936" i="1"/>
  <c r="N938" i="1"/>
  <c r="N939" i="1"/>
  <c r="N940" i="1"/>
  <c r="N942" i="1"/>
  <c r="N943" i="1"/>
  <c r="N944" i="1"/>
  <c r="N946" i="1"/>
  <c r="N947" i="1"/>
  <c r="N948" i="1"/>
  <c r="N950" i="1"/>
  <c r="N951" i="1"/>
  <c r="N952" i="1"/>
  <c r="N954" i="1"/>
  <c r="N955" i="1"/>
  <c r="N956" i="1"/>
  <c r="N958" i="1"/>
  <c r="N959" i="1"/>
  <c r="N960" i="1"/>
  <c r="N962" i="1"/>
  <c r="N963" i="1"/>
  <c r="N964" i="1"/>
  <c r="N966" i="1"/>
  <c r="N967" i="1"/>
  <c r="N968" i="1"/>
  <c r="N970" i="1"/>
  <c r="N971" i="1"/>
  <c r="N972" i="1"/>
  <c r="N974" i="1"/>
  <c r="N975" i="1"/>
  <c r="N976" i="1"/>
  <c r="N978" i="1"/>
  <c r="N979" i="1"/>
  <c r="N980" i="1"/>
  <c r="N982" i="1"/>
  <c r="N983" i="1"/>
  <c r="N984" i="1"/>
  <c r="N986" i="1"/>
  <c r="N987" i="1"/>
  <c r="N988" i="1"/>
  <c r="N990" i="1"/>
  <c r="N991" i="1"/>
  <c r="N992" i="1"/>
  <c r="N994" i="1"/>
  <c r="N995" i="1"/>
  <c r="N996" i="1"/>
  <c r="N1003" i="1"/>
  <c r="N824" i="1"/>
  <c r="N826" i="1"/>
  <c r="N828" i="1"/>
  <c r="N835" i="1"/>
  <c r="N840" i="1"/>
  <c r="N842" i="1"/>
  <c r="N844" i="1"/>
  <c r="N851" i="1"/>
  <c r="N856" i="1"/>
  <c r="N858" i="1"/>
  <c r="N860" i="1"/>
  <c r="N867" i="1"/>
  <c r="N872" i="1"/>
  <c r="N874" i="1"/>
  <c r="N876" i="1"/>
  <c r="N883" i="1"/>
  <c r="N888" i="1"/>
  <c r="N890" i="1"/>
  <c r="N892" i="1"/>
  <c r="N899" i="1"/>
  <c r="N1024" i="1"/>
  <c r="N1039" i="1"/>
  <c r="N1046" i="1"/>
  <c r="N1058" i="1"/>
  <c r="N1004" i="1"/>
  <c r="N1012" i="1"/>
  <c r="N1020" i="1"/>
  <c r="N1050" i="1"/>
  <c r="N1051" i="1"/>
  <c r="N1042" i="1"/>
  <c r="N1043" i="1"/>
  <c r="N1048" i="1"/>
  <c r="N1000" i="1"/>
  <c r="N1008" i="1"/>
  <c r="N1016" i="1"/>
  <c r="N1032" i="1"/>
  <c r="N1034" i="1"/>
  <c r="N1044" i="1"/>
  <c r="N1067" i="1"/>
  <c r="N1074" i="1"/>
  <c r="N1092" i="1"/>
  <c r="N1036" i="1"/>
  <c r="N1038" i="1"/>
  <c r="N1040" i="1"/>
  <c r="N1047" i="1"/>
  <c r="N1052" i="1"/>
  <c r="N1054" i="1"/>
  <c r="N1056" i="1"/>
  <c r="N1063" i="1"/>
  <c r="N1070" i="1"/>
  <c r="N1076" i="1"/>
  <c r="N1095" i="1"/>
  <c r="N1028" i="1"/>
  <c r="N1072" i="1"/>
  <c r="N1079" i="1"/>
  <c r="N1102" i="1"/>
  <c r="N1055" i="1"/>
  <c r="N1060" i="1"/>
  <c r="N1062" i="1"/>
  <c r="N1064" i="1"/>
  <c r="N1083" i="1"/>
  <c r="N1086" i="1"/>
  <c r="N1088" i="1"/>
  <c r="N1090" i="1"/>
  <c r="N1111" i="1"/>
  <c r="N1112" i="1"/>
  <c r="N1099" i="1"/>
  <c r="N1104" i="1"/>
  <c r="N1106" i="1"/>
  <c r="N1108" i="1"/>
  <c r="N1066" i="1"/>
  <c r="N1068" i="1"/>
  <c r="N1075" i="1"/>
  <c r="N1080" i="1"/>
  <c r="N1082" i="1"/>
  <c r="N1084" i="1"/>
  <c r="N1091" i="1"/>
  <c r="N1096" i="1"/>
  <c r="N1098" i="1"/>
  <c r="N1100" i="1"/>
  <c r="N1107" i="1"/>
  <c r="N1180" i="1"/>
  <c r="N1181" i="1"/>
  <c r="N1183" i="1"/>
  <c r="N1184" i="1"/>
  <c r="N1185" i="1"/>
  <c r="N1192" i="1"/>
  <c r="N1116" i="1"/>
  <c r="N1124" i="1"/>
  <c r="N1132" i="1"/>
  <c r="N1140" i="1"/>
  <c r="N1147" i="1"/>
  <c r="N1175" i="1"/>
  <c r="N1187" i="1"/>
  <c r="N1176" i="1"/>
  <c r="N1177" i="1"/>
  <c r="N1120" i="1"/>
  <c r="N1128" i="1"/>
  <c r="N1136" i="1"/>
  <c r="N1179" i="1"/>
  <c r="N1188" i="1"/>
  <c r="N1189" i="1"/>
  <c r="N1191" i="1"/>
  <c r="N1193" i="1"/>
  <c r="N1195" i="1"/>
  <c r="N1197" i="1"/>
  <c r="N1208" i="1"/>
  <c r="N1212" i="1"/>
  <c r="N1216" i="1"/>
  <c r="N1220" i="1"/>
  <c r="N1224" i="1"/>
  <c r="N1143" i="1"/>
  <c r="N1151" i="1"/>
  <c r="N1159" i="1"/>
  <c r="N1167" i="1"/>
  <c r="N1200" i="1"/>
  <c r="N1201" i="1"/>
  <c r="N1202" i="1"/>
  <c r="N1196" i="1"/>
  <c r="N1206" i="1"/>
  <c r="N1210" i="1"/>
  <c r="N1214" i="1"/>
  <c r="N1218" i="1"/>
  <c r="N1222" i="1"/>
  <c r="N1226" i="1"/>
  <c r="N1155" i="1"/>
  <c r="N1163" i="1"/>
  <c r="N1171" i="1"/>
  <c r="N1228" i="1"/>
  <c r="N1232" i="1"/>
  <c r="N1236" i="1"/>
  <c r="N1240" i="1"/>
  <c r="N1230" i="1"/>
  <c r="N1234" i="1"/>
  <c r="N1238" i="1"/>
  <c r="N1242" i="1"/>
  <c r="N1244" i="1"/>
  <c r="N1246" i="1"/>
  <c r="N1254" i="1"/>
  <c r="N1248" i="1"/>
  <c r="N1198" i="1"/>
  <c r="N1250" i="1"/>
</calcChain>
</file>

<file path=xl/sharedStrings.xml><?xml version="1.0" encoding="utf-8"?>
<sst xmlns="http://schemas.openxmlformats.org/spreadsheetml/2006/main" count="13123" uniqueCount="2115">
  <si>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</si>
  <si>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</si>
  <si>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</si>
  <si>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</si>
  <si>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</si>
  <si>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</si>
  <si>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</si>
  <si>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</si>
  <si>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</si>
  <si>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</si>
  <si>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</si>
  <si>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</si>
  <si>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</si>
  <si>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</si>
  <si>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</si>
  <si>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</si>
  <si>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</si>
  <si>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</si>
  <si>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</si>
  <si>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</si>
  <si>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Private</t>
  </si>
  <si>
    <t>Coal</t>
  </si>
  <si>
    <t>No</t>
  </si>
  <si>
    <t>MIN-COAL</t>
  </si>
  <si>
    <t>Clean Electricity</t>
  </si>
  <si>
    <t>Yes</t>
  </si>
  <si>
    <t>EN-CLEL</t>
  </si>
  <si>
    <t>Waste Biomass</t>
  </si>
  <si>
    <t>EN-BIO</t>
  </si>
  <si>
    <t>Precious Metal</t>
  </si>
  <si>
    <t>MIN-PM</t>
  </si>
  <si>
    <t>Base Metal</t>
  </si>
  <si>
    <t>MIN-BM</t>
  </si>
  <si>
    <t>Critical Mineral</t>
  </si>
  <si>
    <t>MIN-CM</t>
  </si>
  <si>
    <t>Trans &amp; Distr</t>
  </si>
  <si>
    <t>EN-T&amp;D</t>
  </si>
  <si>
    <t>Oil &amp; Gas - Downstream</t>
  </si>
  <si>
    <t>EN-OG-D</t>
  </si>
  <si>
    <t>Oil &amp; Gas - Upstream</t>
  </si>
  <si>
    <t>EN-OG-U</t>
  </si>
  <si>
    <t>Other</t>
  </si>
  <si>
    <t>MIN-OTH</t>
  </si>
  <si>
    <t>Public</t>
  </si>
  <si>
    <t>Low Carbon Fuels</t>
  </si>
  <si>
    <t>EN-LCF</t>
  </si>
  <si>
    <t>EN-OTH</t>
  </si>
  <si>
    <t>CCUS</t>
  </si>
  <si>
    <t>EN-CCU</t>
  </si>
  <si>
    <t>DER, Storage, EV</t>
  </si>
  <si>
    <t>EN-DER</t>
  </si>
  <si>
    <t>Lumber</t>
  </si>
  <si>
    <t>FOR-LUM</t>
  </si>
  <si>
    <t>NG Power Gen</t>
  </si>
  <si>
    <t>EN-NGPG</t>
  </si>
  <si>
    <t>Nuclear</t>
  </si>
  <si>
    <t>EN-NUC</t>
  </si>
  <si>
    <t>FOR-OTH</t>
  </si>
  <si>
    <t>Pulp &amp; Paper</t>
  </si>
  <si>
    <t>FOR-P&amp;P</t>
  </si>
  <si>
    <t>EWP</t>
  </si>
  <si>
    <t>FOR-EWP</t>
  </si>
  <si>
    <t>Clean Heat</t>
  </si>
  <si>
    <t>EN-CLHT</t>
  </si>
  <si>
    <t>Bighorn Mining, LTD</t>
  </si>
  <si>
    <t>Vista Coal Project (Expansion Projects)</t>
  </si>
  <si>
    <t>AB</t>
  </si>
  <si>
    <t>Premier Renewable Energy</t>
  </si>
  <si>
    <t>Nicomen Wind Energy Project</t>
  </si>
  <si>
    <t>BC</t>
  </si>
  <si>
    <t>0887572 B.C. Ltd.</t>
  </si>
  <si>
    <t>Campbell River Power Enterprises</t>
  </si>
  <si>
    <t>KGHM Ajax Mining inc.</t>
  </si>
  <si>
    <t>Ajax Copper-Gold Mine</t>
  </si>
  <si>
    <t>Aeolis Wind Power Corporation</t>
  </si>
  <si>
    <t>Hackney Hills Wind Park</t>
  </si>
  <si>
    <t>Agnico-Eagle Mines Limited</t>
  </si>
  <si>
    <t>Meliadine</t>
  </si>
  <si>
    <t>NU</t>
  </si>
  <si>
    <t>Alberta Wind Energy Corp./Mainstream Renewable Power</t>
  </si>
  <si>
    <t>Windy Point Wind Farm</t>
  </si>
  <si>
    <t>Champion Iron Limited</t>
  </si>
  <si>
    <t>Kamistiatusset (Kami)</t>
  </si>
  <si>
    <t>NL</t>
  </si>
  <si>
    <t>Kinross Gold Corp. (formerly Rockcliff Metals Corp.)</t>
  </si>
  <si>
    <t>Snow Lake</t>
  </si>
  <si>
    <t>MB</t>
  </si>
  <si>
    <t>Alouette</t>
  </si>
  <si>
    <t>Expansion d'usine (aluminium)</t>
  </si>
  <si>
    <t>QC</t>
  </si>
  <si>
    <t>Alta Energy Corp.</t>
  </si>
  <si>
    <t>Lower Wood River Hydropower Project</t>
  </si>
  <si>
    <t>AltaLink</t>
  </si>
  <si>
    <t>Southern Alberta Transmission Reinforcement</t>
  </si>
  <si>
    <t>Alterra Power Corporation</t>
  </si>
  <si>
    <t>Bute Inlet Hydroelectric Project</t>
  </si>
  <si>
    <t>Woodside, Chevron</t>
  </si>
  <si>
    <t>Kitimat LNG Terminal</t>
  </si>
  <si>
    <t>Brion Energy Corporation</t>
  </si>
  <si>
    <t>Dover (PetroChina)</t>
  </si>
  <si>
    <t>Paladin Energy</t>
  </si>
  <si>
    <t xml:space="preserve">Michelin Uranium Project </t>
  </si>
  <si>
    <t>Alloycorp Mining Inc</t>
  </si>
  <si>
    <t>Kitsault</t>
  </si>
  <si>
    <t>BC Hydro</t>
  </si>
  <si>
    <t xml:space="preserve">Peace River Site C Hydro-electric project </t>
  </si>
  <si>
    <t>John Hart Replacement</t>
  </si>
  <si>
    <t>Ruskin Dam and Powerhouse Seismic Improvement Project</t>
  </si>
  <si>
    <t>BHP</t>
  </si>
  <si>
    <t>Jansen Stage 1</t>
  </si>
  <si>
    <t>SK</t>
  </si>
  <si>
    <t xml:space="preserve">IPC Canada Ltd. </t>
  </si>
  <si>
    <t>Blackrod</t>
  </si>
  <si>
    <t>Blue Fuel Energy Corp.</t>
  </si>
  <si>
    <t>Clean Methanol Plant</t>
  </si>
  <si>
    <t>Talisker Resources Ltd.</t>
  </si>
  <si>
    <t>Bralorne Mine/King/ Pioneer Mines</t>
  </si>
  <si>
    <t>Canadian Kailuan Dehua Mines Co., Ltd.</t>
  </si>
  <si>
    <t>Gething Coal Project</t>
  </si>
  <si>
    <t>Canadian Natural Resources Limited</t>
  </si>
  <si>
    <t>Grouse</t>
  </si>
  <si>
    <t>Canadian Natural Resources Ltd. (CNRL)</t>
  </si>
  <si>
    <t>Horizon (Mining)</t>
  </si>
  <si>
    <t>Kirby South</t>
  </si>
  <si>
    <t>NorZinc</t>
  </si>
  <si>
    <t>Prairie Creek</t>
  </si>
  <si>
    <t>NT</t>
  </si>
  <si>
    <t>Canagold Resources Ltd.</t>
  </si>
  <si>
    <t>New Polaris Gold Mine</t>
  </si>
  <si>
    <t>Canpotex Terminals Ltd.</t>
  </si>
  <si>
    <t>Prince Rupert Potash Terminal Expansion</t>
  </si>
  <si>
    <t>Kutcho Copper Corp.</t>
  </si>
  <si>
    <t>Kutcho Creek</t>
  </si>
  <si>
    <t>Alamos Gold Inc.</t>
  </si>
  <si>
    <t>Lynn Lake (Gordon site)</t>
  </si>
  <si>
    <t>Cenovus Energy</t>
  </si>
  <si>
    <t>Grand Rapids (Cenovus)</t>
  </si>
  <si>
    <t>Cenovus Energy Inc./ConocoPhillips</t>
  </si>
  <si>
    <t>Foster Creek</t>
  </si>
  <si>
    <t>Narrows Lake</t>
  </si>
  <si>
    <t>Exxon Mobil Corp., Imperial Oil Ltd.,  Statoil, Chevron, Repsol, Husky</t>
  </si>
  <si>
    <t>Oil and Gas Exploration</t>
  </si>
  <si>
    <t>Chieftan Metals Corp.</t>
  </si>
  <si>
    <t>Tulsequah Chief Mine</t>
  </si>
  <si>
    <t>NWP Coal Canada Ltd.</t>
  </si>
  <si>
    <t>Crown Mountain Coal Project</t>
  </si>
  <si>
    <t>Innergex Renewable Energy Inc.</t>
  </si>
  <si>
    <t>Big Silver Creek Hydroelectric Project</t>
  </si>
  <si>
    <t>Connacher Oil &amp; Gas Ltd.</t>
  </si>
  <si>
    <t>Great Divide</t>
  </si>
  <si>
    <t>Copper Fox Metals - Teck Resources Limited</t>
  </si>
  <si>
    <t>Schaft Creek Porphyry Copper-Gold Mine</t>
  </si>
  <si>
    <t>Corporation Lithium Elements Critiques</t>
  </si>
  <si>
    <t>Rose Lithium-Tantalum Mine</t>
  </si>
  <si>
    <t>Covanta/Green Island Energy Ltd./Covanta Holding Corporation</t>
  </si>
  <si>
    <t>Gold River Power Project</t>
  </si>
  <si>
    <t>Upper Lillooet River Hydroelectric Project</t>
  </si>
  <si>
    <t>Boulder Creek Hydroelectric Project</t>
  </si>
  <si>
    <t>North Creek Hydroelectric Project</t>
  </si>
  <si>
    <t>Agnico Eagle Mines Limited</t>
  </si>
  <si>
    <t>Detour Lake open pit expansion and underground development</t>
  </si>
  <si>
    <t>ON</t>
  </si>
  <si>
    <t xml:space="preserve">Pike (Formely Kirby) </t>
  </si>
  <si>
    <t>Devon Canada Corp.</t>
  </si>
  <si>
    <t>Walleye</t>
  </si>
  <si>
    <t>Dokie Wind Energy inc.</t>
  </si>
  <si>
    <t>Wartenbe Wind Energy Project</t>
  </si>
  <si>
    <t>NSP Maritime Link Inc (Emera Affiliate)</t>
  </si>
  <si>
    <t>Maritime Link Transmission Line</t>
  </si>
  <si>
    <t>Multi</t>
  </si>
  <si>
    <t>Enbridge Inc.</t>
  </si>
  <si>
    <t>Wood Buffalo Crude Oil Pipeline</t>
  </si>
  <si>
    <t>Enbridge Edmonton Terminal (South) Expansion</t>
  </si>
  <si>
    <t>Enhance Energy Inc.</t>
  </si>
  <si>
    <t>CO2 Pipeline (Alberta Carbon Trunk Line)</t>
  </si>
  <si>
    <t>WindRiver Power Corp.</t>
  </si>
  <si>
    <t>Kinskuch Hydroelectric Project</t>
  </si>
  <si>
    <t>Exxon Mobil Canada Properties, Chevron Canada Ltd., PetroCanada, Norsk Hydro Canada Oil &amp; Gas Inc., Provincial Government</t>
  </si>
  <si>
    <t xml:space="preserve">Hebron-Ben Nevis Offshore Oil </t>
  </si>
  <si>
    <t>ExxonMobil, Petro-Canada, Chevron, Murphy Oil, Canada Hibernia Holding Corporation (Federal Government), StatoilHydro, Nalcor Energy‚ÄìOil and Gas (Provincial Government)</t>
  </si>
  <si>
    <t>Hibernia Southern Extension</t>
  </si>
  <si>
    <t>Finavera Wind Energy Inc.</t>
  </si>
  <si>
    <t>Bullmoose Wind Energy Project</t>
  </si>
  <si>
    <t>FORCE</t>
  </si>
  <si>
    <t>Tidal Demonstration Project</t>
  </si>
  <si>
    <t>NS</t>
  </si>
  <si>
    <t>Fortune Minerals Limited</t>
  </si>
  <si>
    <t>NICO Cobalt-Gold-Bismuth Mine</t>
  </si>
  <si>
    <t>Fortune Minerals Ltd.</t>
  </si>
  <si>
    <t>Saskatchewan Metals Processing Plant</t>
  </si>
  <si>
    <t>Fosthall Creek Power LP</t>
  </si>
  <si>
    <t>Fosthall Creek Hydropower Project</t>
  </si>
  <si>
    <t>Government of PEI</t>
  </si>
  <si>
    <t>Electricity Transmission Cable</t>
  </si>
  <si>
    <t>PE</t>
  </si>
  <si>
    <t>Grizzly Oil Sands ULC</t>
  </si>
  <si>
    <t>May River</t>
  </si>
  <si>
    <t>Giga Metals Corp. &amp; Mitsubishi Corporation</t>
  </si>
  <si>
    <t xml:space="preserve">Turnagain Project </t>
  </si>
  <si>
    <t>Harvest Operations Corp.</t>
  </si>
  <si>
    <t>BlackGold Oil Sands Project</t>
  </si>
  <si>
    <t>Hawkeye Energy Corp.</t>
  </si>
  <si>
    <t>Hawkeye Green Energy Grid Project</t>
  </si>
  <si>
    <t>HD Mining International Ltd.</t>
  </si>
  <si>
    <t>Murray River Coal Project</t>
  </si>
  <si>
    <t>HudBay Minerals</t>
  </si>
  <si>
    <t>Lalor</t>
  </si>
  <si>
    <t>Hurley River Hydro LP</t>
  </si>
  <si>
    <t>Hurley River Hydroelectric Project</t>
  </si>
  <si>
    <t>Husky Energy</t>
  </si>
  <si>
    <t>caribou lake</t>
  </si>
  <si>
    <t>Husky Energy Inc.</t>
  </si>
  <si>
    <t>White Rose Expansion</t>
  </si>
  <si>
    <t>Labrador Natural Gas Exploration</t>
  </si>
  <si>
    <t>Hydro-Quebec</t>
  </si>
  <si>
    <t>Complexe hydro√©lectrique La Romaine</t>
  </si>
  <si>
    <t>Renovation de groupes a la centrale electrique Beauharnois</t>
  </si>
  <si>
    <t>Japan Canada Oil Sands Limited (JACOS)/Nexen Inc.</t>
  </si>
  <si>
    <t>Hangingstone (JACOS)</t>
  </si>
  <si>
    <t>K &amp; S Potash Canada (Aktiengesellschaft)</t>
  </si>
  <si>
    <t>Bethune</t>
  </si>
  <si>
    <t>Karnalyte Resources Inc</t>
  </si>
  <si>
    <t>Wynyard Potash Project</t>
  </si>
  <si>
    <t xml:space="preserve">Keyera Facilities Income Fund (Keyera) </t>
  </si>
  <si>
    <t xml:space="preserve">NGL Storage Facility Expansion </t>
  </si>
  <si>
    <t>Kinder Morgan</t>
  </si>
  <si>
    <t>Trans Mountain Pipeline Expansion (TMX)</t>
  </si>
  <si>
    <t>Kinder Morgan Canada</t>
  </si>
  <si>
    <t>Edmonton Terminal Storage Expansion Part 2</t>
  </si>
  <si>
    <t>Kitamaat Renewable Energy Corporation</t>
  </si>
  <si>
    <t>Crab/Europa Hydroelectric Project</t>
  </si>
  <si>
    <t>Koch Industries</t>
  </si>
  <si>
    <t>Muskwa</t>
  </si>
  <si>
    <t>NorthWest Copper</t>
  </si>
  <si>
    <t>Lorraine-Jayjay Copper Mine</t>
  </si>
  <si>
    <t>Manitoba Hydro</t>
  </si>
  <si>
    <t>Bipole III Transmission Line and Converter Stations (Riel and Keewatinohk)</t>
  </si>
  <si>
    <t>Keeyask Generating Station</t>
  </si>
  <si>
    <t>MAXIM Power Corp.</t>
  </si>
  <si>
    <t>HR Milner Generating Station Expansion</t>
  </si>
  <si>
    <t>Meadow Lake Tribal Council</t>
  </si>
  <si>
    <t>Biomass Generator</t>
  </si>
  <si>
    <t>M√©taux BlackRock Inc.</t>
  </si>
  <si>
    <t>Black Rock</t>
  </si>
  <si>
    <t>Mine Arnaud Inc.</t>
  </si>
  <si>
    <t>Arnaud Apatite Mine</t>
  </si>
  <si>
    <t>Mosaic Potash</t>
  </si>
  <si>
    <t>Potash Mine Expansion</t>
  </si>
  <si>
    <t>Mount Hays Wind Farm Limited Partnership</t>
  </si>
  <si>
    <t>Mount Hays Wind Farm</t>
  </si>
  <si>
    <t>Nalcor Energy</t>
  </si>
  <si>
    <t>Muskrat Falls Hydroelectric Generating Station and Labrador Transmission Assets</t>
  </si>
  <si>
    <t>Natural Resources Canada</t>
  </si>
  <si>
    <t>Port Granby Long-Term Low-Level Radioactive Waste Management</t>
  </si>
  <si>
    <t>Capstone Infrastructure Corporation</t>
  </si>
  <si>
    <t>Wild Rose' Wind Farm (Phase 2)</t>
  </si>
  <si>
    <t>NB Power</t>
  </si>
  <si>
    <t>Mactaquac Dam upgrades</t>
  </si>
  <si>
    <t>NB</t>
  </si>
  <si>
    <t>NB Power and Partners</t>
  </si>
  <si>
    <t xml:space="preserve">Smart Grid Investments Phase </t>
  </si>
  <si>
    <t>Nemaska Lithium inc.</t>
  </si>
  <si>
    <t>Whabouchi</t>
  </si>
  <si>
    <t>BluEarth Renewables</t>
  </si>
  <si>
    <t>Hand Hills' Wind Farm (78MW)</t>
  </si>
  <si>
    <t>Hope Bay Gold (Doris North and Hope Bay Belt)</t>
  </si>
  <si>
    <t>Nomis Power Corp - Rupert Peace Power Corp</t>
  </si>
  <si>
    <t>Nahwitti Wind Farm</t>
  </si>
  <si>
    <t>Ring of Fire Metals Pty Ltd.</t>
  </si>
  <si>
    <t>Eagle's Nest (McFaulds Lake)</t>
  </si>
  <si>
    <t>North American Palladium</t>
  </si>
  <si>
    <t>Lac des Iles palladium mine  (expansion)</t>
  </si>
  <si>
    <t>Northeast Utilities, NSTAR, Hydro-Quebec</t>
  </si>
  <si>
    <t>Transmission Line - Champlain Hudson Power Express</t>
  </si>
  <si>
    <t>Numerous Companies</t>
  </si>
  <si>
    <t>COMFIT Program - Wind Energy</t>
  </si>
  <si>
    <t>Northcliff Resources (HDI Mining)</t>
  </si>
  <si>
    <t>Sisson Project</t>
  </si>
  <si>
    <t>Ontario Power Generation</t>
  </si>
  <si>
    <t>Darlington Refurbishment Project</t>
  </si>
  <si>
    <t>The Deep Geologic Repository Project</t>
  </si>
  <si>
    <t>Oceanic Iron Ore Company</t>
  </si>
  <si>
    <t>Hopes Advance Iron Mine (Ungava Bay)</t>
  </si>
  <si>
    <t>Osum Oil Sands Corp.</t>
  </si>
  <si>
    <t>Taiga</t>
  </si>
  <si>
    <t>Hammond Reef</t>
  </si>
  <si>
    <t>Greengen Holdings Ltd</t>
  </si>
  <si>
    <t>Bremner Creek Hydro Project</t>
  </si>
  <si>
    <t>Woodside, Chevron (Kitimat LNG)</t>
  </si>
  <si>
    <t>Pacific Trail Pipeline</t>
  </si>
  <si>
    <t>Pacific Booker Minerals Inc.</t>
  </si>
  <si>
    <t>Morrison Copper Gold Project</t>
  </si>
  <si>
    <t>Brion Energy Corporation (Petro China)</t>
  </si>
  <si>
    <t>Thickwood/MacKay River</t>
  </si>
  <si>
    <t>Polaris Minerals Corp.</t>
  </si>
  <si>
    <t>Eagle Rock Quarry</t>
  </si>
  <si>
    <t>Potash Corporation of Saskatwchewan</t>
  </si>
  <si>
    <t>Marten Ridge Wind Energy Project</t>
  </si>
  <si>
    <t>Pretium Resources Inc.</t>
  </si>
  <si>
    <t>Brucejack Gold Mine</t>
  </si>
  <si>
    <t>Metaux Torngat ltee</t>
  </si>
  <si>
    <t>Strange Lake / B-Zone</t>
  </si>
  <si>
    <t>Magneto Investments Limited Partnership</t>
  </si>
  <si>
    <t>Dumont</t>
  </si>
  <si>
    <t xml:space="preserve">Ryan River Joint Venture Regional Power </t>
  </si>
  <si>
    <t>Ryan River Hydro Project</t>
  </si>
  <si>
    <t xml:space="preserve">Evolution Mining </t>
  </si>
  <si>
    <t>Bateman Gold</t>
  </si>
  <si>
    <t>Sea Breeze Pacific Juan de Fuca Cable, LP</t>
  </si>
  <si>
    <t>Juan de Fuca Power Cable</t>
  </si>
  <si>
    <t>B2Gold Corp.</t>
  </si>
  <si>
    <t>Back River Gold Project</t>
  </si>
  <si>
    <t>Seabridge Gold Inc.</t>
  </si>
  <si>
    <t>Kerr-Sulphurets-Mitchell (KSM)</t>
  </si>
  <si>
    <t>Selkirk Power Company Ltd.</t>
  </si>
  <si>
    <t>Beaver River Hydroelectric Project</t>
  </si>
  <si>
    <t xml:space="preserve">LNG Canada (Shell Canada Limited, PETRONAS, Korea Gas Corporation (KOGAS), Mitsubishi Corporation, and PetroChina Company Limited) </t>
  </si>
  <si>
    <t>LNG Canada Phase 1</t>
  </si>
  <si>
    <t>AOSP Jackpine</t>
  </si>
  <si>
    <t>Shell Exploration</t>
  </si>
  <si>
    <t>Offshore Oil and Gas Exploration</t>
  </si>
  <si>
    <t>Minco</t>
  </si>
  <si>
    <t>Lundberg Zone Base Metals</t>
  </si>
  <si>
    <t>Shore Gold Inc.</t>
  </si>
  <si>
    <t>Star-Orion Diamond Project</t>
  </si>
  <si>
    <t>Skygold Ventures Inc.</t>
  </si>
  <si>
    <t>Spanish Mountain Copper-Gold Mines</t>
  </si>
  <si>
    <t>Skyline Gold Corporation</t>
  </si>
  <si>
    <t>Bronson Slope Hydropower Projects</t>
  </si>
  <si>
    <t>Bronson Slope Copper/Gold/Silver/Molybdenum Mine</t>
  </si>
  <si>
    <t>SCCC Petroleum Corporation</t>
  </si>
  <si>
    <t>Red Earth Pilot</t>
  </si>
  <si>
    <t>Callinex Mines Inc.</t>
  </si>
  <si>
    <t>Nash Creek</t>
  </si>
  <si>
    <t>Spanish Mountain Gold Ltd.</t>
  </si>
  <si>
    <t>Stlixwim Renewable Energy Initiative-Ramona 3/Chickwat Creek/CC Creek/Narrows Inlet Hydro Project</t>
  </si>
  <si>
    <t>Generation Mining Ltd.</t>
  </si>
  <si>
    <t>Marathon PGM Copper Mine</t>
  </si>
  <si>
    <t>Strata Oil &amp; Gas Inc.</t>
  </si>
  <si>
    <t>Cadotte (Strata)</t>
  </si>
  <si>
    <t>Fort Hills Energy Corp. (Suncor/Total/Teck Cominco)</t>
  </si>
  <si>
    <t>Fort Hills (Mining)</t>
  </si>
  <si>
    <t>Suncor Energy Inc.</t>
  </si>
  <si>
    <t>Lewis</t>
  </si>
  <si>
    <t>Firebag</t>
  </si>
  <si>
    <t>Suncor, ExxonMobil, Statoil, Husky Energy , Murphy Oil, Chevron, Mosbacher</t>
  </si>
  <si>
    <t>Terra Nova (Asset Life Extension)</t>
  </si>
  <si>
    <t>Sunshine Oilsands</t>
  </si>
  <si>
    <t>Legend Lake</t>
  </si>
  <si>
    <t>Sunshine Oilsands Ltd.</t>
  </si>
  <si>
    <t>Thickwood (Sunshine)</t>
  </si>
  <si>
    <t>West Ells</t>
  </si>
  <si>
    <t>Superior Laminated Lumber Corporation</t>
  </si>
  <si>
    <t>construction of a new laminated veneer lumber manufacturing plant</t>
  </si>
  <si>
    <t>Syncrude Canada Ltd.</t>
  </si>
  <si>
    <t>Syncrude (upgrading)</t>
  </si>
  <si>
    <t>Syntaris Power Corp.</t>
  </si>
  <si>
    <t>Jade Lake Power Project</t>
  </si>
  <si>
    <t xml:space="preserve">Osisko Metals Inc/Appian </t>
  </si>
  <si>
    <t xml:space="preserve">Pine Point </t>
  </si>
  <si>
    <t>Taseko Mines Ltd.</t>
  </si>
  <si>
    <t xml:space="preserve">New Prosperity 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</si>
  <si>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</si>
  <si>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</si>
  <si>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</si>
  <si>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</si>
  <si>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</si>
  <si>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</si>
  <si>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</si>
  <si>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Frontier and Equinox</t>
  </si>
  <si>
    <t>GoldMining Inc</t>
  </si>
  <si>
    <t>Yellowknife Gold</t>
  </si>
  <si>
    <t>Vale</t>
  </si>
  <si>
    <t>Copper Cliff Deep project</t>
  </si>
  <si>
    <t>Value Creation Inc.</t>
  </si>
  <si>
    <t>Tristar' SAGD Pilot Project</t>
  </si>
  <si>
    <t>Various project proponents</t>
  </si>
  <si>
    <t>Local small scale community and First Nations renewable energy projects</t>
  </si>
  <si>
    <t>Victoria Gold Corporation</t>
  </si>
  <si>
    <t>Dublin Gulch (Eagle Gold)</t>
  </si>
  <si>
    <t>YK</t>
  </si>
  <si>
    <t>Victory Nickel</t>
  </si>
  <si>
    <t>Minago</t>
  </si>
  <si>
    <t xml:space="preserve"> Fort St. James Green Energy Limited Partnership</t>
  </si>
  <si>
    <t>Fort St-James Green Energy Project</t>
  </si>
  <si>
    <t>Western Bioenergy Inc.</t>
  </si>
  <si>
    <t>Merritt Green Energy Project</t>
  </si>
  <si>
    <t xml:space="preserve">Conuma Coal Resources Ltd. </t>
  </si>
  <si>
    <t>Belcourt/Saxon Coal Mines</t>
  </si>
  <si>
    <t>Wolverine Coal Mine (Hermann Deposit)</t>
  </si>
  <si>
    <t>Western Copper and Gold Corporation</t>
  </si>
  <si>
    <t>Casino Mine</t>
  </si>
  <si>
    <t>Western GeoPower Corporation - Ram Power Corp.</t>
  </si>
  <si>
    <t>South Meager Creek Geothermal Project</t>
  </si>
  <si>
    <t>Western Potash</t>
  </si>
  <si>
    <t>Milestone</t>
  </si>
  <si>
    <t>Wildmare Wind Energy EP</t>
  </si>
  <si>
    <t>Wildmare Wind Energy Project</t>
  </si>
  <si>
    <t>Yellowhead (formerly Harper Creek)</t>
  </si>
  <si>
    <t>Alcoa</t>
  </si>
  <si>
    <t>Modernisation d'aluminerie</t>
  </si>
  <si>
    <t>Athabasca Oil Corporation</t>
  </si>
  <si>
    <t xml:space="preserve">Dover West Clastics </t>
  </si>
  <si>
    <t>Centerra Gold Inc.</t>
  </si>
  <si>
    <t>Kemess Underground Copper-Gold Mine</t>
  </si>
  <si>
    <t>Surrey Area Substation Project (formerly Fleetwood Substation Project and Fraser Valley West Reinforcements),</t>
  </si>
  <si>
    <t>BP</t>
  </si>
  <si>
    <t>BURNCO Rock Products Ltd.</t>
  </si>
  <si>
    <t>BURNCO Aggregate Project (McNab Creek)</t>
  </si>
  <si>
    <t>Kirby North</t>
  </si>
  <si>
    <t>Cardero Coal Ltd.</t>
  </si>
  <si>
    <t>Carbon Creek Coal Mine</t>
  </si>
  <si>
    <t>Cavalier Energy Inc.</t>
  </si>
  <si>
    <t>Hoole (Paramount)</t>
  </si>
  <si>
    <t>Centermount Coal Limited</t>
  </si>
  <si>
    <t xml:space="preserve">Bingay Main Metallurgical Coal </t>
  </si>
  <si>
    <t>City of Surrey</t>
  </si>
  <si>
    <t>Organic Biofuel Facility</t>
  </si>
  <si>
    <t>Granite Creek Copper</t>
  </si>
  <si>
    <t>Carmacks Copper Project</t>
  </si>
  <si>
    <t>ecoTECH Energy Group (Canada) Inc</t>
  </si>
  <si>
    <t>Biomass Project - McBride</t>
  </si>
  <si>
    <t>Elizabeth Falls Hydro Development Corporation</t>
  </si>
  <si>
    <t>Tazi Twe Hydroelectric Project (Elizabeth Falls Hydro Project)</t>
  </si>
  <si>
    <t>Enbridge Pipelines Inc.</t>
  </si>
  <si>
    <t>Northern Gateway Pipeline</t>
  </si>
  <si>
    <t>Encanto Potash / Muskowekwan Resources Ltd.</t>
  </si>
  <si>
    <t>Muskowekwan Potash Mine</t>
  </si>
  <si>
    <t>Holmes Hydro</t>
  </si>
  <si>
    <t>Robson Valley Hydroelectric Project</t>
  </si>
  <si>
    <t>Imperial Metals Corporation</t>
  </si>
  <si>
    <t>Huckleberry Copper/Silver/Molybdenum Mine</t>
  </si>
  <si>
    <t>Raccordement du complexe de La Romaine au reseau de transport</t>
  </si>
  <si>
    <t>Keyera Corp.</t>
  </si>
  <si>
    <t>Rimbey Gas Plant Expansion</t>
  </si>
  <si>
    <t>Birchwood SAGD Oil Sands Project</t>
  </si>
  <si>
    <t>Matamec Explorations Inc.</t>
  </si>
  <si>
    <t>Kipawa (Zeus)</t>
  </si>
  <si>
    <t>MEG Energy Corp.</t>
  </si>
  <si>
    <t>Surmont (MEG)</t>
  </si>
  <si>
    <t>Labrador-Island Transmission Link</t>
  </si>
  <si>
    <t>Naturener Energy Canada</t>
  </si>
  <si>
    <t>Wild Rose' Wind Farm Phase 2 (162MW)</t>
  </si>
  <si>
    <t>Artemis Gold Inc</t>
  </si>
  <si>
    <t>Blackwater Gold Project</t>
  </si>
  <si>
    <t>North West Redwater Partnership (Canadian Natural Resources Ltd. (CNRL) / North West Upgrading Inc.)</t>
  </si>
  <si>
    <t>North West Bitumen Upgrader Phase 1</t>
  </si>
  <si>
    <t>Oak Point Energy Ltd.</t>
  </si>
  <si>
    <t>Lewis Steepbank (Oak Point)</t>
  </si>
  <si>
    <t xml:space="preserve">Pieridae Energy </t>
  </si>
  <si>
    <t>Goldboro LNG Export facility</t>
  </si>
  <si>
    <t>Wellgreen Platinum Ltd.</t>
  </si>
  <si>
    <t>Wellgreen</t>
  </si>
  <si>
    <t>Quicksilver Resources/ Kohlberg Kravis Roberts &amp; Co. L.P. (KKR)</t>
  </si>
  <si>
    <t>Fortune Creek Gas Plant</t>
  </si>
  <si>
    <t>New Gold</t>
  </si>
  <si>
    <t>Rainy River Gold Mine</t>
  </si>
  <si>
    <t xml:space="preserve">Rio Tinto Alcan Inc. </t>
  </si>
  <si>
    <t>Kemano Tunnel Project (T2)</t>
  </si>
  <si>
    <t>BridgePower</t>
  </si>
  <si>
    <t>Rocky Creek Wind Energy Project</t>
  </si>
  <si>
    <t>Enbridge</t>
  </si>
  <si>
    <t>Westcoast Connector Gas Transmission Project</t>
  </si>
  <si>
    <t>Surmont Energy Ltd.</t>
  </si>
  <si>
    <t>Wildwood</t>
  </si>
  <si>
    <t>TransCanada</t>
  </si>
  <si>
    <t>Northern Courier Pipeline Project</t>
  </si>
  <si>
    <t>Coastal GasLink Pipeline Project (TransCanada)</t>
  </si>
  <si>
    <t>Energy East</t>
  </si>
  <si>
    <t>NOVA Gas Transmission Ltd. (TransCanada)</t>
  </si>
  <si>
    <t>Northwest Mainline Komie North Natural Gas Pipeline Expansion</t>
  </si>
  <si>
    <t>TransCanada Keystone Pipeline GP Ltd.</t>
  </si>
  <si>
    <t>Keystone XL Oil Pipeline Project</t>
  </si>
  <si>
    <t>TransCanada/Phoenix Energy Holding Limited (Grand Rapids Pipeline Limited Partnership)</t>
  </si>
  <si>
    <t>Grand Rapids Pipeline project</t>
  </si>
  <si>
    <t>Treasury Metals Inc.</t>
  </si>
  <si>
    <t>Goliath Complex</t>
  </si>
  <si>
    <t xml:space="preserve">Value Creation Inc. </t>
  </si>
  <si>
    <t>TriStar Advanced (In Situ + Upgrader)</t>
  </si>
  <si>
    <t>Atlantic Gold Corporation</t>
  </si>
  <si>
    <t>Moose River Consolidated Project</t>
  </si>
  <si>
    <t>Labrador Iron Mines Holdings Ltd.</t>
  </si>
  <si>
    <t>Direct Shipping Iron Ore (DSO) Houston Deposit</t>
  </si>
  <si>
    <t>KGHM International</t>
  </si>
  <si>
    <t>Victoria Project</t>
  </si>
  <si>
    <t>Argonaut Gold</t>
  </si>
  <si>
    <t>Magino Mine</t>
  </si>
  <si>
    <t>Agnico Eagle - Yamana Gold</t>
  </si>
  <si>
    <t>Upper Beaver</t>
  </si>
  <si>
    <t xml:space="preserve">IAMGOLD Corp./Sumitomo Metal Mining </t>
  </si>
  <si>
    <t>Cote Lake Project</t>
  </si>
  <si>
    <t xml:space="preserve">Algonquin Power &amp; Utilities Corp. </t>
  </si>
  <si>
    <t>Wind Projects</t>
  </si>
  <si>
    <t xml:space="preserve">Yancoal Canada Resources </t>
  </si>
  <si>
    <t>Southey Potash Project</t>
  </si>
  <si>
    <t>Glencore plc</t>
  </si>
  <si>
    <t>Sukunka Coal Mine</t>
  </si>
  <si>
    <t>Arianne Phosphate inc.</t>
  </si>
  <si>
    <t>Lac a Paul Phosphate/Apatite mine</t>
  </si>
  <si>
    <t>Commerce Resources corp.</t>
  </si>
  <si>
    <t>Eldor Rare Earth Project</t>
  </si>
  <si>
    <t>Moneta Porcupine</t>
  </si>
  <si>
    <t>Golden Highway Gold Project</t>
  </si>
  <si>
    <t>Braveheart Resources Inc. , Canada</t>
  </si>
  <si>
    <t>Thierry Copper/Nickel Mine</t>
  </si>
  <si>
    <t>Search Minerals Inc.</t>
  </si>
  <si>
    <t xml:space="preserve">Deep Fox + Foxtrot </t>
  </si>
  <si>
    <t>New Nuclear Power Plant Darlington Small Modular Reactor Project</t>
  </si>
  <si>
    <t>Northern Graphite</t>
  </si>
  <si>
    <t>Bissett Creek</t>
  </si>
  <si>
    <t>Husky Oil Operations Ltd.</t>
  </si>
  <si>
    <t>Saleski' Thermal Oil Sands Project Using CSS</t>
  </si>
  <si>
    <t>Prince Rupert Gas Transmission Project</t>
  </si>
  <si>
    <t>FortisBC Energy (Vancouver Island) Inc.</t>
  </si>
  <si>
    <t>Eagle Mountain - Woodfibre LNG Gas Pipeline Projects</t>
  </si>
  <si>
    <t>Woodfibre LNG</t>
  </si>
  <si>
    <t>Woodfibre LNG project</t>
  </si>
  <si>
    <t>Bruce Power</t>
  </si>
  <si>
    <t>Bruce Nuclear Refurbishment</t>
  </si>
  <si>
    <t>MEG Energy Corp. / Devon NEC</t>
  </si>
  <si>
    <t>Access Northeast Pipeline Expansion</t>
  </si>
  <si>
    <t>Napanee Generating Station</t>
  </si>
  <si>
    <t>Heartland Pipeline Project</t>
  </si>
  <si>
    <t>ATCO Pipelines</t>
  </si>
  <si>
    <t>Urban Pipeline Replacement Project</t>
  </si>
  <si>
    <t>Prosper Petroleum</t>
  </si>
  <si>
    <t>Rigel Oil Sands Project</t>
  </si>
  <si>
    <t>Pteragen Canada</t>
  </si>
  <si>
    <t>Peace Butte Wind Farm</t>
  </si>
  <si>
    <t>FarmTech</t>
  </si>
  <si>
    <t xml:space="preserve">Ethanol plant </t>
  </si>
  <si>
    <t>Pembina Pipeline Corp.</t>
  </si>
  <si>
    <t>Saturn II Twinning</t>
  </si>
  <si>
    <t>Gibson Energy Inc.</t>
  </si>
  <si>
    <t>Edmonton Terminal Expansion</t>
  </si>
  <si>
    <t>Sepiko Kesik Project</t>
  </si>
  <si>
    <t>Resolute Forest Products</t>
  </si>
  <si>
    <t>Plant Modernization</t>
  </si>
  <si>
    <t>Graymont Western Canada Inc.</t>
  </si>
  <si>
    <t>Giscome Quarry and Lime Plant Project</t>
  </si>
  <si>
    <t xml:space="preserve"> Innergex Wind Energy Inc and Saik'uz First Nation</t>
  </si>
  <si>
    <t>Nulki Hills, 30 km south of Vanderhoof</t>
  </si>
  <si>
    <t>Statlu Creek Hydroelectric Project</t>
  </si>
  <si>
    <t>EDF Energies Nouvelles</t>
  </si>
  <si>
    <t>Sundance Wind Project</t>
  </si>
  <si>
    <t>EDF Renouvelables</t>
  </si>
  <si>
    <t>Taylor Wind Project</t>
  </si>
  <si>
    <t>Imperial Oil Limited</t>
  </si>
  <si>
    <t>Aspen' oil sands project (SAGD)</t>
  </si>
  <si>
    <t>Goldcorp</t>
  </si>
  <si>
    <t>Cochenour Mine</t>
  </si>
  <si>
    <t>GTA Project (Pipeline Expansion)</t>
  </si>
  <si>
    <t>Husky Energy Inc., Suncor, Nalcor Energy</t>
  </si>
  <si>
    <t>White Rose Expansion - White Rose West</t>
  </si>
  <si>
    <t>Ethanol Cellulosique Varennes s.e.c. (Recyclage Carbone Varennes)</t>
  </si>
  <si>
    <t>Usine de carburant a faible intensite carbone (inclut un electrolyseur)</t>
  </si>
  <si>
    <t>Quicksilver Resources Canada Inc.</t>
  </si>
  <si>
    <t>Discovery LNG</t>
  </si>
  <si>
    <t>Port Alberni Harbour Authority</t>
  </si>
  <si>
    <t>Port Alberni LNG Export Facility</t>
  </si>
  <si>
    <t>Fortis BC</t>
  </si>
  <si>
    <t>Tilbury LNG Facility Expansion</t>
  </si>
  <si>
    <t>TimberWest Forest Corp./EDP Renewables</t>
  </si>
  <si>
    <t>Sooke Wind Project</t>
  </si>
  <si>
    <t>Sequoia Energy Inc.</t>
  </si>
  <si>
    <t>Quottoon Cluster of Hydroelectric Projects</t>
  </si>
  <si>
    <t>NOVA Gas Transmission Ltd.</t>
  </si>
  <si>
    <t>North Montney Mainline</t>
  </si>
  <si>
    <t>Fortis Generation Inc.</t>
  </si>
  <si>
    <t>Hydroelectric Dam</t>
  </si>
  <si>
    <t>Kitimat Clean Ltd.</t>
  </si>
  <si>
    <t>Kitimat Clean Oil Refinery</t>
  </si>
  <si>
    <t>Horsey GIS Replacement Program</t>
  </si>
  <si>
    <t>Greater Vancouver Regional District</t>
  </si>
  <si>
    <t>Capilano (Cleveland) Dam Power Plant</t>
  </si>
  <si>
    <t>Big Bend Substation (BBS)(was South Burnaby Reinforcement)</t>
  </si>
  <si>
    <t>Courtenay Area Substation</t>
  </si>
  <si>
    <t>Capilano Substation Upgrade</t>
  </si>
  <si>
    <t>Tipella Creek Hydropower Project</t>
  </si>
  <si>
    <t>Swift Power Corp.</t>
  </si>
  <si>
    <t>Jervis Inlet Hydro Project</t>
  </si>
  <si>
    <t>Kruger Energy Inc.</t>
  </si>
  <si>
    <t>Maselpanik Creek Hydro Project</t>
  </si>
  <si>
    <t>Pacific Coastal Wave Energy Corp.</t>
  </si>
  <si>
    <t>Wave Energy Project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</si>
  <si>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</si>
  <si>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</si>
  <si>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</si>
  <si>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</si>
  <si>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</si>
  <si>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TransAlta Corporation - Sorgente</t>
  </si>
  <si>
    <t>Clemina Creek Hydro Project</t>
  </si>
  <si>
    <t>Kitsault Hydroelectric Corp.</t>
  </si>
  <si>
    <t>Kitsault River and Homestake Creek Hydro Project</t>
  </si>
  <si>
    <t>Highwater Power Corporation</t>
  </si>
  <si>
    <t>Kookipi Creek Water Power Project</t>
  </si>
  <si>
    <t>Highwater Power Corporation Altagas Ltd.</t>
  </si>
  <si>
    <t>Log Creek Water Power  Project</t>
  </si>
  <si>
    <t>Hiranandani Group / AC LNG</t>
  </si>
  <si>
    <t>AC LNG</t>
  </si>
  <si>
    <t>TransAlta</t>
  </si>
  <si>
    <t>Sundance 7 Gas fired power plant</t>
  </si>
  <si>
    <t>Ironhead First Nations Partnership</t>
  </si>
  <si>
    <t>Great Spirit Power Project</t>
  </si>
  <si>
    <t>ATCO Power</t>
  </si>
  <si>
    <t>ATCO Heartland Generating Station</t>
  </si>
  <si>
    <t>North Atlantic Ironsands (a joint venture of Grand River Ironsands and Petmin Ltd.)</t>
  </si>
  <si>
    <t>Labrador Ironsands Project</t>
  </si>
  <si>
    <t>Severstal North America</t>
  </si>
  <si>
    <t>Iron Ore Pelletization Plant (Sydney)</t>
  </si>
  <si>
    <t>West High Yield Resources</t>
  </si>
  <si>
    <t>Record Ridge Magnesium Project</t>
  </si>
  <si>
    <t>J.D. Irving</t>
  </si>
  <si>
    <t>Saint John Pulp Mill Upgrades</t>
  </si>
  <si>
    <t>First Mining Gold Corp.</t>
  </si>
  <si>
    <t>Springpole Lake Gold Project</t>
  </si>
  <si>
    <t>Greenstone Gold Mines LP (Equinox Gold Corp./Orion Mine Finance Group)</t>
  </si>
  <si>
    <t>Greenstone</t>
  </si>
  <si>
    <t>Riversdale Resources</t>
  </si>
  <si>
    <t>Grassy Mountain</t>
  </si>
  <si>
    <t>Commerce Resources</t>
  </si>
  <si>
    <t>Blue River (Upper Fir) Tantalum/Niobium Project</t>
  </si>
  <si>
    <t>Newfoundland and Labrador Hydro</t>
  </si>
  <si>
    <t>New Island 230 kV Transmission Line TL 267</t>
  </si>
  <si>
    <t>Puma  Exploration</t>
  </si>
  <si>
    <t>Murray Brook Zinc/Lead/Gold Mine</t>
  </si>
  <si>
    <t>Sunday Creek terminal expansion</t>
  </si>
  <si>
    <t>Chaleur
Terminals Inc.</t>
  </si>
  <si>
    <t>Belledune Rail Terminal and Transfer System</t>
  </si>
  <si>
    <t>Ascot Resources Ltd</t>
  </si>
  <si>
    <t>Premier Gold Project</t>
  </si>
  <si>
    <t>Nouveau Monde Graphite inc.</t>
  </si>
  <si>
    <t>Uatnan</t>
  </si>
  <si>
    <t>Integra Gold</t>
  </si>
  <si>
    <t>Lamaque Gold Project</t>
  </si>
  <si>
    <t>Paper Excellence</t>
  </si>
  <si>
    <t>Restart of Pulp Mill and new Biomass Power Generation</t>
  </si>
  <si>
    <t>Alton Natural Gas Storage</t>
  </si>
  <si>
    <t>Natural Gas Storage Facility</t>
  </si>
  <si>
    <t>Joyce Direct Iron Inc.</t>
  </si>
  <si>
    <t>Joyce Lake DSO (the Attikamagen Project)</t>
  </si>
  <si>
    <t>Vulcan Materials Company</t>
  </si>
  <si>
    <t>Black Point Aggregate Project</t>
  </si>
  <si>
    <t>Fourth State Energy</t>
  </si>
  <si>
    <t>Energy-from-Waste Facility</t>
  </si>
  <si>
    <t>Spartan Delta Inception Exploration Ltd.</t>
  </si>
  <si>
    <t>Greenview Sour Gas plant</t>
  </si>
  <si>
    <t>CelluFuel</t>
  </si>
  <si>
    <t>Bio-Diesel Project</t>
  </si>
  <si>
    <t>Ledwidge Lumber Co</t>
  </si>
  <si>
    <t>Enfield Biomass Plant</t>
  </si>
  <si>
    <t>Vanderwell Contractors</t>
  </si>
  <si>
    <t>Bioenergy Project</t>
  </si>
  <si>
    <t>Focus Graphite inc.</t>
  </si>
  <si>
    <t>Lac Knife</t>
  </si>
  <si>
    <t>Hangingstone Oil Sands</t>
  </si>
  <si>
    <t>Ville de Qu√©bec</t>
  </si>
  <si>
    <t>Centre de biom√©thanisation de l‚Äôagglom√©ration de Qu√©bec (CBAQ)</t>
  </si>
  <si>
    <t>Val √âo soci√©t√© en commandite / Algonquin Power Trust</t>
  </si>
  <si>
    <t>Parc √©olien Belle-Rivi√®re</t>
  </si>
  <si>
    <t xml:space="preserve">Soci√©t√© d‚Äô√©conomie mixte de l‚Äôest de la Couronne Sud (SEMECS)
</t>
  </si>
  <si>
    <t xml:space="preserve"> biomethanation facilities of the Soci√©t√© d'√©conomie mixte de l'est de la couronne sud (SEMECS).</t>
  </si>
  <si>
    <t>Nexen/Inpex Corp./JGC Corp.</t>
  </si>
  <si>
    <t>Aurora LNG Facility</t>
  </si>
  <si>
    <t>Christina Lake SAGD Project</t>
  </si>
  <si>
    <t>Redwater RFS 3 Fractionator</t>
  </si>
  <si>
    <t>Canadian Diluent Hub</t>
  </si>
  <si>
    <t>ATCO Energy Solutions / Petrogas Energy Corp.</t>
  </si>
  <si>
    <t>Strathcona Salt Cavern Storage Project</t>
  </si>
  <si>
    <t xml:space="preserve">Jackfish </t>
  </si>
  <si>
    <t>Reconstruction du poste De Lorimier √† 315-25 kV</t>
  </si>
  <si>
    <t>Ho√´gh LNG</t>
  </si>
  <si>
    <t>GNL - Plan Nord - Ho√´gh LNG navire</t>
  </si>
  <si>
    <t>ENMAX Energy Corp. / Capital Power Corp</t>
  </si>
  <si>
    <t>Genesee Generating Units 4 and 5</t>
  </si>
  <si>
    <t>Cenovus Energy Inc.</t>
  </si>
  <si>
    <t>Pelican Lake</t>
  </si>
  <si>
    <t>Gascana AB Energy</t>
  </si>
  <si>
    <t>LNG Production Plant and other facilities</t>
  </si>
  <si>
    <t>Two Pipelines Edson - Fox Creek</t>
  </si>
  <si>
    <t>Stage 4a - MLX-W</t>
  </si>
  <si>
    <t>Calgary Urban Pipeline Replacement Project</t>
  </si>
  <si>
    <t>Pipeline System Expansions</t>
  </si>
  <si>
    <t>Bear Head Energy</t>
  </si>
  <si>
    <t>ConocoPhillips Canada</t>
  </si>
  <si>
    <t>Surmont (ConocoPhillips)</t>
  </si>
  <si>
    <t>Aley Niobium Project</t>
  </si>
  <si>
    <t>√ânergie Saguenay GNL Qu√©bec inc.</t>
  </si>
  <si>
    <t>√ânergie Saguenay LNG</t>
  </si>
  <si>
    <t>Ruddock Creek Zinc-Lead Mine Development Project</t>
  </si>
  <si>
    <t>AltaGas Ltd./ Painted Pony Petroleum Ltd</t>
  </si>
  <si>
    <t>Townsend Gas Processing Facility</t>
  </si>
  <si>
    <t>Baldy Ridge Extension Project</t>
  </si>
  <si>
    <t xml:space="preserve">BC Hydro </t>
  </si>
  <si>
    <t>Cheakamus Unit 1 and Unit 2 Generator Replacement</t>
  </si>
  <si>
    <t>Peace Region Load Shedding RAS</t>
  </si>
  <si>
    <t>Orca LNG Ltd.</t>
  </si>
  <si>
    <t>Orca LNG</t>
  </si>
  <si>
    <t>Steelhead LNG Corp./ Huu-ay-aht First Nations</t>
  </si>
  <si>
    <t>Steelhead LNG: Sarita LNG + Malahat LNG</t>
  </si>
  <si>
    <t>Kitsault Energy Ltd. of Canada</t>
  </si>
  <si>
    <t>Kitsault LNG Facility</t>
  </si>
  <si>
    <t>Woodside Energy Holdings Pty Ltd.</t>
  </si>
  <si>
    <t>Grassy Point LNG</t>
  </si>
  <si>
    <t>ExxonMobil Canada Ltd./Imperial Oil Resources Limited</t>
  </si>
  <si>
    <t>WCC LNG Ltd.</t>
  </si>
  <si>
    <t>Pacific Northern Gas Ltd.</t>
  </si>
  <si>
    <t>Pacific Northern Gas Pipeline Looping Project</t>
  </si>
  <si>
    <t xml:space="preserve">Rio Tinto </t>
  </si>
  <si>
    <t xml:space="preserve">Tio Titanium Mine Expansion </t>
  </si>
  <si>
    <t>Stolt-Nielsen Gas Ltd., Sun LNG Holding, LNGaz Inc</t>
  </si>
  <si>
    <t>Stolt LNGaz</t>
  </si>
  <si>
    <t>Tugliq</t>
  </si>
  <si>
    <t>GNL - Plan Nord - Tugliq/Oc√©an-navire</t>
  </si>
  <si>
    <t>Arctic Canadian Diamond Corp</t>
  </si>
  <si>
    <t>Ekati (Misery Deep)</t>
  </si>
  <si>
    <t>Rio Tinto and Dominion Diamond Corporation</t>
  </si>
  <si>
    <t>A-21 Kimberlite Pipe Development</t>
  </si>
  <si>
    <t>PRISM Diversifed Ltd.</t>
  </si>
  <si>
    <t>Clear Hills Project</t>
  </si>
  <si>
    <t>Newmont Goldcorp Corp.</t>
  </si>
  <si>
    <t>Coffee Gold Mine</t>
  </si>
  <si>
    <t>OPG and Coral Rapids L.P.</t>
  </si>
  <si>
    <t>Peter Sutherland Sr. Generating Station</t>
  </si>
  <si>
    <t>Uranium Energy Corp</t>
  </si>
  <si>
    <t>Roughrider Project</t>
  </si>
  <si>
    <t>Projet Chamouchouane-BDI &amp; Poste Judith-Jasmin</t>
  </si>
  <si>
    <t>ATCO</t>
  </si>
  <si>
    <t>NW Ft McMurray Transmission Development</t>
  </si>
  <si>
    <t>Orion</t>
  </si>
  <si>
    <t>Northern Blizzard Resources Inc.</t>
  </si>
  <si>
    <t xml:space="preserve">Pirtuk </t>
  </si>
  <si>
    <t>Jien Canada Mining Ltd.</t>
  </si>
  <si>
    <t>North American Lithium Mine</t>
  </si>
  <si>
    <t>Meadow Lake PulpMill Capacity Expansion (20%)</t>
  </si>
  <si>
    <t xml:space="preserve">Newfoundland Transshipment Limited </t>
  </si>
  <si>
    <t>Transshipment Terminal Expansion</t>
  </si>
  <si>
    <t>√ânergie Hydro√©lectrique Mistassini, Soci√©t√© en commandite</t>
  </si>
  <si>
    <t>Centrale hydro√©lectrique Onzi√®me chute</t>
  </si>
  <si>
    <t>Northern Cross Ltd.</t>
  </si>
  <si>
    <t>Eagle Plains Oil and Gas Exploration</t>
  </si>
  <si>
    <t>ATAC Resources Ltd.</t>
  </si>
  <si>
    <t>Rackla Gold Project (Tiger Deposit)</t>
  </si>
  <si>
    <t>Aurvista Gold Corporation</t>
  </si>
  <si>
    <t>Douay Ouest</t>
  </si>
  <si>
    <t>Interfor Corporation</t>
  </si>
  <si>
    <t>Mill upgrade</t>
  </si>
  <si>
    <t>Tugliq Energie S.A.R.F.</t>
  </si>
  <si>
    <t>√âolienne jumel√©e √† un syst√®me de stockage avanc√© √† l‚Äôhydrog√®ne √† la mine Raglan</t>
  </si>
  <si>
    <t>Mines Agnico Eagle ltee</t>
  </si>
  <si>
    <t>Akasaba West Copper-Gold Mine</t>
  </si>
  <si>
    <t>Canada Stewart Energy Group Ltd.   (Northwest World Energy Services, Great United Petroleum Holding Co. Ltd.)</t>
  </si>
  <si>
    <t>Canada Stewart Energy LNG Project</t>
  </si>
  <si>
    <t xml:space="preserve">Cedar LNG  (partnership between Pembina Pipeline Corporation and Haisla Nation) </t>
  </si>
  <si>
    <t>Cedar LNG</t>
  </si>
  <si>
    <t>NewTimes Energy Ltd.</t>
  </si>
  <si>
    <t>NewTimes Energy</t>
  </si>
  <si>
    <t>Watson Island LNG Corporation</t>
  </si>
  <si>
    <t>Watson Island LNG</t>
  </si>
  <si>
    <t>Tilbury Jetty Marine Partnership (Fortis, Seaspan, Shell)</t>
  </si>
  <si>
    <t>Tilbury Marine Jetty</t>
  </si>
  <si>
    <t xml:space="preserve">Vale Newfoundland and Labrador Limited </t>
  </si>
  <si>
    <t>Underground Mine Development</t>
  </si>
  <si>
    <t>Unibord</t>
  </si>
  <si>
    <t xml:space="preserve">Eastern Mainline </t>
  </si>
  <si>
    <t>Ligne √† 735 kV de la Chamouchouane-BD√é</t>
  </si>
  <si>
    <t>Dominion Diamonds Corp.</t>
  </si>
  <si>
    <t>Ekati Diamond Mine Expansion - Jay Pipe</t>
  </si>
  <si>
    <t>Glencore</t>
  </si>
  <si>
    <t>Raglan(phase 2)</t>
  </si>
  <si>
    <t>AltaGas Ltd.</t>
  </si>
  <si>
    <t>Fort St. John Liquids Hub</t>
  </si>
  <si>
    <t>Ridley Island Propane Export Terminal</t>
  </si>
  <si>
    <t>Altalink</t>
  </si>
  <si>
    <t>Chapel Rock to Pincher Creek Area Transmission Development</t>
  </si>
  <si>
    <t>Atrum Coal</t>
  </si>
  <si>
    <t>Groundhog Project Anthracite Coal Mine</t>
  </si>
  <si>
    <t>Tofino and Ahousaht LongTerm Power Supply</t>
  </si>
  <si>
    <t>Arnott Substation Capacity Upgrade Project</t>
  </si>
  <si>
    <t>Kamloops Substation</t>
  </si>
  <si>
    <t>Fort St. John and Taylor Electrical Supply</t>
  </si>
  <si>
    <t>G.M. Shrum Units 1 to 10 Control Systems Upgrade Project</t>
  </si>
  <si>
    <t>Horne Payne Substation Project</t>
  </si>
  <si>
    <t>Campbell River Substation Capacity Upgrade</t>
  </si>
  <si>
    <t>BR1 Replace Transformers T1 &amp; T2</t>
  </si>
  <si>
    <t>City of Medicine Hat</t>
  </si>
  <si>
    <t>Secondary Power Plant</t>
  </si>
  <si>
    <t>Creative Energy Vancouver Platforms Inc.</t>
  </si>
  <si>
    <t>Creative Energy Plant</t>
  </si>
  <si>
    <t>Cutbank Ridge Partnership (Mitsubishi Corporation and Encana)</t>
  </si>
  <si>
    <t>Sunrise Gas Plant</t>
  </si>
  <si>
    <t>Eagle Spirit Energy Holdings Ltd./Aquilini Group</t>
  </si>
  <si>
    <t>ESE Synthetic Crude Pipeline</t>
  </si>
  <si>
    <t>Norlite Pipeline</t>
  </si>
  <si>
    <t>Enbridge/ Borealis Inc./ Kitselas First Nation</t>
  </si>
  <si>
    <t>Lakelse Geothermal Power Plant</t>
  </si>
  <si>
    <t>ENN Canada Corp. / Ferus Natural Gas Fuels</t>
  </si>
  <si>
    <t>LNG Liquification Plant</t>
  </si>
  <si>
    <t>Infinity Energy</t>
  </si>
  <si>
    <t>Bio-Diesel Refinery</t>
  </si>
  <si>
    <t>Baseline Terminal</t>
  </si>
  <si>
    <t>Condensate tanks at Edmonton Terminal</t>
  </si>
  <si>
    <t>Isle Pierre Wind Farm</t>
  </si>
  <si>
    <t>Sturgeon Refinery Terminal</t>
  </si>
  <si>
    <t>Plateau Pipe Line Ltd.</t>
  </si>
  <si>
    <t>Northeast British Columbia (NEBC) Expansion Project</t>
  </si>
  <si>
    <t>Red Willow Wind LP</t>
  </si>
  <si>
    <t>Red Willow Wind Farm</t>
  </si>
  <si>
    <t>Terasen Gas/Kelowna City</t>
  </si>
  <si>
    <t>Kelowna City Centre Renewable Energy System</t>
  </si>
  <si>
    <t>TransAlta - Sorgente</t>
  </si>
  <si>
    <t>Veresen Midstream</t>
  </si>
  <si>
    <t>Tower Gas Plant</t>
  </si>
  <si>
    <t>Zero Emission Energy Developments Inc.</t>
  </si>
  <si>
    <t>Septimus Creek Wind Power Project</t>
  </si>
  <si>
    <t>Pennask Wind Power Project</t>
  </si>
  <si>
    <t>Shinish Creek Wind Power Project</t>
  </si>
  <si>
    <t>MRC de Lotbini√®re / RES Canada et municipalit√©s de Saint-S√©verin et de Saint-Sylvestre</t>
  </si>
  <si>
    <t>Parc √©olien Mont Sainte-Marguerite</t>
  </si>
  <si>
    <t>EDF EN Canada, Alliance √âolienne de l‚ÄôEst et R√©gie intermunicipale Gasp√©sie</t>
  </si>
  <si>
    <t>Parc √©olien Nicolas-Riou</t>
  </si>
  <si>
    <t>AltaLink, ATCO</t>
  </si>
  <si>
    <t>Central East Area Transmission Development</t>
  </si>
  <si>
    <t>Edmonton Region 240kV Line Upgrades</t>
  </si>
  <si>
    <t>Fidler Substation Connection</t>
  </si>
  <si>
    <t>Foothills Area Transmission Development - Third Circuit</t>
  </si>
  <si>
    <t>Fort McMurray West 500 kV Transmission Project</t>
  </si>
  <si>
    <t>Ministere du developpement durable, de l'environnement et des parcs</t>
  </si>
  <si>
    <t>Refection du barrage des Quinze</t>
  </si>
  <si>
    <t>Churchill Falls (Labrador) Corporation</t>
  </si>
  <si>
    <t>Electric Utility Capital Expenditures</t>
  </si>
  <si>
    <t>Manitoba‚ÄìMinnesota Transmission Project</t>
  </si>
  <si>
    <t>Iron Ore Company of Canada</t>
  </si>
  <si>
    <t>Wabush 3 open Pit Mine</t>
  </si>
  <si>
    <t>Newfoundland Power</t>
  </si>
  <si>
    <t>Electrical Substation and Emergency Power Capacity Upgrade</t>
  </si>
  <si>
    <t>Newfoundland Power Inc.</t>
  </si>
  <si>
    <t>Electric Utility Capital Program</t>
  </si>
  <si>
    <t>Kahnawake Sustainable Energies (KSE)</t>
  </si>
  <si>
    <t>Parc √©olien Saint-Cyprien</t>
  </si>
  <si>
    <t>Gaz M√©tro</t>
  </si>
  <si>
    <t>Agrandissement d‚Äôusine de transformation de gaz naturel liqu√©fi√©</t>
  </si>
  <si>
    <t>Various (2016 Capital Program)</t>
  </si>
  <si>
    <t>Red Deer Transmission Development</t>
  </si>
  <si>
    <t>South and West of Edmonton Transmission Development</t>
  </si>
  <si>
    <t>Southern Alberta Transmission Reinforcement (including Castle Rock Ridge to Chapel Rock 240 kV Line)</t>
  </si>
  <si>
    <t>Sunnybrook and Livock Interconnection with Fort McMurray West 500 kV Transmission Facilities</t>
  </si>
  <si>
    <t>Thickwood Hills 240 kV Transmission Development and Reactive Power Reinforcement</t>
  </si>
  <si>
    <t>De Beers Canada</t>
  </si>
  <si>
    <t>Victor Extension</t>
  </si>
  <si>
    <t>Nukik Corp.</t>
  </si>
  <si>
    <t>Kivalliq Hydro Fibre Link</t>
  </si>
  <si>
    <t>NextBridge</t>
  </si>
  <si>
    <t>East-West Tie Transmission Project</t>
  </si>
  <si>
    <t>Poste de Baie-Saint-Paul √† 315-25¬†kV</t>
  </si>
  <si>
    <t>Rehabilitation de la centrale Robert-Bourassa</t>
  </si>
  <si>
    <t>Island Gold Expansion</t>
  </si>
  <si>
    <t>Sable</t>
  </si>
  <si>
    <t>Rockhaven Resources Ltd.</t>
  </si>
  <si>
    <t>Klaza</t>
  </si>
  <si>
    <t>Towerbirch Expansion Project</t>
  </si>
  <si>
    <t>Upland Pipeline Project</t>
  </si>
  <si>
    <t>Fission Uranium Corp.</t>
  </si>
  <si>
    <t>Patterson Lake South</t>
  </si>
  <si>
    <t>2017 NGTL System Expansion Project</t>
  </si>
  <si>
    <t>Line 3 Replacement Project</t>
  </si>
  <si>
    <t>Western LNG, Nisga'a Nation, Rockies LNG Partners</t>
  </si>
  <si>
    <t>Ksi Lisims LNG</t>
  </si>
  <si>
    <t>Daishowa Marubeni Intl Ltd.</t>
  </si>
  <si>
    <t>Steeper Energy - HydrofactionTM Oil from wood</t>
  </si>
  <si>
    <t xml:space="preserve">Biomont √ânergie Inc </t>
  </si>
  <si>
    <t>Centrale de cog√©n√©ration Biomont</t>
  </si>
  <si>
    <t xml:space="preserve">Energie hydroelectrique Pessamit, Societe en commandite </t>
  </si>
  <si>
    <t xml:space="preserve">Centrale hydroelectrique des chutes du six milles </t>
  </si>
  <si>
    <t>BMC Minerals Ltd.</t>
  </si>
  <si>
    <t>Kudz Ze Kayah</t>
  </si>
  <si>
    <t>Northern Energy Solutions (NES)</t>
  </si>
  <si>
    <t>NES Wood Pellet Plant</t>
  </si>
  <si>
    <t xml:space="preserve">9139-3991 Qu√©bec Inc (Les Industries JPB) </t>
  </si>
  <si>
    <t>Centrale de cog√©n√©ration Valleyfied</t>
  </si>
  <si>
    <t>Centrale hydroelectrique de la chute du quatre milles</t>
  </si>
  <si>
    <t xml:space="preserve">Manouane Sipi, Societe en commandite
</t>
  </si>
  <si>
    <t>Centrale hydroelectrique Manouane Sipi (Dam B)</t>
  </si>
  <si>
    <t xml:space="preserve">Fluorspar Holdings PTE Ltd. </t>
  </si>
  <si>
    <t>St. Lawrence Fluorspar Mine</t>
  </si>
  <si>
    <t>Howse Minerals Limited</t>
  </si>
  <si>
    <t>Howse Property Direct Shipping Ore Mine</t>
  </si>
  <si>
    <t>Demand Side Management (Accelerated Energy Efficiency Programs - annually over 10 years)</t>
  </si>
  <si>
    <t xml:space="preserve">FPInnovations et Bio√©nergie La Tuque </t>
  </si>
  <si>
    <t xml:space="preserve">Vision La Tuque 2023 </t>
  </si>
  <si>
    <t>Pacific Future Energy</t>
  </si>
  <si>
    <t>Pacific Future Energy Oil Refinery</t>
  </si>
  <si>
    <t>Protocol Biomass</t>
  </si>
  <si>
    <t>Pellet Plant</t>
  </si>
  <si>
    <t>Pinnacle Pellets</t>
  </si>
  <si>
    <t>Tembec (General Partnership)</t>
  </si>
  <si>
    <t>Specialty Cellulose Upgrade (digesters change)</t>
  </si>
  <si>
    <t>Municipalit√© de Shannon</t>
  </si>
  <si>
    <t>Centrale hydro√©lectrique de Saint-Gabriel</t>
  </si>
  <si>
    <t>NTPC</t>
  </si>
  <si>
    <t>Taltson Hydroelectricity Expansion Project (Phase 1)</t>
  </si>
  <si>
    <t>Line 10 Westover Segment Replacement</t>
  </si>
  <si>
    <t>Sayona Quebec inc.</t>
  </si>
  <si>
    <t>Authier</t>
  </si>
  <si>
    <t>BlackPearl Resources Inc.</t>
  </si>
  <si>
    <t>Onion Lake Ohase 2</t>
  </si>
  <si>
    <t>Rush Lake</t>
  </si>
  <si>
    <t>Athabasca Oil Sands Corporation</t>
  </si>
  <si>
    <t>Kai Kos Dehseh</t>
  </si>
  <si>
    <t>OSum Oil Sands Corp.</t>
  </si>
  <si>
    <t>Christina Lake</t>
  </si>
  <si>
    <t>ConocoPhillips Canada Limited</t>
  </si>
  <si>
    <t>Surmont 2</t>
  </si>
  <si>
    <t>Japan Canada Oil Sands Limited (JACOS)</t>
  </si>
  <si>
    <t xml:space="preserve">Hangingstone </t>
  </si>
  <si>
    <t xml:space="preserve">Meadow Creek </t>
  </si>
  <si>
    <t xml:space="preserve">Thickwood </t>
  </si>
  <si>
    <t>Heartland Upgrader</t>
  </si>
  <si>
    <t>Penn West</t>
  </si>
  <si>
    <t>Seal</t>
  </si>
  <si>
    <t>Andora Energy Corporation</t>
  </si>
  <si>
    <t>Sawn Lake</t>
  </si>
  <si>
    <t>Surmont</t>
  </si>
  <si>
    <t>Dee Valley</t>
  </si>
  <si>
    <t>Spruce Lake Central</t>
  </si>
  <si>
    <t>Spruce Lake North</t>
  </si>
  <si>
    <t>PTTEP Canada Limited</t>
  </si>
  <si>
    <t>Mariana</t>
  </si>
  <si>
    <t>Imperial Oil Ltd.</t>
  </si>
  <si>
    <t>Cold Lake SAGD</t>
  </si>
  <si>
    <t>Syncrude Mildred Lake Extension</t>
  </si>
  <si>
    <t>BP Plc</t>
  </si>
  <si>
    <t>Terre De Grace</t>
  </si>
  <si>
    <t>CCS Follow UP</t>
  </si>
  <si>
    <t>Lacrina Energy</t>
  </si>
  <si>
    <t>Saleski JV (Laricina/Osum)</t>
  </si>
  <si>
    <t>Nexxen</t>
  </si>
  <si>
    <t xml:space="preserve">Long Lake </t>
  </si>
  <si>
    <t>E-T Energy Ltd.</t>
  </si>
  <si>
    <t>Popular Creek</t>
  </si>
  <si>
    <t>Harper</t>
  </si>
  <si>
    <t>Devon Oil Canada</t>
  </si>
  <si>
    <t>Mcmullin</t>
  </si>
  <si>
    <t>Ravin Ridge and Wallace Creek</t>
  </si>
  <si>
    <t xml:space="preserve">Cadotte </t>
  </si>
  <si>
    <t>Burnt Lakes</t>
  </si>
  <si>
    <t>Conn Creek, Germain and Popular Creek</t>
  </si>
  <si>
    <t>Dover West Carbonites and Clastics</t>
  </si>
  <si>
    <t>Bremner Trio Hydro Corp</t>
  </si>
  <si>
    <t>Trio Creek Hydro Project</t>
  </si>
  <si>
    <t>Goldcorp Inc.</t>
  </si>
  <si>
    <t>Borden</t>
  </si>
  <si>
    <t>Tahoe Resources Inc.</t>
  </si>
  <si>
    <t xml:space="preserve">Bell Creek Mill Expansion </t>
  </si>
  <si>
    <t>Musselwhite Materials Handling Project</t>
  </si>
  <si>
    <t>Swift River LP</t>
  </si>
  <si>
    <t>North Bala Small Hydro Project</t>
  </si>
  <si>
    <t>Peeshoo Energy Limited Partnership</t>
  </si>
  <si>
    <t>Peeshoo Project</t>
  </si>
  <si>
    <t>Horizon Hydro LP</t>
  </si>
  <si>
    <t>Trout Lake River Hydroelectric Project</t>
  </si>
  <si>
    <t>PEI Energy Corporation</t>
  </si>
  <si>
    <t>PEIEC Wind Farm #5</t>
  </si>
  <si>
    <t>Wendigo Power Partnership Inc.</t>
  </si>
  <si>
    <t>Wendigo Waterpower Project</t>
  </si>
  <si>
    <t>Neeskah Energy Limited Partnership</t>
  </si>
  <si>
    <t>Neeskah Project</t>
  </si>
  <si>
    <t>Wapoose Energy Limited Partnership</t>
  </si>
  <si>
    <t>Wapoose Project</t>
  </si>
  <si>
    <t xml:space="preserve">Peterborough Utilities Inc. </t>
  </si>
  <si>
    <t>London Street GS (Expansion)</t>
  </si>
  <si>
    <t>Synex Energy Resources Ltd.</t>
  </si>
  <si>
    <t>Victoria Lake Hydro Project</t>
  </si>
  <si>
    <t>H2O Power Limited Partnership</t>
  </si>
  <si>
    <t>Fort Frances (Expansion)</t>
  </si>
  <si>
    <t>St. Catharines Hydro Generation Inc.</t>
  </si>
  <si>
    <t>Shickluna Hydro Electric Generating Station</t>
  </si>
  <si>
    <t>Peterborough Utilities Hydro 24 LP</t>
  </si>
  <si>
    <t>Peterborough Utilities Dam Hydro</t>
  </si>
  <si>
    <t>Trenton Lock 1 Hydro LP</t>
  </si>
  <si>
    <t>Trenton Lock 1 Hydro Project</t>
  </si>
  <si>
    <t>Bawitik Power Corporation</t>
  </si>
  <si>
    <t>Lock 25 Generating Station</t>
  </si>
  <si>
    <t>Chaudiere Hydro LP</t>
  </si>
  <si>
    <t>Chaudiere Hydro GS2 Facility</t>
  </si>
  <si>
    <t>Yellow Falls Power Limited Partnership</t>
  </si>
  <si>
    <t>Yellow Falls Hydro GS</t>
  </si>
  <si>
    <t>OPG/Lower Mattagami Energy Limited Partnership</t>
  </si>
  <si>
    <t>Little Long GS (Runner Upgrade) - Lower Mattagami</t>
  </si>
  <si>
    <t xml:space="preserve">Harmon GS (Runner Upgrade) </t>
  </si>
  <si>
    <t>Namewaminikan Hydro Inc.</t>
  </si>
  <si>
    <t>Namewaminikan Waterpower Project</t>
  </si>
  <si>
    <t>Loyalist Solar LP</t>
  </si>
  <si>
    <t>Loyalist Solar Project</t>
  </si>
  <si>
    <t>Windsor Solar LP</t>
  </si>
  <si>
    <t>Windsor Solar</t>
  </si>
  <si>
    <t>Southgate Solar LP</t>
  </si>
  <si>
    <t xml:space="preserve">Southgate Solar </t>
  </si>
  <si>
    <t>Nanticoke Solar LP</t>
  </si>
  <si>
    <t>Nanticoke Solar</t>
  </si>
  <si>
    <t>Pendleton Energy Centre Limited Partnership</t>
  </si>
  <si>
    <t>Pendleton Solar Energy Centre</t>
  </si>
  <si>
    <t>Sky Solar Ryerson LRP limited partnership</t>
  </si>
  <si>
    <t>Sky One</t>
  </si>
  <si>
    <t>Barlow Energy Centre Limited Partnership</t>
  </si>
  <si>
    <t>Barlow Energy Centre</t>
  </si>
  <si>
    <t>LSRA Solar Energy Partnership</t>
  </si>
  <si>
    <t>Lake Simcoe Regional Airport Solar Project</t>
  </si>
  <si>
    <t>Settlers landing Wind Development Joint Venture</t>
  </si>
  <si>
    <t>Settlers Landing Wind Park</t>
  </si>
  <si>
    <t>Henvey Inlet Wind LP</t>
  </si>
  <si>
    <t>Nigig Power Corporation</t>
  </si>
  <si>
    <t>Belle River Wind LP</t>
  </si>
  <si>
    <t>Belle River Wind</t>
  </si>
  <si>
    <t>North Kent Wind 1 LP</t>
  </si>
  <si>
    <t>North Kent Wind 1</t>
  </si>
  <si>
    <t>Nation Rise Wind Farm Limited Partnership</t>
  </si>
  <si>
    <t>Nation Rise Wind</t>
  </si>
  <si>
    <t>wpd White Pines Wind Incorporated</t>
  </si>
  <si>
    <t>White Pines Wind Farm</t>
  </si>
  <si>
    <t xml:space="preserve">Windlectric Inc. </t>
  </si>
  <si>
    <t>Amherst Island Wind Project</t>
  </si>
  <si>
    <t>Romney Energy Centre Limited Partnership</t>
  </si>
  <si>
    <t>Romney Wind Energy Centre</t>
  </si>
  <si>
    <t>Otter Creek Wind Farm Limited Partnership</t>
  </si>
  <si>
    <t>Otter Creek Wind Farm</t>
  </si>
  <si>
    <t>Strong Breeze Wind Power Partnership</t>
  </si>
  <si>
    <t>Strong Breeze Wind Project</t>
  </si>
  <si>
    <t>Parc eolien Gauthier LP</t>
  </si>
  <si>
    <t>Parc eolien Gauthier</t>
  </si>
  <si>
    <t>wpd Fairview Wind Incorporated</t>
  </si>
  <si>
    <t>Fairview Wind Farm</t>
  </si>
  <si>
    <t>Port Ryerse Wind Farm Limited Partnership</t>
  </si>
  <si>
    <t>UDI Port Ryerse Wind Farm</t>
  </si>
  <si>
    <t>Windstream Wolfe Island Shoals Inc.</t>
  </si>
  <si>
    <t>Wolfe Island Shoals Wind Farm</t>
  </si>
  <si>
    <t>wpd Sumac Ridge Wind Incorporated</t>
  </si>
  <si>
    <t>Sumac Ridge Wind Farm</t>
  </si>
  <si>
    <t>Aeolis / Boralex</t>
  </si>
  <si>
    <t>Hackney Hills Wind Park (Aeolis / Boralex)</t>
  </si>
  <si>
    <t>Pacific Future Energy Refinery Project</t>
  </si>
  <si>
    <t>Manitoba-Saskatchewan Transmission Projecct</t>
  </si>
  <si>
    <t>Pine Falls Units 1-4 Major Overhauls</t>
  </si>
  <si>
    <t>Lake Winnipeg East System Improvements</t>
  </si>
  <si>
    <t>Letellier - St. Vital 230kV Transmission</t>
  </si>
  <si>
    <t>Transmission Line Upgrades for Improved Clearance</t>
  </si>
  <si>
    <t>Steinbach Area 230-66kV Capacity Enhancements</t>
  </si>
  <si>
    <t>St. Vital Station 115/24kV Station</t>
  </si>
  <si>
    <t>Dawson Road Station - 66/24kV</t>
  </si>
  <si>
    <t>New Adelaide Station - 66/12kV</t>
  </si>
  <si>
    <t>Baffinland Iron Mines Corporation</t>
  </si>
  <si>
    <t>Mary River Iron Ore project</t>
  </si>
  <si>
    <t>Amaruq</t>
  </si>
  <si>
    <t>FireFly Metals Ltd. (previously owned by Rambler Mining and Metals)</t>
  </si>
  <si>
    <t>Green Bay Copper-Gold Project (formerly Ming Mine)</t>
  </si>
  <si>
    <t>Labrador Transmission Assets</t>
  </si>
  <si>
    <t>TL 266: 230 kV transmission line</t>
  </si>
  <si>
    <t>Wind Project</t>
  </si>
  <si>
    <t>Rocky Mountain Power</t>
  </si>
  <si>
    <t>Qu'Appelle Hydroelectric Project</t>
  </si>
  <si>
    <t>SaskPower</t>
  </si>
  <si>
    <t>Proposed Solar Power Project</t>
  </si>
  <si>
    <t>Chinook Natural Gas Power Station</t>
  </si>
  <si>
    <t>Proposed Natural Gas Power Station</t>
  </si>
  <si>
    <t>Ressources Falco ltee</t>
  </si>
  <si>
    <t>Horne 5</t>
  </si>
  <si>
    <t>Agnico Eagle Mines</t>
  </si>
  <si>
    <t>Goldex (extension : Deep 1)</t>
  </si>
  <si>
    <t>LaRonde (extension  LaRonde Zone 5)</t>
  </si>
  <si>
    <t>Canadian Malartic GP</t>
  </si>
  <si>
    <t>Canadian Malartic</t>
  </si>
  <si>
    <t>Hecla Qu√©bec inc.</t>
  </si>
  <si>
    <t>Casa Berardi (Golden Pound)</t>
  </si>
  <si>
    <t>Miniere Osisko Inc.</t>
  </si>
  <si>
    <t>Lac Windfall</t>
  </si>
  <si>
    <t>Matawinie</t>
  </si>
  <si>
    <t>Tata Steel Minerals Canada</t>
  </si>
  <si>
    <t>DSO-Volet Qu√©b√©cois</t>
  </si>
  <si>
    <t>Quebec iron Ore Inc.</t>
  </si>
  <si>
    <t xml:space="preserve">Lac Bloom </t>
  </si>
  <si>
    <t xml:space="preserve">Glencore </t>
  </si>
  <si>
    <t>McLeod-Deep</t>
  </si>
  <si>
    <t>Exploration Typhon / H√©cla Qu√©bec inc.</t>
  </si>
  <si>
    <t>Fayolle</t>
  </si>
  <si>
    <t>Forex</t>
  </si>
  <si>
    <t>Restart of LVL mill and addition of an OSB mill</t>
  </si>
  <si>
    <t>Kruger</t>
  </si>
  <si>
    <t>Convert newsprint machine to board machine for boxboard</t>
  </si>
  <si>
    <t xml:space="preserve">Fortress </t>
  </si>
  <si>
    <t>Addition of 5th digester unit for dissolving pulp</t>
  </si>
  <si>
    <t xml:space="preserve">Neste / BELT </t>
  </si>
  <si>
    <t>Biorefinery</t>
  </si>
  <si>
    <t>Domtar</t>
  </si>
  <si>
    <t>Co generation addition 18 MW</t>
  </si>
  <si>
    <t>AE Cote Nord</t>
  </si>
  <si>
    <t>Install new tissue paper machine</t>
  </si>
  <si>
    <t>White Birch Paper</t>
  </si>
  <si>
    <t>Fiber extraction for bioplastics</t>
  </si>
  <si>
    <t>Paper machine #10 conversion on paperboard</t>
  </si>
  <si>
    <t>Nation Innue, RES et Boralex</t>
  </si>
  <si>
    <t>Apuiat</t>
  </si>
  <si>
    <t>Finaxo Canada inc.</t>
  </si>
  <si>
    <t>Cog√©n√©ration Bedford</t>
  </si>
  <si>
    <t>Domtar inc.</t>
  </si>
  <si>
    <t>Usine de Windsor - TG2</t>
  </si>
  <si>
    <t>√ânergie LSQ, S.E.C.</t>
  </si>
  <si>
    <t>√ânergie LSQ</t>
  </si>
  <si>
    <t>Chantiers Chibougamau inc.</t>
  </si>
  <si>
    <t>Centrale de cogeneration Assinica</t>
  </si>
  <si>
    <t>Cogeneration Val-d'Or</t>
  </si>
  <si>
    <t>Horizon</t>
  </si>
  <si>
    <t>Pembina Pipeline Corp. and Petrochemical Industries Company</t>
  </si>
  <si>
    <t>Propylene and Polypropylene Facility</t>
  </si>
  <si>
    <t>Inter Pipeline</t>
  </si>
  <si>
    <t>Propane Dehydrogenation (PDH) Facility</t>
  </si>
  <si>
    <t>Wahpeestan Energy Limited Partnership</t>
  </si>
  <si>
    <t>Wahpeestan Project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</si>
  <si>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</si>
  <si>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</si>
  <si>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</si>
  <si>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</si>
  <si>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</si>
  <si>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</si>
  <si>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</si>
  <si>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CNRL / NRC / Pond Biofuels</t>
  </si>
  <si>
    <t>Algae Carbon Conversion Pilot Project</t>
  </si>
  <si>
    <t>Pinnacle Pellets (70% ownership) and West Fraser (30% ownership)</t>
  </si>
  <si>
    <t xml:space="preserve">La Granaduiere </t>
  </si>
  <si>
    <t>FPInnovations and Resolute Forest Products</t>
  </si>
  <si>
    <t>TMP-Bio</t>
  </si>
  <si>
    <t>Operations diversification</t>
  </si>
  <si>
    <t>Fortress Global Enterprises</t>
  </si>
  <si>
    <t>Bioproduct mill</t>
  </si>
  <si>
    <t>CST Group Ltd</t>
  </si>
  <si>
    <t>Grande Cache</t>
  </si>
  <si>
    <t>Frontier Lithium Inc.</t>
  </si>
  <si>
    <t>Pakeagama Lake</t>
  </si>
  <si>
    <t>Tacora Resources Inc</t>
  </si>
  <si>
    <t>Scully</t>
  </si>
  <si>
    <t>Porcupine (Century)</t>
  </si>
  <si>
    <t>Gensource Potash Corp</t>
  </si>
  <si>
    <t>Vanguard</t>
  </si>
  <si>
    <t>Ram River Coal</t>
  </si>
  <si>
    <t>Aries</t>
  </si>
  <si>
    <t>Onaping Depth</t>
  </si>
  <si>
    <t xml:space="preserve">Big Creek Hydroelectric </t>
  </si>
  <si>
    <t>Bridge Power Hydro Developments Ltd.</t>
  </si>
  <si>
    <t>Bitter Creek</t>
  </si>
  <si>
    <t>BC Hydro Upgrade Alberni/Long Beach Transmission Line</t>
  </si>
  <si>
    <t>Canadian Nuclear Laboratories</t>
  </si>
  <si>
    <t>Port Hope Long-Term Waste Management Facility for Low-Level Radioactive Waste</t>
  </si>
  <si>
    <t>Fundy Isles Transmission Power Line Project</t>
  </si>
  <si>
    <t>New England Clean Energy Connect (NECEC) project</t>
  </si>
  <si>
    <t>Transmission Developers Inc. (TDI),</t>
  </si>
  <si>
    <t>Sorgent.e Hydro Canada</t>
  </si>
  <si>
    <t>Dahl Creek Hydro Power Limited Partnership</t>
  </si>
  <si>
    <t>Dahl Creek Hydroelectric Project</t>
  </si>
  <si>
    <t>BluEarth Renewables Inc.</t>
  </si>
  <si>
    <t>Dasque Creek</t>
  </si>
  <si>
    <t>BlueEarth Renewables Inc.</t>
  </si>
  <si>
    <t>Culliton Creek Power Project</t>
  </si>
  <si>
    <t>Castle Mountain Hydro</t>
  </si>
  <si>
    <t>Castle Creek Hydropower Project</t>
  </si>
  <si>
    <t>Dokie Phase II Wind Power Project</t>
  </si>
  <si>
    <t>Nova Chemicals</t>
  </si>
  <si>
    <t xml:space="preserve">Polyethylene Facility and Corunna Cracker Expansion </t>
  </si>
  <si>
    <t>Dow Chemical</t>
  </si>
  <si>
    <t>Expansion of Fort Saskatchewan Facility</t>
  </si>
  <si>
    <t>Dow Chemical Canada</t>
  </si>
  <si>
    <t>Dow Net-Zero Polyethylene and Ethylene Derivatives Facility</t>
  </si>
  <si>
    <t>Husky Energy Exploration Drilling Project</t>
  </si>
  <si>
    <t>BP Canada</t>
  </si>
  <si>
    <t>Newfoundland Orphan Basin Exploration Drilling Project</t>
  </si>
  <si>
    <t>Nexen</t>
  </si>
  <si>
    <t>Nexen Energy Flemish Pass Exploration Drilling Project</t>
  </si>
  <si>
    <t>Statoil Canada</t>
  </si>
  <si>
    <t>Flemish Pass Exploration Drilling Project</t>
  </si>
  <si>
    <t>Irving and Irving Tissue</t>
  </si>
  <si>
    <t xml:space="preserve">Modernization to improve energy use and decrease carbon emissions. </t>
  </si>
  <si>
    <t xml:space="preserve">Materiaux Blanchet </t>
  </si>
  <si>
    <t>Modernization</t>
  </si>
  <si>
    <t>Resolute</t>
  </si>
  <si>
    <t xml:space="preserve">Capacity increase </t>
  </si>
  <si>
    <t>Skeena Sawmills</t>
  </si>
  <si>
    <t>Wataynikaneyap Power</t>
  </si>
  <si>
    <t>Wataynikaneyap Transmission Project</t>
  </si>
  <si>
    <t>Fibre Pontiac</t>
  </si>
  <si>
    <t>Fibre Pontiac (The Biomass Conversion Centre)</t>
  </si>
  <si>
    <t>Slemon Park Micro-Grid Project</t>
  </si>
  <si>
    <t>Line 21 (Norman Wells Pipeline) Segment Replacement Project</t>
  </si>
  <si>
    <t>Maritime Resources Corp.</t>
  </si>
  <si>
    <t>Hammerdown (Green Bay)</t>
  </si>
  <si>
    <t>AuMEGA (previously Matador Mining Limited)</t>
  </si>
  <si>
    <t>Cape Ray</t>
  </si>
  <si>
    <t>North Coal Ltd./CanAus Coal Ltd.</t>
  </si>
  <si>
    <t>Michel Creek Coking Coal</t>
  </si>
  <si>
    <t>Coeur Silvertip Holdings</t>
  </si>
  <si>
    <t>Silvertip</t>
  </si>
  <si>
    <t>Telkwa Mining Ltd.</t>
  </si>
  <si>
    <t>Tenas Project</t>
  </si>
  <si>
    <t>Spanish Mountain</t>
  </si>
  <si>
    <t>Advanced Meter Infrastructure</t>
  </si>
  <si>
    <t>Point Lepreau Nuclear Generating Station Major Outage and Inspections</t>
  </si>
  <si>
    <t>St Barbara Ltd.</t>
  </si>
  <si>
    <t>Beaver Dam Gold Project</t>
  </si>
  <si>
    <t>Wapiti Gas Plant Phase 1</t>
  </si>
  <si>
    <t>Wapiti Gas Plant Phase 2</t>
  </si>
  <si>
    <t>SemCams</t>
  </si>
  <si>
    <t>Wapiti Gas Plant</t>
  </si>
  <si>
    <t>Greengate Power Corporation</t>
  </si>
  <si>
    <t>Travers Solar Project</t>
  </si>
  <si>
    <t>CVW Cleantech</t>
  </si>
  <si>
    <t>Titanium and Zircon Extraction Facility</t>
  </si>
  <si>
    <t>Pembina Pipelines Corp.</t>
  </si>
  <si>
    <t>Peace Pipeline Expansion</t>
  </si>
  <si>
    <t>Duvernay II</t>
  </si>
  <si>
    <t>Empress Extraction Plant Fractionation and Terminalling Facilities</t>
  </si>
  <si>
    <t>EPCOR</t>
  </si>
  <si>
    <t>EL Smith Solar Farm</t>
  </si>
  <si>
    <t>2019 NOVA NGTL Expansion (Montney and Duvernay Basins)</t>
  </si>
  <si>
    <t>Field Upgrading</t>
  </si>
  <si>
    <t>CleanSEAS Demonstration Plant</t>
  </si>
  <si>
    <t>Gen III Oil Corp.</t>
  </si>
  <si>
    <t>Bowden Re-refinery</t>
  </si>
  <si>
    <t>Old Elm Wind Farm</t>
  </si>
  <si>
    <t>Alberta Wind Energy Corp.</t>
  </si>
  <si>
    <t>Tidewater Midstream</t>
  </si>
  <si>
    <t>Dimsdale Gas Project</t>
  </si>
  <si>
    <t>Capital Power</t>
  </si>
  <si>
    <t>Whitla Wind Facility</t>
  </si>
  <si>
    <t>Tidewater Midstream/TransAlta</t>
  </si>
  <si>
    <t>Tidewater/TransAlta Gas Pipeline</t>
  </si>
  <si>
    <t>Kearl Debottlenecking Expansion</t>
  </si>
  <si>
    <t>North Wapiti Pipeline System</t>
  </si>
  <si>
    <t>Kirkland Lake Gold Ltd.</t>
  </si>
  <si>
    <t>Macassa Expansion</t>
  </si>
  <si>
    <t>Harte Gold Corp.</t>
  </si>
  <si>
    <t>Sugar Zone</t>
  </si>
  <si>
    <t>Winnipeg-Brandon Transmission System Improvements</t>
  </si>
  <si>
    <t>Laverendrye-St.Vital 230kV Line &amp; Breakers</t>
  </si>
  <si>
    <t>Reenders Station</t>
  </si>
  <si>
    <t>Dorsey Synchronous Condenser Refurbishment</t>
  </si>
  <si>
    <t>HVDC Transformer Sustainment</t>
  </si>
  <si>
    <t>Equinor Canada</t>
  </si>
  <si>
    <t>Bay du Nord offshore oil site</t>
  </si>
  <si>
    <t>Chaudi√®re Hydro North LP</t>
  </si>
  <si>
    <t>Gatineau No. 1 Rehabilitation/Capacity Expansion</t>
  </si>
  <si>
    <t>Hydro One</t>
  </si>
  <si>
    <t>Northwest Bulk Transmission Line Waasigan Transmission Line</t>
  </si>
  <si>
    <t>Hawthorne to Merivale transmission upgrades (Planned)</t>
  </si>
  <si>
    <t>Clarington Transformer Station (In-service)</t>
  </si>
  <si>
    <t>ITC Holdings Corp. (subsidiary of Fortis)</t>
  </si>
  <si>
    <t>ITC Lake Erie Connector LLC</t>
  </si>
  <si>
    <t>Wasamac</t>
  </si>
  <si>
    <t>NexGen Energy Ltd.</t>
  </si>
  <si>
    <t>Rook I</t>
  </si>
  <si>
    <t>Denison Mines Corp.</t>
  </si>
  <si>
    <t>Wheeler River - Phoenix</t>
  </si>
  <si>
    <t>Canadian Metals</t>
  </si>
  <si>
    <t>Langis</t>
  </si>
  <si>
    <t>Lepidico Ltd.</t>
  </si>
  <si>
    <t>L-Max Plant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</si>
  <si>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</si>
  <si>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</si>
  <si>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</si>
  <si>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</si>
  <si>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</si>
  <si>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</si>
  <si>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</si>
  <si>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</si>
  <si>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San Group (Coulson Manufacturing Ltd.)</t>
  </si>
  <si>
    <t>Lumber mill</t>
  </si>
  <si>
    <t>Kalesnikoff Lumber</t>
  </si>
  <si>
    <t>Glulam beams and CLT</t>
  </si>
  <si>
    <t>New tissue manufacturing facility</t>
  </si>
  <si>
    <t>Tolko</t>
  </si>
  <si>
    <t>Active Energy Group</t>
  </si>
  <si>
    <t>New advanced pellet plant</t>
  </si>
  <si>
    <t>Barette-Chapais</t>
  </si>
  <si>
    <t>Pellet plant</t>
  </si>
  <si>
    <t>Bois d'oeuvre Cedrico</t>
  </si>
  <si>
    <t>Sawmill upgrade</t>
  </si>
  <si>
    <t>Rayonier Advanced Materials</t>
  </si>
  <si>
    <t xml:space="preserve">Gitxsan Development Corp and Airex Energy </t>
  </si>
  <si>
    <t>Torrefied pellet plant</t>
  </si>
  <si>
    <t>Uniboard</t>
  </si>
  <si>
    <t>Upgrade packaging plant</t>
  </si>
  <si>
    <t>Hibernia Management and Development Company</t>
  </si>
  <si>
    <t>Hibernia West Project</t>
  </si>
  <si>
    <t xml:space="preserve">NGTL </t>
  </si>
  <si>
    <t xml:space="preserve">NGTL 2021 Expansion </t>
  </si>
  <si>
    <t>NGTL 2022 Expansion (North Corridor and Edson Mainline)</t>
  </si>
  <si>
    <t>VanadiumCorp Resource inc.</t>
  </si>
  <si>
    <t>Lac Dor√© Vanadium</t>
  </si>
  <si>
    <t>Les Ressources Yorbeau inc.</t>
  </si>
  <si>
    <t>Lac scott</t>
  </si>
  <si>
    <t>SOQUEM-Focus graphite</t>
  </si>
  <si>
    <t>Kwyjibo</t>
  </si>
  <si>
    <t>Eastmain Resources</t>
  </si>
  <si>
    <t>Eau Claire</t>
  </si>
  <si>
    <t>CRB Innovations</t>
  </si>
  <si>
    <t>Gazoduq inc.</t>
  </si>
  <si>
    <t>Gazoduq</t>
  </si>
  <si>
    <t>Enel Green Power North America</t>
  </si>
  <si>
    <t>Riverview Wind Farm (115 MW)</t>
  </si>
  <si>
    <t>Castle Rock Ridge Wind Power Plant Phase 2 (31 MW)</t>
  </si>
  <si>
    <t>EDF Renewables Canada Inc.</t>
  </si>
  <si>
    <t>Cypress Wind Power Project</t>
  </si>
  <si>
    <t>Potentia Renewables Inc.</t>
  </si>
  <si>
    <t>Stirling Wind Power Project</t>
  </si>
  <si>
    <t>Buffalo Atlee Wind Farm 1 -3</t>
  </si>
  <si>
    <t>TransAlta Corporation</t>
  </si>
  <si>
    <t>Windrise Wind (207 MW)</t>
  </si>
  <si>
    <t>Jenner Wind Power Project 1 and 2</t>
  </si>
  <si>
    <t>Innogy/Solar Krafte Utilities Inc</t>
  </si>
  <si>
    <t>Prairie Sunlight II and III (30 MW and 27 MW)</t>
  </si>
  <si>
    <t>Canadian Solar</t>
  </si>
  <si>
    <t>Three solar farms</t>
  </si>
  <si>
    <t>Suffield bi-facial solar Project</t>
  </si>
  <si>
    <t>Cascade Power</t>
  </si>
  <si>
    <t>Cascade Natural Gas Project</t>
  </si>
  <si>
    <t>Fengate Capital Management</t>
  </si>
  <si>
    <t>Central Utility Block for Heartland Petrochemical Complex</t>
  </si>
  <si>
    <t>University of Alberta</t>
  </si>
  <si>
    <t>South Campus District Energy System</t>
  </si>
  <si>
    <t>Kineticor Resource Corp</t>
  </si>
  <si>
    <t>Three Creeks Power Plant</t>
  </si>
  <si>
    <t>Vanderwell Sawmill bioenergy plant (3.6 MW)</t>
  </si>
  <si>
    <t>EDF Renewables Canada</t>
  </si>
  <si>
    <t>Vulcan Solar Project</t>
  </si>
  <si>
    <t>Solar Krafte</t>
  </si>
  <si>
    <t>Cassils Solar Project</t>
  </si>
  <si>
    <t>Prairie Sunlight I</t>
  </si>
  <si>
    <t>Wrentham Solar Project</t>
  </si>
  <si>
    <t>Spring Coulle Solar Project</t>
  </si>
  <si>
    <t>Strathmore Solar Farm</t>
  </si>
  <si>
    <t>Suncor</t>
  </si>
  <si>
    <t>Forty Mile Wind Power Project</t>
  </si>
  <si>
    <t>NGTL Westpath Delivery project</t>
  </si>
  <si>
    <t xml:space="preserve">Westcoast </t>
  </si>
  <si>
    <t>T South Expansion and Reliability Project</t>
  </si>
  <si>
    <t>Global First Power</t>
  </si>
  <si>
    <t>Micro Modular Reactor demonstration project at Chalk River Laboratories</t>
  </si>
  <si>
    <t>Borden Battery Park</t>
  </si>
  <si>
    <t>Western PEI Transmission Upgrade</t>
  </si>
  <si>
    <t>Mica 600V Circuit Breaker Upgrades Project</t>
  </si>
  <si>
    <t>Pacific Greengen Power Inc.</t>
  </si>
  <si>
    <t>Fries Creek Hydroelectric Project</t>
  </si>
  <si>
    <t>Cheakamus Recoat Units 1 &amp; 2 Penstock Project</t>
  </si>
  <si>
    <t>Tilbury System Improvements Project</t>
  </si>
  <si>
    <t>Bridge River 2 - Strip and Recoat Penstock 1 Interior Project</t>
  </si>
  <si>
    <t>Moose Lake Wind LP</t>
  </si>
  <si>
    <t>Moose Lake Wind Project</t>
  </si>
  <si>
    <t>G.M. Shrum Spillway Gate Upgrade Project</t>
  </si>
  <si>
    <t>Mica Modernize Controls (Digital) Project</t>
  </si>
  <si>
    <t>Barnard Substation 50/60 Feeder Section Replacement Project</t>
  </si>
  <si>
    <t>Boralex</t>
  </si>
  <si>
    <t>Babcock Ridge Wind Farm</t>
  </si>
  <si>
    <t>Sukunka Wind Project LP</t>
  </si>
  <si>
    <t>Sukunka Wind Energy Project</t>
  </si>
  <si>
    <t>Zonnebeke Wind Project LP</t>
  </si>
  <si>
    <t>Zonnebeke Wind Energy Project</t>
  </si>
  <si>
    <t>UBC Load Increase Stage 2 Project</t>
  </si>
  <si>
    <t>Canfor Corporation/Licella</t>
  </si>
  <si>
    <t>Biofuel Facility</t>
  </si>
  <si>
    <t>South Fraser Transmission Relocation Project</t>
  </si>
  <si>
    <t>Downtown Vancouver Electricity Supply - West End Strategic Property Purchase</t>
  </si>
  <si>
    <t>Mica Replace Units 1-4 Transformers Project</t>
  </si>
  <si>
    <t>BCHydro</t>
  </si>
  <si>
    <t>LNG Canada Load Interconnection Project</t>
  </si>
  <si>
    <t>Bridge River 2 Units 5 and 6 Upgrade Project</t>
  </si>
  <si>
    <t>Borealis Geopower</t>
  </si>
  <si>
    <t>Canoe Reach Geothermal Energy Project</t>
  </si>
  <si>
    <t>Western Bioenergy Inc. (subsidiary of Dalkia Canada)</t>
  </si>
  <si>
    <t>Ditni Yoh Green Energy Project</t>
  </si>
  <si>
    <t>Watson Island Propane Export Terminal</t>
  </si>
  <si>
    <t>Alcan Aluminum Ltd. and the Province of BC</t>
  </si>
  <si>
    <t>Kenney Dam Cold Water Release Facility</t>
  </si>
  <si>
    <t>Peace Region Electricity Supply Project</t>
  </si>
  <si>
    <t>AltaGas / Vopak Development Canada Inc.</t>
  </si>
  <si>
    <t xml:space="preserve">Ridley Island Energy Export Facility (REEF) </t>
  </si>
  <si>
    <t>Teck Resources/NGEx Resources</t>
  </si>
  <si>
    <t>GJ Kinaskan Lake Copper-Gold Project</t>
  </si>
  <si>
    <t>Fortis BC Inc.</t>
  </si>
  <si>
    <t>Nicola Lake Hydro Project</t>
  </si>
  <si>
    <t>Selkirk Metals Corp.</t>
  </si>
  <si>
    <t>Gold Mine</t>
  </si>
  <si>
    <t>Nisgaa Nation</t>
  </si>
  <si>
    <t>Nisgaa LNG</t>
  </si>
  <si>
    <t>Devon Energy Corporation/ BP JV</t>
  </si>
  <si>
    <t xml:space="preserve">Pike </t>
  </si>
  <si>
    <t>Hardisty Terminal Expansion</t>
  </si>
  <si>
    <t>Pembina Pipinelines Corp. / NuVista JV</t>
  </si>
  <si>
    <t>Hythe Development</t>
  </si>
  <si>
    <t>Duvernay III</t>
  </si>
  <si>
    <t>SinoCan Global</t>
  </si>
  <si>
    <t>SinoCan Global Upgrader and Petrochemical Facility</t>
  </si>
  <si>
    <t>Nauticol Energy</t>
  </si>
  <si>
    <t>Nauticol Methanol Plant</t>
  </si>
  <si>
    <t>Central Utility Block (for Heartland Petrochemical Complex)</t>
  </si>
  <si>
    <t>Inter Pipeline Corp</t>
  </si>
  <si>
    <t>Acrylic Acid Plant</t>
  </si>
  <si>
    <t>Wapahki Energy /CN Rail JV</t>
  </si>
  <si>
    <t>Canapux Bitumen Processing Facility</t>
  </si>
  <si>
    <t>DP Energy</t>
  </si>
  <si>
    <t>South Calgary Solar Facility</t>
  </si>
  <si>
    <t>Calibre Mining (previously Marathon Gold Corporation)</t>
  </si>
  <si>
    <t>Valentine Gold Mine</t>
  </si>
  <si>
    <t>Newfoundland &amp; Labrador</t>
  </si>
  <si>
    <t>Regional Assessment of Offshore Oil and Gas Exploratory Drilling East of Newfoundland and Labrador</t>
  </si>
  <si>
    <t>Pure Gold Mining Inc.</t>
  </si>
  <si>
    <t>Madsen</t>
  </si>
  <si>
    <t>Ranney Falls Expansion</t>
  </si>
  <si>
    <t>TransCanada Pipelines</t>
  </si>
  <si>
    <t>Maple Compressor Expansion Project</t>
  </si>
  <si>
    <t>Corporation Aurif√®res Monarques</t>
  </si>
  <si>
    <t>Croinor</t>
  </si>
  <si>
    <t>DP Energy Limited (Haligonia Tidal Energy Ltd. / Rio Fundo Operations Canada Ltd.)</t>
  </si>
  <si>
    <t>Uisce Tapa In-Stream Tidal Energy Project</t>
  </si>
  <si>
    <t>Sustane Technologies</t>
  </si>
  <si>
    <t>Sustane Chester</t>
  </si>
  <si>
    <t>Eagle Hill Energy LP /Kwanlin Dün First Nation</t>
  </si>
  <si>
    <t>Haeckel Hill Wind Farm</t>
  </si>
  <si>
    <t>Birtle Tantallon line</t>
  </si>
  <si>
    <t>Golden South Wind Energy Facility</t>
  </si>
  <si>
    <t>EDF Renewables</t>
  </si>
  <si>
    <t>Sharp Hills wind farm (248 MW)</t>
  </si>
  <si>
    <t>Noront Resources Ltd.</t>
  </si>
  <si>
    <t>Ferrochrome Processing Facility</t>
  </si>
  <si>
    <t>New cellulose filament plant</t>
  </si>
  <si>
    <t>Pinnacle and Tolko</t>
  </si>
  <si>
    <t>High Level Wood Pellet Plant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</si>
  <si>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</si>
  <si>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</si>
  <si>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</si>
  <si>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</si>
  <si>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</si>
  <si>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</si>
  <si>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</si>
  <si>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</si>
  <si>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Electra Battery Materials Corp.</t>
  </si>
  <si>
    <t>Cobalt Refinery Complex</t>
  </si>
  <si>
    <t>Alliance Magnesium</t>
  </si>
  <si>
    <t>Alliance Magnesium Plant</t>
  </si>
  <si>
    <t>Allegiance Coal</t>
  </si>
  <si>
    <t>Telkwa (Delete same project as Tenas Project (ID3610)</t>
  </si>
  <si>
    <t>FortisBC</t>
  </si>
  <si>
    <t>Tilbury Phase 2 LNG Expansion</t>
  </si>
  <si>
    <t>Tilbury 1A and 1B Marine Terminal</t>
  </si>
  <si>
    <t>NGTL Westpath Delivery project 2023</t>
  </si>
  <si>
    <t>NGTL West Path Delivery 2023 Project</t>
  </si>
  <si>
    <t>SJ Energy</t>
  </si>
  <si>
    <t>Burchill Wind Energy</t>
  </si>
  <si>
    <t>Kahnawake Sustainable Energies (KSE) et Kruger</t>
  </si>
  <si>
    <t>Des cultures</t>
  </si>
  <si>
    <t>Parc √âolien Dune-du-Nord</t>
  </si>
  <si>
    <t>Dune-du-Nord</t>
  </si>
  <si>
    <t>Innergex et corporation fonci√®re Pituvik</t>
  </si>
  <si>
    <t>Centrale hydro√©lectrique Innavik</t>
  </si>
  <si>
    <t>Gibson Energy Inc. &amp; US Development Group</t>
  </si>
  <si>
    <t>Hardisty Diluent Recovery Unit (DRU)</t>
  </si>
  <si>
    <t>Suncor Power Cogeneration Units</t>
  </si>
  <si>
    <t>Christina Lake Phase H Expansion</t>
  </si>
  <si>
    <t>TC Energy Corporation</t>
  </si>
  <si>
    <t>2023 NGTL Intra-Basin System Expansion</t>
  </si>
  <si>
    <t>Nova Gas Transmission</t>
  </si>
  <si>
    <t>Edson Mainline Expansion Project</t>
  </si>
  <si>
    <t>Cold Lake Thermal Project Enhancements</t>
  </si>
  <si>
    <t>Alberta XPress Expansion Project</t>
  </si>
  <si>
    <t>Dow Ethylene Plant Expansion</t>
  </si>
  <si>
    <t>Pembina Keephills Transmission Project</t>
  </si>
  <si>
    <t>Berkshire Hathaway Energy Canada</t>
  </si>
  <si>
    <t>Rattlesnake Ridge Wind Project</t>
  </si>
  <si>
    <t>Alpin Sun</t>
  </si>
  <si>
    <t>Airport City Solar</t>
  </si>
  <si>
    <t>Whitla Wind Power Project - Phase 2</t>
  </si>
  <si>
    <t>Pembina Pipeline Corporation</t>
  </si>
  <si>
    <t>Empress Cogeneration Power Facility</t>
  </si>
  <si>
    <t>SemCams and TransAlta</t>
  </si>
  <si>
    <t>Kaybob South #3 Cogeneration  Plant</t>
  </si>
  <si>
    <t>Peace Pipeline Expansion Phase 9</t>
  </si>
  <si>
    <t>Whitla Wind Power Project - Phase 3</t>
  </si>
  <si>
    <t>Scotford Upgrader Expansion</t>
  </si>
  <si>
    <t>Climate Transition Development Corporation</t>
  </si>
  <si>
    <t>Greenview Geothermal Power Plant (Alberta No. 1)</t>
  </si>
  <si>
    <t>City of Calgary</t>
  </si>
  <si>
    <t>Bonnybrook WWTP Cogeneration Expansion</t>
  </si>
  <si>
    <t>Elemental Energy</t>
  </si>
  <si>
    <t>Brooks Solar 2 Power Plant</t>
  </si>
  <si>
    <t>Portage Area Capacity Enhancements</t>
  </si>
  <si>
    <t xml:space="preserve">Spicer </t>
  </si>
  <si>
    <t>Pempa‚Äôq In-stream Tidal Energy Project</t>
  </si>
  <si>
    <t>Big Moon Power</t>
  </si>
  <si>
    <t>Tidal power demonstration facility</t>
  </si>
  <si>
    <t>Jupiter Hydro</t>
  </si>
  <si>
    <t>In-Stream Tidal Demonstration Project</t>
  </si>
  <si>
    <t>Nova Innovation</t>
  </si>
  <si>
    <t>The Nova Tidal Array (Petit Passage)</t>
  </si>
  <si>
    <t>Alton Natural Gas Pipeline</t>
  </si>
  <si>
    <t>Windsor Line Replacement</t>
  </si>
  <si>
    <t>Owen Sound Reinforcement</t>
  </si>
  <si>
    <t>2021 Dawn Parkway Expansion Project - Kirkwall-Hamilton Project</t>
  </si>
  <si>
    <t>Northeast Midstream</t>
  </si>
  <si>
    <t>Nipigon LNG and North Shore Gas Distribution Project</t>
  </si>
  <si>
    <t>EPCOR Utilities Inc.</t>
  </si>
  <si>
    <t>Southern Bruce Natural Gas Project</t>
  </si>
  <si>
    <t>Waterdown to Finch Project</t>
  </si>
  <si>
    <t>Lakeshore Transmission Stations Project Leamington Area Transmission Reinforcement (Lakeshore Transmission Station &amp; Chatham to Lakeshore Line)</t>
  </si>
  <si>
    <t>NRStor and Six Nations of the Grand River Development Corporation Oneida Energy Storage LP</t>
  </si>
  <si>
    <t>Oneida Energy Storage</t>
  </si>
  <si>
    <t>Spruce Lake East Lloyd</t>
  </si>
  <si>
    <t>North American Helium</t>
  </si>
  <si>
    <t>Helium Purification Plant</t>
  </si>
  <si>
    <t>Yukon Energy Corporation</t>
  </si>
  <si>
    <t>Grid-Scale Battery Storage</t>
  </si>
  <si>
    <t>Port Hawkesbury Paper</t>
  </si>
  <si>
    <t>Goose Harbour Lake Wind Farm (formerly Pirate Harbour)</t>
  </si>
  <si>
    <t>City of Summerside / Republic of Korea‚Äôs Samsung Renewable Energy</t>
  </si>
  <si>
    <t>City of Summerside Solar Farm</t>
  </si>
  <si>
    <t>Windcharger Battery Storage</t>
  </si>
  <si>
    <t>Jenner Wind Power Project 3</t>
  </si>
  <si>
    <t>WindRiver Power Corp. &amp; TC Energy</t>
  </si>
  <si>
    <t>Canyon Creek Hydro Power Project (storage)</t>
  </si>
  <si>
    <t>Wheatland Wind Project</t>
  </si>
  <si>
    <t>Element5</t>
  </si>
  <si>
    <t>New cross-laminated timber plant</t>
  </si>
  <si>
    <t>JD Irving</t>
  </si>
  <si>
    <t>Mill modernization and upgrade</t>
  </si>
  <si>
    <t>Enbridge Frontier Inc.</t>
  </si>
  <si>
    <t>Frontier NGL Plant and Pipeline Project</t>
  </si>
  <si>
    <t>West Coast Olefins Ltd.</t>
  </si>
  <si>
    <t>West Coast Olefins Ethylene Plant</t>
  </si>
  <si>
    <t>CanWhite Sands Corporation</t>
  </si>
  <si>
    <t>DEN prooperty</t>
  </si>
  <si>
    <t>VIVIAN Sand Facility Project</t>
  </si>
  <si>
    <t>Inuvialuit Petroleum Corporation</t>
  </si>
  <si>
    <t>Inuvialuit Energy Security Project</t>
  </si>
  <si>
    <t>Ekati Diamond Mine Expansion - Point Lake</t>
  </si>
  <si>
    <t>BRU property</t>
  </si>
  <si>
    <t>Skidegate Band Council</t>
  </si>
  <si>
    <t>Haida Gwaii Clean Energy Project</t>
  </si>
  <si>
    <t>The Inuvik Wind Generation Project</t>
  </si>
  <si>
    <t>Deh Tai GP Ltd</t>
  </si>
  <si>
    <t>Clarke Lake Geothermal Development</t>
  </si>
  <si>
    <t>Nisga'a Nation, Western LNG, Rockies LNG Partners</t>
  </si>
  <si>
    <t>Pace Canada LP</t>
  </si>
  <si>
    <t>Youngstown Solar Project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</si>
  <si>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</si>
  <si>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</si>
  <si>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</si>
  <si>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</si>
  <si>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</si>
  <si>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</si>
  <si>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Capstone Infrastructure</t>
  </si>
  <si>
    <t>Kneehill Solar Project</t>
  </si>
  <si>
    <t>Michichi Solar Generation Facility</t>
  </si>
  <si>
    <t>East Strathmore Solar Project</t>
  </si>
  <si>
    <t>Mill improvement</t>
  </si>
  <si>
    <t>FutEra Power</t>
  </si>
  <si>
    <t>South Swan Hills Hybrid Power Project</t>
  </si>
  <si>
    <t>Osisko Development Corp.</t>
  </si>
  <si>
    <t>Cariboo Gold Project</t>
  </si>
  <si>
    <t>Moose River Consolidated (15 Mile Stream Mine)</t>
  </si>
  <si>
    <t xml:space="preserve">Brompton paper upgrade </t>
  </si>
  <si>
    <t>Enchant Solar Project</t>
  </si>
  <si>
    <t>Lathom Solar Project</t>
  </si>
  <si>
    <t>Joffre Solar Power Project</t>
  </si>
  <si>
    <t>Saddlebrook Solar and Storage Project</t>
  </si>
  <si>
    <t>TransAlta Renewables</t>
  </si>
  <si>
    <t>Garden Plain Wind Project</t>
  </si>
  <si>
    <t>Tempest Wind Power Project</t>
  </si>
  <si>
    <t>Montem Resources</t>
  </si>
  <si>
    <t>Tent Mountain (Chinook)</t>
  </si>
  <si>
    <t>Prairie Sunlight</t>
  </si>
  <si>
    <t>Vauxhall Solar Farm</t>
  </si>
  <si>
    <t>Provost to Edgerton and Nilrem to Vermilion (PENV) Transmission Development</t>
  </si>
  <si>
    <t>BowArk Energy Ltd.</t>
  </si>
  <si>
    <t>Lanfine North Wind Power Project</t>
  </si>
  <si>
    <t>Enel Green Power</t>
  </si>
  <si>
    <t>Grizzly Bear Wind Power Project</t>
  </si>
  <si>
    <t>Carbon Clean Energy Inc.</t>
  </si>
  <si>
    <t>Project Wheatland BioFuel Facility</t>
  </si>
  <si>
    <t>Air Products</t>
  </si>
  <si>
    <t>Canada Net-zero Hydrogen Energy Complex</t>
  </si>
  <si>
    <t>Ascent Energy Partners</t>
  </si>
  <si>
    <t>Dunmore Solar Project</t>
  </si>
  <si>
    <t>Wolf Midstream</t>
  </si>
  <si>
    <t>NGL North Integrated Energy Infrastructure System</t>
  </si>
  <si>
    <t>Copenhagen Infrastructure Parteners ABO Wind Canada Ltd.</t>
  </si>
  <si>
    <t>Buffalo Plains Wind Farm</t>
  </si>
  <si>
    <t>Fortis</t>
  </si>
  <si>
    <t>Tilbury LNG Phase 2</t>
  </si>
  <si>
    <t>Alberta BioBoard</t>
  </si>
  <si>
    <t>MDF and Fuel Pellet Plant</t>
  </si>
  <si>
    <t>Siemens Energy</t>
  </si>
  <si>
    <t>Siemens Energy Waste Heat-to-Power Pilot</t>
  </si>
  <si>
    <t>Suncor ATCO JV</t>
  </si>
  <si>
    <t>Suncor ATCO Hydrogen Project</t>
  </si>
  <si>
    <t>Genesee Power Plant Natural Gas Conversion</t>
  </si>
  <si>
    <t>TBD</t>
  </si>
  <si>
    <t>Southern Lakes Transmission Network</t>
  </si>
  <si>
    <t>Moon Lake Pumped Storage</t>
  </si>
  <si>
    <t>Tilbury LNG Phase 1B</t>
  </si>
  <si>
    <t>Kettle Unit 6 Minor Overhaul</t>
  </si>
  <si>
    <t>Kettle Unit 10 Minor Overhaul</t>
  </si>
  <si>
    <t>Kettle Unit 5 Minor Overhaul</t>
  </si>
  <si>
    <t>Southwest Wpg 115kV Tsfrmr Improv-Phase2</t>
  </si>
  <si>
    <t>Redevelopment of the Calabogie site</t>
  </si>
  <si>
    <t>Redevelopment of Coniston station</t>
  </si>
  <si>
    <t>Lakeshore Natural Gas</t>
  </si>
  <si>
    <t>Certarus and North Shore Distribution project</t>
  </si>
  <si>
    <t>Canada Nickel Company Inc.</t>
  </si>
  <si>
    <t>Crawford</t>
  </si>
  <si>
    <t>New Age Metals Inc.</t>
  </si>
  <si>
    <t>River Valley Palladium</t>
  </si>
  <si>
    <t>Avalon Advanced Materials Inc.</t>
  </si>
  <si>
    <t>Separation Rapids</t>
  </si>
  <si>
    <t>Resolve Energie</t>
  </si>
  <si>
    <t>Usine de production d'ethanol cellulosique</t>
  </si>
  <si>
    <t>Greenfield Global</t>
  </si>
  <si>
    <t>Agrandissement usine d'ethanol a Varennes</t>
  </si>
  <si>
    <t xml:space="preserve">Riverhurst Wind </t>
  </si>
  <si>
    <t>Saturn Power</t>
  </si>
  <si>
    <t>Highfield Solar</t>
  </si>
  <si>
    <t>Awasis Solar</t>
  </si>
  <si>
    <t>Natural Forces</t>
  </si>
  <si>
    <t>Pesakastew Solar</t>
  </si>
  <si>
    <t>Foxtail Grove Solar</t>
  </si>
  <si>
    <t xml:space="preserve">Prairie Green Renewable Energy Inc. </t>
  </si>
  <si>
    <t>Prairie Green Renewable Energy</t>
  </si>
  <si>
    <t>DEEP</t>
  </si>
  <si>
    <t xml:space="preserve">DEEP Geothermal </t>
  </si>
  <si>
    <t>Innagreen Investments and Awasis Nehiyawewini Energy Development</t>
  </si>
  <si>
    <t>Bekevar Wind Energy Project</t>
  </si>
  <si>
    <t>Independent Energy Corp.</t>
  </si>
  <si>
    <t>Kerrobert Crude Oil Processing Facility</t>
  </si>
  <si>
    <t>Pembina Pipeline Corporation and TC Energy</t>
  </si>
  <si>
    <t>Alberta Carbon Grid</t>
  </si>
  <si>
    <t>Highwood Organics Processing</t>
  </si>
  <si>
    <t>Aldersyde Bioenergy Facility</t>
  </si>
  <si>
    <t>Shell Canada Limited, ATCO Energy Solutions Ltd., and Suncor Energy Inc.</t>
  </si>
  <si>
    <t>Atlas Carbon Sequestration Hub</t>
  </si>
  <si>
    <t>City of St. Albert</t>
  </si>
  <si>
    <t>Badger Lands Solar Farm</t>
  </si>
  <si>
    <t>BHP Billiton Petroleum</t>
  </si>
  <si>
    <t>BHP Canada Exploration Drilling Project</t>
  </si>
  <si>
    <t>Recyclage carbone Varenne (Technologie d'Enerkem)</t>
  </si>
  <si>
    <t>McEwen Mining Inc.</t>
  </si>
  <si>
    <t>Black Fox</t>
  </si>
  <si>
    <t>Black Fox Mine Froome Expansion</t>
  </si>
  <si>
    <t>Chappice Lake Solar Storage Project</t>
  </si>
  <si>
    <t>Cherry to Bathurst NPS 20 Pipeline Replacement Project</t>
  </si>
  <si>
    <t>CNRL In-Pit Extraction Process Demonstration</t>
  </si>
  <si>
    <t>Voltarix Group</t>
  </si>
  <si>
    <t>Creekside Solar Project</t>
  </si>
  <si>
    <t>Deerfoot Solar Project</t>
  </si>
  <si>
    <t>Eagle Mountain - Woodfibre Gas Pipeline</t>
  </si>
  <si>
    <t>Skeena Resources Ltd.</t>
  </si>
  <si>
    <t>Eskay Creek Mine</t>
  </si>
  <si>
    <t>Foothills Zone 8 West Path Delivery 2022</t>
  </si>
  <si>
    <t>Foothills Zone 8 West Path Delivery 2023</t>
  </si>
  <si>
    <t xml:space="preserve">Fort Providence and Kakisa Transmission Line </t>
  </si>
  <si>
    <t>STLLR Gold Inc.</t>
  </si>
  <si>
    <t>Tower Gold (formerly Garrison/Golden Highway)</t>
  </si>
  <si>
    <t>FD Power</t>
  </si>
  <si>
    <t>Genalta Flare Gas Bromhead</t>
  </si>
  <si>
    <t>Rock Tech Lithium Inc.</t>
  </si>
  <si>
    <t>Georgia Lake</t>
  </si>
  <si>
    <t>Ghost River WaterCharger Battery Energy Storage</t>
  </si>
  <si>
    <t>Entropy Inc.</t>
  </si>
  <si>
    <t>Glacier Gas Plant CCS (Phase 1)</t>
  </si>
  <si>
    <t>Glacier Gas Plant CSS (Phase 2)</t>
  </si>
  <si>
    <t>LNG Newfoundland and Labrador</t>
  </si>
  <si>
    <t>Halkirk Wind Project Phase 2</t>
  </si>
  <si>
    <t>Diageo Canada Inc.</t>
  </si>
  <si>
    <t>Implantation de mesures de reduction des emissions de GES et de conversion energetique</t>
  </si>
  <si>
    <t>BigMoon Canada Corporation</t>
  </si>
  <si>
    <t>In-Stream Tidal Energy Project</t>
  </si>
  <si>
    <t>International Wood Industries</t>
  </si>
  <si>
    <t>Integrated wood processing facility (sawmill and pellet plant)</t>
  </si>
  <si>
    <t>ITOCHU Corporation, Petronas Canada, Interpipe (Brookfield Infrastructure)</t>
  </si>
  <si>
    <t>ITOCHU/Petronas/Interpipe (Brookfield Infrastructure) Blue Ammonia Production Facility</t>
  </si>
  <si>
    <t>Landore Resources Limited</t>
  </si>
  <si>
    <t>Junior Lake (BAM Gold Project)</t>
  </si>
  <si>
    <t>Imperial Oil</t>
  </si>
  <si>
    <t>Kearl Oil Sand In-Pit Tailings Project</t>
  </si>
  <si>
    <t>Kettle Unit 8 Stator Overhaul</t>
  </si>
  <si>
    <t>Keyera Corp. and SemCAMS Midstream</t>
  </si>
  <si>
    <t>Key Access Pipeline System Project</t>
  </si>
  <si>
    <t>Kopahawakenum</t>
  </si>
  <si>
    <t>SOQUEM</t>
  </si>
  <si>
    <t>M√©taux Lomiko</t>
  </si>
  <si>
    <t>La Loutre Graphite</t>
  </si>
  <si>
    <t xml:space="preserve">Hydro One </t>
  </si>
  <si>
    <t>Chatham to Lakeshore Transmission Line</t>
  </si>
  <si>
    <t>Lafarge Canada Inc.</t>
  </si>
  <si>
    <t>Landfill Fly Ash Beneficiation Project</t>
  </si>
  <si>
    <t>Limestone Units 1-3 &amp; 5-10 Stator Re-Wedge</t>
  </si>
  <si>
    <t>LNG Canada Phase 2</t>
  </si>
  <si>
    <t>Long Spruce Generator Protection Replacement</t>
  </si>
  <si>
    <t>Malartic extension project - Odyssey</t>
  </si>
  <si>
    <t>Malartic Extension Project (Odyssey)</t>
  </si>
  <si>
    <t>Miniere O3</t>
  </si>
  <si>
    <t>Marban Block</t>
  </si>
  <si>
    <t>Fox River Resources Corporation</t>
  </si>
  <si>
    <t>Martison</t>
  </si>
  <si>
    <t>Bison Low Carbon Ventures Inc.</t>
  </si>
  <si>
    <t>Meadowbrook Hub Project</t>
  </si>
  <si>
    <t>Meaford Pumped Storage Project</t>
  </si>
  <si>
    <t>Mercer International</t>
  </si>
  <si>
    <t>Mercer Peace River Fibre Procurement Project</t>
  </si>
  <si>
    <t>Western Resources Corp.</t>
  </si>
  <si>
    <t>San Group</t>
  </si>
  <si>
    <t>Mill and port upgrades</t>
  </si>
  <si>
    <t>Mill modernization and new equipment</t>
  </si>
  <si>
    <t>Milner 2 Combined Cycle Gas Turbine Power Project</t>
  </si>
  <si>
    <t>Mitsubishi Corporation, Shell Canada Limited</t>
  </si>
  <si>
    <t>Mitsubishi/Shell Ammonia Project</t>
  </si>
  <si>
    <t>Sayona Nord</t>
  </si>
  <si>
    <t xml:space="preserve">Moblan </t>
  </si>
  <si>
    <t>Voyager Metals inc.</t>
  </si>
  <si>
    <t>Mont Sorcier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</si>
  <si>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</si>
  <si>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</si>
  <si>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</si>
  <si>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</si>
  <si>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</si>
  <si>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NGTL West Path Delivery 2022 Project</t>
  </si>
  <si>
    <t>Northern Petrochemical Corp.</t>
  </si>
  <si>
    <t>Northern Petrochemical Ammonia and Methanol Production Facility</t>
  </si>
  <si>
    <t>Ciment Qu√©bec</t>
  </si>
  <si>
    <t>Nouvel atelier de broyage ciment</t>
  </si>
  <si>
    <t>Wawa OSB Inc</t>
  </si>
  <si>
    <t>OSB Mill restart</t>
  </si>
  <si>
    <t>Peak Renewables</t>
  </si>
  <si>
    <t>Groupe Lebel</t>
  </si>
  <si>
    <t>Nihat Corp</t>
  </si>
  <si>
    <t>NWT</t>
  </si>
  <si>
    <t>Nairn Centre Wood Pellet Plant</t>
  </si>
  <si>
    <t>Whitesands First Nation</t>
  </si>
  <si>
    <t>Pellet plant and biomass co-gen</t>
  </si>
  <si>
    <t>Power Downtown Toronto</t>
  </si>
  <si>
    <t>Ascot Resources Ltd.</t>
  </si>
  <si>
    <t>Heartland Generation</t>
  </si>
  <si>
    <t>Rainbow Lake Generating Station Expansion</t>
  </si>
  <si>
    <t>Newcrest Mining Ltd./Imperial Metals</t>
  </si>
  <si>
    <t>Red Chris Block Cave Expansion</t>
  </si>
  <si>
    <t>Rocktree Solar Project</t>
  </si>
  <si>
    <t>Saamis Solar Farm</t>
  </si>
  <si>
    <t>Dunkley Lumber</t>
  </si>
  <si>
    <t>Saw Mill Expansion</t>
  </si>
  <si>
    <t>Silicon Ranch</t>
  </si>
  <si>
    <t>Scottford Refinery Solar Farm</t>
  </si>
  <si>
    <t>Magna Mining Inc.</t>
  </si>
  <si>
    <t>Shakespeare</t>
  </si>
  <si>
    <t>Expander Energy</t>
  </si>
  <si>
    <t>Slave Lake Bio-Mass/Gas to Liquids Plant (Phase 1)</t>
  </si>
  <si>
    <t xml:space="preserve">St.Clair Transmission Line </t>
  </si>
  <si>
    <t>Strathcona Refinery Renewable Diesel Expansion</t>
  </si>
  <si>
    <t>ATCO, Suncor</t>
  </si>
  <si>
    <t>Suncor and ATCO clean hydrogen project</t>
  </si>
  <si>
    <t>Suncor PURE Demonstration Facility</t>
  </si>
  <si>
    <t>The Open Access Wabamun Carbon Hub</t>
  </si>
  <si>
    <t>The Origins Project</t>
  </si>
  <si>
    <t>Tilt Cove Exploration Drilling Project</t>
  </si>
  <si>
    <t>Troilus Gold Corp.</t>
  </si>
  <si>
    <t>Troilus</t>
  </si>
  <si>
    <t>Elkem Metal Canada</t>
  </si>
  <si>
    <t>Usine de demonstration de fabrication de briquettes de biocarbone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</si>
  <si>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</si>
  <si>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</si>
  <si>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</si>
  <si>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</si>
  <si>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</si>
  <si>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</si>
  <si>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</si>
  <si>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</si>
  <si>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Wheatcrest Solar Project</t>
  </si>
  <si>
    <t>Wolf Midstream Carbon Hub</t>
  </si>
  <si>
    <t>Strategic Resources Inc.</t>
  </si>
  <si>
    <t>BlackRock</t>
  </si>
  <si>
    <t>Sabre Gold Mines Corp.</t>
  </si>
  <si>
    <t>Brewery Creek</t>
  </si>
  <si>
    <t>Dore Copper Mining Corp.</t>
  </si>
  <si>
    <t>Corner Bay</t>
  </si>
  <si>
    <t>Rio Tinto Group</t>
  </si>
  <si>
    <t>Jonquiere Refinery</t>
  </si>
  <si>
    <t>Nouveau Monde Graphite Inc</t>
  </si>
  <si>
    <t>Lac Gueret</t>
  </si>
  <si>
    <t>Groupe minier Imp√©rial</t>
  </si>
  <si>
    <t>Crater Lake</t>
  </si>
  <si>
    <t>H2V Energies</t>
  </si>
  <si>
    <t>Alpha Plant</t>
  </si>
  <si>
    <t>Saskpower</t>
  </si>
  <si>
    <t>Aspen Power Station</t>
  </si>
  <si>
    <t>ATCO Kansai Electric Power Ammonia Project (Natural Gas with CCUS)</t>
  </si>
  <si>
    <t>Energir Developpement/Nature Energy</t>
  </si>
  <si>
    <t>Biomethanization plants in Quebec- Farnham Project</t>
  </si>
  <si>
    <t>Enbridge Gas</t>
  </si>
  <si>
    <t>Bobcaygeon Natural Gas Expansion</t>
  </si>
  <si>
    <t xml:space="preserve">Centre de Tratement de la Biomasse de la Monteregie (CTBM) Inc. </t>
  </si>
  <si>
    <t>Centre de Tratement de la Biomasse de la Monteregie</t>
  </si>
  <si>
    <t>Cielo Waste Solutions Corp.</t>
  </si>
  <si>
    <t>Cielo- Halifax</t>
  </si>
  <si>
    <t>Dawn-Corruna Project</t>
  </si>
  <si>
    <t>Capital Power Corporation</t>
  </si>
  <si>
    <t>East Windsor Expansion</t>
  </si>
  <si>
    <t>Eco Options Energy Cooperative</t>
  </si>
  <si>
    <t>Cenvous Energy Inc.</t>
  </si>
  <si>
    <t>Edam Waseca Steam Injection</t>
  </si>
  <si>
    <t>Churchill Falls Labrador Corporation</t>
  </si>
  <si>
    <t>Electric Utility 2021 Capital Program (Churchill Falls Labrador Corporation)</t>
  </si>
  <si>
    <t>Electric Utility 2021 Capital Program (Newfoundland and Labrador Hydro)</t>
  </si>
  <si>
    <t>Electric Utility 2021 Capital Program (Newfoundland Power Inc.)</t>
  </si>
  <si>
    <t>Electric Utility 2022 Capital Program (Churchill Falls Labrador Corporation)</t>
  </si>
  <si>
    <t>Electric Utility 2022 Capital Program (Newfoundland and Labrador Hydro)</t>
  </si>
  <si>
    <t>Electric Utility 2022 Capital Program (Newfoundland Power Inc.)</t>
  </si>
  <si>
    <t>Electric Utility 2023 Capital Program</t>
  </si>
  <si>
    <t>Electric Utility 2023 Capital Program (Churchill Falls Labrador Corporation)</t>
  </si>
  <si>
    <t>Electric Utility 2023 Capital Program (Newfoundland and Labrador Hydro)</t>
  </si>
  <si>
    <t>ENMAX Energy Corp.</t>
  </si>
  <si>
    <t>Enmax Substation No. 1</t>
  </si>
  <si>
    <t>Enterprise PCB Remediation</t>
  </si>
  <si>
    <t>Ermine and Yellowhead Expansion</t>
  </si>
  <si>
    <t>Federated Co-operatives Limited</t>
  </si>
  <si>
    <t>FCL HDRD Plant</t>
  </si>
  <si>
    <t>Fort Nelson First Nation/Hydrogen Naturally</t>
  </si>
  <si>
    <t>Fort Nelson First Nation Hydrogen</t>
  </si>
  <si>
    <t>ACCIONA Energia</t>
  </si>
  <si>
    <t>Forty Mile Wind Project (ACCONIA)</t>
  </si>
  <si>
    <t>Neoen International</t>
  </si>
  <si>
    <t>Fox Coulee Solar Farm</t>
  </si>
  <si>
    <t>Parkland Corp.</t>
  </si>
  <si>
    <t>Fuel Refinery Upgrade (Parkland coprocessing)</t>
  </si>
  <si>
    <t>Green Impact Partners (In partnership with Carbon Clean Energy and PCL Construction)</t>
  </si>
  <si>
    <t>Future Energy Park Renewable Natural Gas and Ethanol Project</t>
  </si>
  <si>
    <t>Grand Rapids Unit 1 Overhaul</t>
  </si>
  <si>
    <t>Pattern Energy</t>
  </si>
  <si>
    <t>Argentia Renewables</t>
  </si>
  <si>
    <t>H2MB</t>
  </si>
  <si>
    <t xml:space="preserve">H2MB </t>
  </si>
  <si>
    <t>FortisBC/Suncor/Hazer</t>
  </si>
  <si>
    <t xml:space="preserve">Hazer Pyrolysis Hydrogen Production Demo Plant </t>
  </si>
  <si>
    <t>Heidelberg Materials</t>
  </si>
  <si>
    <t>Heidelberg Materials Carbon Capture Utilization and Storage Hub</t>
  </si>
  <si>
    <t>Kiwetinohk Energy Corp</t>
  </si>
  <si>
    <t>Homestead Solar Project</t>
  </si>
  <si>
    <t>Hydrogen Canada Corp</t>
  </si>
  <si>
    <t>Hydrogen Canada Corp Hydrogen Project (Natural Gas with CCUS)</t>
  </si>
  <si>
    <t>Renewable Hydrogen Canada/ Fortis BC/ Green Investment Group</t>
  </si>
  <si>
    <t>Hydrogen Electrolyzer Plant</t>
  </si>
  <si>
    <t>Hydra Energy Canada</t>
  </si>
  <si>
    <t xml:space="preserve">Hydrogen Refueling and Production </t>
  </si>
  <si>
    <t>Jenpeg Unit 2 Overhauls</t>
  </si>
  <si>
    <t>Northland Power</t>
  </si>
  <si>
    <t>Jurassic Solar and Battery Storage</t>
  </si>
  <si>
    <t>Kettle Unit 10 Stator Overhaul</t>
  </si>
  <si>
    <t>Kettle Unit 11 Stator Overhaul</t>
  </si>
  <si>
    <t>Kettle Unit 12 Stator Overhaul</t>
  </si>
  <si>
    <t xml:space="preserve">Kettle Unit 5 Stator Overhaul </t>
  </si>
  <si>
    <t xml:space="preserve">Kettle Unit 6 Stator Overhaul </t>
  </si>
  <si>
    <t>Kettle Unit 7 Stator Overhaul</t>
  </si>
  <si>
    <t>Kettle Unit 9 Stator Overhaul</t>
  </si>
  <si>
    <t>Phoenix Solar Project</t>
  </si>
  <si>
    <t>Metro Vancouver</t>
  </si>
  <si>
    <t>Lulu Island WWT Plant</t>
  </si>
  <si>
    <t xml:space="preserve">Greengate Power Corporation </t>
  </si>
  <si>
    <t>Luna Solar Project (Phase One)</t>
  </si>
  <si>
    <t>Luna Solar Project (Phase Two)</t>
  </si>
  <si>
    <t>McLeod Lake Indian Band/Mitsubishi</t>
  </si>
  <si>
    <t>McLeod Lake Indian Band Hydrogen Project</t>
  </si>
  <si>
    <t>Strathcona Resources Ltd.</t>
  </si>
  <si>
    <t>Meota Waseca SAGD</t>
  </si>
  <si>
    <t>Huron Clean Energy and Upper Nicola Band</t>
  </si>
  <si>
    <t>Merritt Electro Fuels Project</t>
  </si>
  <si>
    <t>Midnight Solar and Battery Storage Project</t>
  </si>
  <si>
    <t xml:space="preserve">Uniboard </t>
  </si>
  <si>
    <t>Mill modernisation</t>
  </si>
  <si>
    <t>Enbridge/Walker Industries and Comcor Environmental</t>
  </si>
  <si>
    <t>Niagara Falls Renewable Natural Gas Project</t>
  </si>
  <si>
    <t>Paintearth Wind Power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</si>
  <si>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</si>
  <si>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</si>
  <si>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</si>
  <si>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</si>
  <si>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</si>
  <si>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</si>
  <si>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</si>
  <si>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Pembina Pipeline, Marubeni</t>
  </si>
  <si>
    <t>Pembina Pipeline and Marubeni Ammonia Project (Natural Gas with CCUS)</t>
  </si>
  <si>
    <t>Pointe du Bois Renewable Energy Project</t>
  </si>
  <si>
    <t>Prince East Waseca SAGD</t>
  </si>
  <si>
    <t>Waste Connections of Canada and Enbridge</t>
  </si>
  <si>
    <t>Ridge Landfill RNG Facility</t>
  </si>
  <si>
    <t>REN Energy/FortisBC</t>
  </si>
  <si>
    <t>RNG from Wood Waste</t>
  </si>
  <si>
    <t>SAF + Consortium</t>
  </si>
  <si>
    <t>SAF Consortium</t>
  </si>
  <si>
    <t>Salt Flats Solar Project</t>
  </si>
  <si>
    <t>Invenergy</t>
  </si>
  <si>
    <t>Skinners Pond Wind Energy Centre</t>
  </si>
  <si>
    <t>Station Battery Bank Capacity &amp; System Reliability Increase</t>
  </si>
  <si>
    <t>ABO Wind Canada Ltd.</t>
  </si>
  <si>
    <t>Stettler Solar and Battery Storage Project</t>
  </si>
  <si>
    <t>City of Summerside, Samsung Renewable Energy</t>
  </si>
  <si>
    <t>Summerside Solar and Storage Integration Project</t>
  </si>
  <si>
    <t>Evolugen by Brookfield Renewable</t>
  </si>
  <si>
    <t>Sunrise Solar Project</t>
  </si>
  <si>
    <t>Tla'amin Nation</t>
  </si>
  <si>
    <t>Tlaamin tiskwat mill site</t>
  </si>
  <si>
    <t>Enerfin Energy Company of Canada Inc.</t>
  </si>
  <si>
    <t>Winnifred Wind Power Project</t>
  </si>
  <si>
    <t>Energir/WM Quebec</t>
  </si>
  <si>
    <t>WM Sainte-Sophie Landfill RNG Facility</t>
  </si>
  <si>
    <t>Renewable Energy Systems Canada Inc.</t>
  </si>
  <si>
    <t>Enterprise Solar Project</t>
  </si>
  <si>
    <t>Big Sky Solar Project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</si>
  <si>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</si>
  <si>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</si>
  <si>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</si>
  <si>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</si>
  <si>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</si>
  <si>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</si>
  <si>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Peace Energy Cooperative</t>
  </si>
  <si>
    <t>Peace River Energy Project</t>
  </si>
  <si>
    <t>Forty Mile Solar Farm (Granlea Phase 2)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</si>
  <si>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</si>
  <si>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</si>
  <si>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</si>
  <si>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</si>
  <si>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</si>
  <si>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</si>
  <si>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</si>
  <si>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</si>
  <si>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</si>
  <si>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</si>
  <si>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</si>
  <si>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</si>
  <si>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FortisAlberta</t>
  </si>
  <si>
    <t>Bassano 435S DER Solar</t>
  </si>
  <si>
    <t>ENGIE Development Canada LP</t>
  </si>
  <si>
    <t>Buffalo Trail North Wind Project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</si>
  <si>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</si>
  <si>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</si>
  <si>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</si>
  <si>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</si>
  <si>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</si>
  <si>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</si>
  <si>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</si>
  <si>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 xml:space="preserve">Carseland Biomass Gasifier Project </t>
  </si>
  <si>
    <t>AltaLink &amp; ATCO</t>
  </si>
  <si>
    <t>Central East Transfer Out Transmission Development</t>
  </si>
  <si>
    <t>Narrows Lake Tie-Back to Christina Lake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</si>
  <si>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</si>
  <si>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</si>
  <si>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</si>
  <si>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</si>
  <si>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</si>
  <si>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Prince George to Terrace Capacitors Project</t>
  </si>
  <si>
    <t>Burrard Switchyard - Control Building Upgrade Project</t>
  </si>
  <si>
    <t>Bridge River 1 Replace Units 1-4 Generators / Governors Project</t>
  </si>
  <si>
    <t>John Hart Dam Seismic Upgrade Project</t>
  </si>
  <si>
    <t>Peace to Kelly Lake Stations Sustainment Project</t>
  </si>
  <si>
    <t>Kootenay Canal Modernize Controls Project</t>
  </si>
  <si>
    <t>HTEC</t>
  </si>
  <si>
    <t xml:space="preserve">H2 Gateway Project </t>
  </si>
  <si>
    <t>Hydra Energy</t>
  </si>
  <si>
    <t xml:space="preserve">Prince George Project </t>
  </si>
  <si>
    <t>Teralta Hydrogen Solutions</t>
  </si>
  <si>
    <t xml:space="preserve">Teralta Hydrogen Project </t>
  </si>
  <si>
    <t xml:space="preserve">Salish Elements &amp; Xaxli'p First Nation </t>
  </si>
  <si>
    <t>Salish Elements Green Hydrogen Production Project</t>
  </si>
  <si>
    <t xml:space="preserve">Mcleod Lake Indian Band </t>
  </si>
  <si>
    <t xml:space="preserve">Tse'khene Energy Transition Hub </t>
  </si>
  <si>
    <t>BCH2 Ports Hydrogen Vehicle Demonstration &amp; Commercialized Project</t>
  </si>
  <si>
    <t>Trigon Terminals</t>
  </si>
  <si>
    <t xml:space="preserve">Berth 2 Beyond Carbon Project (B2BC) 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</si>
  <si>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</si>
  <si>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</si>
  <si>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</si>
  <si>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</si>
  <si>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</si>
  <si>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</si>
  <si>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</si>
  <si>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</si>
  <si>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</si>
  <si>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Electric Utility 2024 Capital Program (Churchill Falls Labrador Corporation)</t>
  </si>
  <si>
    <t>Electric Utility 2024 Capital Program (Newfoundland and Labrador Hydro)</t>
  </si>
  <si>
    <t>Electric Utility 2024 Capital Program (Newfoundland Power Inc.)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</si>
  <si>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</si>
  <si>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</si>
  <si>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</si>
  <si>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</si>
  <si>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</si>
  <si>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</si>
  <si>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</si>
  <si>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</si>
  <si>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</si>
  <si>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</si>
  <si>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</si>
  <si>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</si>
  <si>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</si>
  <si>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</si>
  <si>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</si>
  <si>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</si>
  <si>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</si>
  <si>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</si>
  <si>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</si>
  <si>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</si>
  <si>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Wawa to Porcupine</t>
  </si>
  <si>
    <t xml:space="preserve">St. Thomas Line (including Centennial Transformer Station &amp; Line) </t>
  </si>
  <si>
    <t>PUC Transmisison</t>
  </si>
  <si>
    <t>PUC Tx Project</t>
  </si>
  <si>
    <t>Onimiskiw Opitciwan</t>
  </si>
  <si>
    <t>Centrale de cogeneration a la biomasse d'opitciwan</t>
  </si>
  <si>
    <t>Nouvelle centrale thermique a Aupaluk</t>
  </si>
  <si>
    <t>Construction de la nouvelle centrale et du nouveau 
poste de Puvirnituq - plan de conversion phase 1</t>
  </si>
  <si>
    <t>Construction de la nouvelle centrale hybride de Tasiujaq</t>
  </si>
  <si>
    <t>Construction de la nouvelle centrale d'Inukjuak</t>
  </si>
  <si>
    <t>Hydro-Quebec-MRC Domaine du Roy - Premiere Nation des Pekuakamiulnuatsh et Atikamekw de Wemotaci</t>
  </si>
  <si>
    <t>Parc eolien zone Chamouchouane</t>
  </si>
  <si>
    <t xml:space="preserve">Algonquin Power 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</si>
  <si>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</si>
  <si>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</si>
  <si>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</si>
  <si>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</si>
  <si>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</si>
  <si>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</si>
  <si>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</si>
  <si>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</si>
  <si>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</si>
  <si>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</si>
  <si>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</si>
  <si>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</si>
  <si>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</si>
  <si>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</si>
  <si>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</si>
  <si>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</si>
  <si>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Rehabilitation de levacuateur de crues du barrage Gouin</t>
  </si>
  <si>
    <t>Rehabilitation de lamenagement hydroelectrique de Carillon</t>
  </si>
  <si>
    <t>Refection de la centrale aux Outardes-2</t>
  </si>
  <si>
    <t>Refection des ponts aux amenagements de Rapide7 et de Rapide2</t>
  </si>
  <si>
    <t>Rehabilitation de lamenagement de Rapide-Blanc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</si>
  <si>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</si>
  <si>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</si>
  <si>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</si>
  <si>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</si>
  <si>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</si>
  <si>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</si>
  <si>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</si>
  <si>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</si>
  <si>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</si>
  <si>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Augmentation de la puissance de la centrale de Quaqtaq, construction d'un nouvel abri a matieres dangereuses et remplacement du parc a carburant</t>
  </si>
  <si>
    <t>TES Canada</t>
  </si>
  <si>
    <t>Usine de production d'hydrogene vert pour usage energetique</t>
  </si>
  <si>
    <t xml:space="preserve">Hy2Gen </t>
  </si>
  <si>
    <t xml:space="preserve">Usine de production d'hydrogene pour usage chimique </t>
  </si>
  <si>
    <t>Fortress Cellulose specialisee/Rio tinto</t>
  </si>
  <si>
    <t>Conversion de l'usine pour production de biocharbon</t>
  </si>
  <si>
    <t>Amelioration de la competitivite de l'usine</t>
  </si>
  <si>
    <t>Lauzon - Planchers de bois exclusifs inc.</t>
  </si>
  <si>
    <t>Modernisation et achats de nouveaux equipements</t>
  </si>
  <si>
    <t>Mirage inc.</t>
  </si>
  <si>
    <t>Projets d'investissements 2022-2026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</si>
  <si>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</si>
  <si>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</si>
  <si>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</si>
  <si>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</si>
  <si>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</si>
  <si>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</si>
  <si>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</si>
  <si>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</si>
  <si>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</si>
  <si>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</si>
  <si>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LP  a partnership between Greenwood Sustainable Infrastructure (GSI), Saturn Power and Ocean Man First Nation.</t>
  </si>
  <si>
    <t>Iyuhana Solar Energy Facility</t>
  </si>
  <si>
    <t xml:space="preserve">Jansen Stage 2 </t>
  </si>
  <si>
    <t>Arizona Lithium Limited</t>
  </si>
  <si>
    <t>Prairie Lithium Project</t>
  </si>
  <si>
    <t>Wheeler River - Gryphon</t>
  </si>
  <si>
    <t>Groupe Remabec, Airex Energie and SUEZ</t>
  </si>
  <si>
    <t xml:space="preserve">Carbonity biochar plant </t>
  </si>
  <si>
    <t>Structural Truss</t>
  </si>
  <si>
    <t>Structural Truss Fort Macleod plant</t>
  </si>
  <si>
    <t>Kalesnikoff</t>
  </si>
  <si>
    <t>Kalesnikoff West Kootenays</t>
  </si>
  <si>
    <t>Covenant Energy Ltd.</t>
  </si>
  <si>
    <t>Covenant Energy  Renewable Diesel Facility</t>
  </si>
  <si>
    <t>Envest</t>
  </si>
  <si>
    <t>Voisey's Bay Wind Energy Project</t>
  </si>
  <si>
    <t xml:space="preserve">Enbridge  and Six Nations Energy Development LP 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</si>
  <si>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</si>
  <si>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</si>
  <si>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</si>
  <si>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</si>
  <si>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Ashern Station Bank Addition</t>
  </si>
  <si>
    <t>Slave Falls 7 Bay Sluiceway Concrete Res</t>
  </si>
  <si>
    <t>Dauphin Vermillion 230kV Stn Capacity In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</si>
  <si>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</si>
  <si>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</si>
  <si>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</si>
  <si>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</si>
  <si>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</si>
  <si>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</si>
  <si>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</si>
  <si>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</si>
  <si>
    <t>Thermal Energy Plant at High Level Pellet Plant</t>
  </si>
  <si>
    <t>Mining</t>
  </si>
  <si>
    <t>Energy</t>
  </si>
  <si>
    <t>Forest</t>
  </si>
  <si>
    <t>Under Construction</t>
  </si>
  <si>
    <t>Announced &amp; Planning</t>
  </si>
  <si>
    <t>In Review</t>
  </si>
  <si>
    <t>Approved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</si>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</sst>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2A554-CEE7-E945-A452-E01125F5AEFF}" name="Table1" displayName="Table1" ref="A1:T1254" totalsRowShown="0" headerRowDxfId="22" dataDxfId="21" tableBorderDxfId="20">
  <autoFilter ref="A1:T1254" xr:uid="{8E860D60-039F-C44A-AD87-27511907DA83}"/>
  <tableColumns count="20">
    <tableColumn id="1" xr3:uid="{DAC0FE94-18DE-F84E-9366-68C75CAE7D18}" name="Unique ID" dataDxfId="19"/>
    <tableColumn id="2" xr3:uid="{0B0CD2F7-29DC-1E41-8DEA-02EA2412E64D}" name="company" dataDxfId="18"/>
    <tableColumn id="3" xr3:uid="{FE34D8E0-3BE7-0E44-805D-0A8BB1C4DD14}" name="project" dataDxfId="17"/>
    <tableColumn id="4" xr3:uid="{0EC87737-5822-C141-9FCB-41AD4F0DB50C}" name="province" dataDxfId="16"/>
    <tableColumn id="5" xr3:uid="{A17A8238-A8FC-5349-837D-098C321632C9}" name="company_type" dataDxfId="15"/>
    <tableColumn id="6" xr3:uid="{928784F0-1C81-6B4E-A460-F188764068CE}" name="start_year" dataDxfId="14"/>
    <tableColumn id="7" xr3:uid="{0D677069-A1B6-244C-8184-A8BA592868F6}" name="end_year" dataDxfId="13"/>
    <tableColumn id="8" xr3:uid="{80B9B4AB-2704-2E4A-8C6E-E62D5EED4675}" name="reporting_years" dataDxfId="12">
      <calculatedColumnFormula>'mpi_dataset_summary_2017-2024'!$G2-'mpi_dataset_summary_2017-2024'!$F2+1</calculatedColumnFormula>
    </tableColumn>
    <tableColumn id="9" xr3:uid="{3A92C0D5-E4E7-724F-BCB1-2F0DFE60D604}" name="start_status" dataDxfId="11"/>
    <tableColumn id="10" xr3:uid="{021DA4F4-2CBE-A143-9039-ED546FF75BFC}" name="end_status" dataDxfId="10"/>
    <tableColumn id="11" xr3:uid="{2D082A53-FB69-DD4E-9AEF-BEF5C41F2885}" name="current_survival" dataDxfId="9">
      <calculatedColumnFormula>IF('mpi_dataset_summary_2017-2024'!$G2=2024,1,0)</calculatedColumnFormula>
    </tableColumn>
    <tableColumn id="12" xr3:uid="{57BFC763-4628-384F-9D85-D46DD203AC84}" name="end_success" dataDxfId="8">
      <calculatedColumnFormula>IF(J2="Under Construction",1,0)</calculatedColumnFormula>
    </tableColumn>
    <tableColumn id="13" xr3:uid="{CD55BE2B-E159-4A4F-A833-D58C33CA2158}" name="project_cost" dataDxfId="7"/>
    <tableColumn id="14" xr3:uid="{D317B6A9-FE15-1947-8C4E-5C60761AA94A}" name="cost_percentile" dataDxfId="6">
      <calculatedColumnFormula>_xlfn.PERCENTRANK.INC($M$2:$M$4056,M2)</calculatedColumnFormula>
    </tableColumn>
    <tableColumn id="15" xr3:uid="{2A6DCF14-CDDA-FF4B-AE3C-1E65CF8022BB}" name="latitude_1" dataDxfId="5"/>
    <tableColumn id="16" xr3:uid="{D84A63A0-E4FD-3A44-A404-C8F08B299C57}" name="longitude_1" dataDxfId="4"/>
    <tableColumn id="17" xr3:uid="{27F72D56-14D8-0342-BE5C-D6A71E9E65F9}" name="sector" dataDxfId="3"/>
    <tableColumn id="18" xr3:uid="{BF0A8D5B-A57D-B446-A596-0C2EC2FB56C4}" name="group" dataDxfId="2"/>
    <tableColumn id="19" xr3:uid="{AB4B3B98-A508-7345-874F-9721244F91C7}" name="cleantech" dataDxfId="1"/>
    <tableColumn id="20" xr3:uid="{E02420F2-68E0-6A4A-8EB3-01DC29AC0C6D}" name="abbrevi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4193-D8F1-4A4C-A8CA-CCDBF10D6414}">
  <dimension ref="A1:T1254"/>
  <sheetViews>
    <sheetView tabSelected="1" zoomScaleNormal="100" workbookViewId="0"/>
  </sheetViews>
  <sheetFormatPr baseColWidth="10" defaultRowHeight="14" x14ac:dyDescent="0.2"/>
  <cols>
    <col min="1" max="1" width="11.796875" customWidth="1"/>
    <col min="2" max="2" width="46" customWidth="1"/>
    <col min="3" max="3" width="46.59765625" customWidth="1"/>
    <col min="4" max="4" width="11" customWidth="1"/>
    <col min="5" max="5" width="15.796875" customWidth="1"/>
    <col min="6" max="6" width="12.3984375" customWidth="1"/>
    <col min="7" max="7" width="11.59765625" customWidth="1"/>
    <col min="8" max="8" width="16.3984375" customWidth="1"/>
    <col min="9" max="9" width="13.3984375" customWidth="1"/>
    <col min="10" max="10" width="12.59765625" customWidth="1"/>
    <col min="11" max="11" width="16.3984375" customWidth="1"/>
    <col min="12" max="13" width="13.796875" customWidth="1"/>
    <col min="14" max="14" width="16" customWidth="1"/>
    <col min="15" max="16" width="15.3984375" customWidth="1"/>
    <col min="17" max="17" width="15.796875" customWidth="1"/>
    <col min="20" max="20" width="13.59765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0</v>
      </c>
      <c r="B2" s="2" t="s">
        <v>64</v>
      </c>
      <c r="C2" s="2" t="s">
        <v>65</v>
      </c>
      <c r="D2" s="2" t="s">
        <v>66</v>
      </c>
      <c r="E2" s="2" t="s">
        <v>20</v>
      </c>
      <c r="F2" s="2">
        <v>2018</v>
      </c>
      <c r="G2" s="2">
        <v>2024</v>
      </c>
      <c r="H2" s="2">
        <f>'mpi_dataset_summary_2017-2024'!$G2-'mpi_dataset_summary_2017-2024'!$F2+1</f>
        <v>7</v>
      </c>
      <c r="I2" s="2" t="s">
        <v>2111</v>
      </c>
      <c r="J2" s="2" t="s">
        <v>2112</v>
      </c>
      <c r="K2" s="2">
        <f>IF('mpi_dataset_summary_2017-2024'!$G2=2024,1,0)</f>
        <v>1</v>
      </c>
      <c r="L2" s="2">
        <f t="shared" ref="L2:L65" si="0">IF(J2="Under Construction",1,0)</f>
        <v>0</v>
      </c>
      <c r="M2" s="2">
        <v>870</v>
      </c>
      <c r="N2" s="2">
        <f t="shared" ref="N2:N65" si="1">_xlfn.PERCENTRANK.INC($M$2:$M$4056,M2)</f>
        <v>0.78900000000000003</v>
      </c>
      <c r="O2" s="2">
        <v>53.33</v>
      </c>
      <c r="P2" s="2">
        <v>-117.53</v>
      </c>
      <c r="Q2" s="2" t="s">
        <v>2107</v>
      </c>
      <c r="R2" s="3" t="s">
        <v>21</v>
      </c>
      <c r="S2" s="2" t="s">
        <v>22</v>
      </c>
      <c r="T2" s="2" t="s">
        <v>23</v>
      </c>
    </row>
    <row r="3" spans="1:20" x14ac:dyDescent="0.2">
      <c r="A3" s="2">
        <v>1</v>
      </c>
      <c r="B3" s="2" t="s">
        <v>67</v>
      </c>
      <c r="C3" s="2" t="s">
        <v>68</v>
      </c>
      <c r="D3" s="2" t="s">
        <v>69</v>
      </c>
      <c r="E3" s="2" t="s">
        <v>20</v>
      </c>
      <c r="F3" s="2">
        <v>2017</v>
      </c>
      <c r="G3" s="2">
        <v>2019</v>
      </c>
      <c r="H3" s="2">
        <f>'mpi_dataset_summary_2017-2024'!$G3-'mpi_dataset_summary_2017-2024'!$F3+1</f>
        <v>3</v>
      </c>
      <c r="I3" s="2" t="s">
        <v>2112</v>
      </c>
      <c r="J3" s="2" t="s">
        <v>2112</v>
      </c>
      <c r="K3" s="2">
        <f>IF('mpi_dataset_summary_2017-2024'!$G3=2024,1,0)</f>
        <v>0</v>
      </c>
      <c r="L3" s="2">
        <f t="shared" si="0"/>
        <v>0</v>
      </c>
      <c r="M3" s="2">
        <v>188</v>
      </c>
      <c r="N3" s="2">
        <f t="shared" si="1"/>
        <v>0.48</v>
      </c>
      <c r="O3" s="2">
        <v>50.212612999999997</v>
      </c>
      <c r="P3" s="2">
        <v>-121.381772</v>
      </c>
      <c r="Q3" s="2" t="s">
        <v>2108</v>
      </c>
      <c r="R3" s="3" t="s">
        <v>24</v>
      </c>
      <c r="S3" s="2" t="s">
        <v>25</v>
      </c>
      <c r="T3" s="2" t="s">
        <v>26</v>
      </c>
    </row>
    <row r="4" spans="1:20" x14ac:dyDescent="0.2">
      <c r="A4" s="2">
        <v>2</v>
      </c>
      <c r="B4" s="2" t="s">
        <v>70</v>
      </c>
      <c r="C4" s="2" t="s">
        <v>71</v>
      </c>
      <c r="D4" s="2" t="s">
        <v>69</v>
      </c>
      <c r="E4" s="2" t="s">
        <v>20</v>
      </c>
      <c r="F4" s="2">
        <v>2017</v>
      </c>
      <c r="G4" s="2">
        <v>2023</v>
      </c>
      <c r="H4" s="2">
        <f>'mpi_dataset_summary_2017-2024'!$G4-'mpi_dataset_summary_2017-2024'!$F4+1</f>
        <v>7</v>
      </c>
      <c r="I4" s="2" t="s">
        <v>2111</v>
      </c>
      <c r="J4" s="2" t="s">
        <v>2111</v>
      </c>
      <c r="K4" s="2">
        <f>IF('mpi_dataset_summary_2017-2024'!$G4=2024,1,0)</f>
        <v>0</v>
      </c>
      <c r="L4" s="2">
        <f t="shared" si="0"/>
        <v>0</v>
      </c>
      <c r="M4" s="2">
        <v>105</v>
      </c>
      <c r="N4" s="2">
        <f t="shared" si="1"/>
        <v>0.36299999999999999</v>
      </c>
      <c r="O4" s="2">
        <v>50.750359000000003</v>
      </c>
      <c r="P4" s="2">
        <v>-124.88205000000001</v>
      </c>
      <c r="Q4" s="2" t="s">
        <v>2108</v>
      </c>
      <c r="R4" s="3" t="s">
        <v>27</v>
      </c>
      <c r="S4" s="2" t="s">
        <v>25</v>
      </c>
      <c r="T4" s="2" t="s">
        <v>28</v>
      </c>
    </row>
    <row r="5" spans="1:20" x14ac:dyDescent="0.2">
      <c r="A5" s="2">
        <v>3</v>
      </c>
      <c r="B5" s="2" t="s">
        <v>72</v>
      </c>
      <c r="C5" s="2" t="s">
        <v>73</v>
      </c>
      <c r="D5" s="2" t="s">
        <v>69</v>
      </c>
      <c r="E5" s="2" t="s">
        <v>20</v>
      </c>
      <c r="F5" s="2">
        <v>2017</v>
      </c>
      <c r="G5" s="2">
        <v>2017</v>
      </c>
      <c r="H5" s="2">
        <f>'mpi_dataset_summary_2017-2024'!$G5-'mpi_dataset_summary_2017-2024'!$F5+1</f>
        <v>1</v>
      </c>
      <c r="I5" s="2" t="s">
        <v>2112</v>
      </c>
      <c r="J5" s="2" t="s">
        <v>2112</v>
      </c>
      <c r="K5" s="2">
        <f>IF('mpi_dataset_summary_2017-2024'!$G5=2024,1,0)</f>
        <v>0</v>
      </c>
      <c r="L5" s="2">
        <f t="shared" si="0"/>
        <v>0</v>
      </c>
      <c r="M5" s="2">
        <v>1863</v>
      </c>
      <c r="N5" s="2">
        <f t="shared" si="1"/>
        <v>0.88900000000000001</v>
      </c>
      <c r="O5" s="2">
        <v>50.599800999999999</v>
      </c>
      <c r="P5" s="2">
        <v>-120.441742</v>
      </c>
      <c r="Q5" s="2" t="s">
        <v>2107</v>
      </c>
      <c r="R5" s="3" t="s">
        <v>29</v>
      </c>
      <c r="S5" s="2" t="s">
        <v>22</v>
      </c>
      <c r="T5" s="2" t="s">
        <v>30</v>
      </c>
    </row>
    <row r="6" spans="1:20" x14ac:dyDescent="0.2">
      <c r="A6" s="2">
        <v>10</v>
      </c>
      <c r="B6" s="2" t="s">
        <v>74</v>
      </c>
      <c r="C6" s="2" t="s">
        <v>75</v>
      </c>
      <c r="D6" s="2" t="s">
        <v>69</v>
      </c>
      <c r="E6" s="2" t="s">
        <v>20</v>
      </c>
      <c r="F6" s="2">
        <v>2017</v>
      </c>
      <c r="G6" s="2">
        <v>2024</v>
      </c>
      <c r="H6" s="2">
        <f>'mpi_dataset_summary_2017-2024'!$G6-'mpi_dataset_summary_2017-2024'!$F6+1</f>
        <v>8</v>
      </c>
      <c r="I6" s="2" t="s">
        <v>2112</v>
      </c>
      <c r="J6" s="2" t="s">
        <v>2112</v>
      </c>
      <c r="K6" s="2">
        <f>IF('mpi_dataset_summary_2017-2024'!$G6=2024,1,0)</f>
        <v>1</v>
      </c>
      <c r="L6" s="2">
        <f t="shared" si="0"/>
        <v>0</v>
      </c>
      <c r="M6" s="2">
        <v>850</v>
      </c>
      <c r="N6" s="2">
        <f t="shared" si="1"/>
        <v>0.78700000000000003</v>
      </c>
      <c r="O6" s="2">
        <v>56.249262999999999</v>
      </c>
      <c r="P6" s="2">
        <v>-120.847549</v>
      </c>
      <c r="Q6" s="2" t="s">
        <v>2108</v>
      </c>
      <c r="R6" s="3" t="s">
        <v>24</v>
      </c>
      <c r="S6" s="2" t="s">
        <v>25</v>
      </c>
      <c r="T6" s="2" t="s">
        <v>26</v>
      </c>
    </row>
    <row r="7" spans="1:20" x14ac:dyDescent="0.2">
      <c r="A7" s="2">
        <v>11</v>
      </c>
      <c r="B7" s="2" t="s">
        <v>76</v>
      </c>
      <c r="C7" s="2" t="s">
        <v>77</v>
      </c>
      <c r="D7" s="2" t="s">
        <v>78</v>
      </c>
      <c r="E7" s="2" t="s">
        <v>20</v>
      </c>
      <c r="F7" s="2">
        <v>2017</v>
      </c>
      <c r="G7" s="2">
        <v>2018</v>
      </c>
      <c r="H7" s="2">
        <f>'mpi_dataset_summary_2017-2024'!$G7-'mpi_dataset_summary_2017-2024'!$F7+1</f>
        <v>2</v>
      </c>
      <c r="I7" s="2" t="s">
        <v>2110</v>
      </c>
      <c r="J7" s="2" t="s">
        <v>2110</v>
      </c>
      <c r="K7" s="2">
        <f>IF('mpi_dataset_summary_2017-2024'!$G7=2024,1,0)</f>
        <v>0</v>
      </c>
      <c r="L7" s="2">
        <f t="shared" si="0"/>
        <v>1</v>
      </c>
      <c r="M7" s="2">
        <v>1200</v>
      </c>
      <c r="N7" s="2">
        <f t="shared" si="1"/>
        <v>0.82899999999999996</v>
      </c>
      <c r="O7" s="2">
        <v>63.024999999999999</v>
      </c>
      <c r="P7" s="2">
        <v>-92.215000000000003</v>
      </c>
      <c r="Q7" s="2" t="s">
        <v>2107</v>
      </c>
      <c r="R7" s="3" t="s">
        <v>29</v>
      </c>
      <c r="S7" s="2" t="s">
        <v>22</v>
      </c>
      <c r="T7" s="2" t="s">
        <v>30</v>
      </c>
    </row>
    <row r="8" spans="1:20" x14ac:dyDescent="0.2">
      <c r="A8" s="2">
        <v>19</v>
      </c>
      <c r="B8" s="2" t="s">
        <v>79</v>
      </c>
      <c r="C8" s="2" t="s">
        <v>80</v>
      </c>
      <c r="D8" s="2" t="s">
        <v>66</v>
      </c>
      <c r="E8" s="2" t="s">
        <v>20</v>
      </c>
      <c r="F8" s="2">
        <v>2017</v>
      </c>
      <c r="G8" s="2">
        <v>2020</v>
      </c>
      <c r="H8" s="2">
        <f>'mpi_dataset_summary_2017-2024'!$G8-'mpi_dataset_summary_2017-2024'!$F8+1</f>
        <v>4</v>
      </c>
      <c r="I8" s="2" t="s">
        <v>2111</v>
      </c>
      <c r="J8" s="2" t="s">
        <v>2111</v>
      </c>
      <c r="K8" s="2">
        <f>IF('mpi_dataset_summary_2017-2024'!$G8=2024,1,0)</f>
        <v>0</v>
      </c>
      <c r="L8" s="2">
        <f t="shared" si="0"/>
        <v>0</v>
      </c>
      <c r="M8" s="2">
        <v>150</v>
      </c>
      <c r="N8" s="2">
        <f t="shared" si="1"/>
        <v>0.442</v>
      </c>
      <c r="O8" s="2">
        <v>49.485078000000001</v>
      </c>
      <c r="P8" s="2">
        <v>-113.944028</v>
      </c>
      <c r="Q8" s="2" t="s">
        <v>2108</v>
      </c>
      <c r="R8" s="3" t="s">
        <v>24</v>
      </c>
      <c r="S8" s="2" t="s">
        <v>25</v>
      </c>
      <c r="T8" s="2" t="s">
        <v>26</v>
      </c>
    </row>
    <row r="9" spans="1:20" x14ac:dyDescent="0.2">
      <c r="A9" s="2">
        <v>21</v>
      </c>
      <c r="B9" s="2" t="s">
        <v>81</v>
      </c>
      <c r="C9" s="2" t="s">
        <v>82</v>
      </c>
      <c r="D9" s="2" t="s">
        <v>83</v>
      </c>
      <c r="E9" s="2" t="s">
        <v>20</v>
      </c>
      <c r="F9" s="2">
        <v>2017</v>
      </c>
      <c r="G9" s="2">
        <v>2024</v>
      </c>
      <c r="H9" s="2">
        <f>'mpi_dataset_summary_2017-2024'!$G9-'mpi_dataset_summary_2017-2024'!$F9+1</f>
        <v>8</v>
      </c>
      <c r="I9" s="2" t="s">
        <v>2113</v>
      </c>
      <c r="J9" s="2" t="s">
        <v>2112</v>
      </c>
      <c r="K9" s="2">
        <f>IF('mpi_dataset_summary_2017-2024'!$G9=2024,1,0)</f>
        <v>1</v>
      </c>
      <c r="L9" s="2">
        <f t="shared" si="0"/>
        <v>0</v>
      </c>
      <c r="M9" s="2">
        <v>3864</v>
      </c>
      <c r="N9" s="2">
        <f t="shared" si="1"/>
        <v>0.93600000000000005</v>
      </c>
      <c r="O9" s="2">
        <v>52.823999999999998</v>
      </c>
      <c r="P9" s="2">
        <v>-67.027000000000001</v>
      </c>
      <c r="Q9" s="2" t="s">
        <v>2107</v>
      </c>
      <c r="R9" s="3" t="s">
        <v>31</v>
      </c>
      <c r="S9" s="2" t="s">
        <v>22</v>
      </c>
      <c r="T9" s="2" t="s">
        <v>32</v>
      </c>
    </row>
    <row r="10" spans="1:20" x14ac:dyDescent="0.2">
      <c r="A10" s="2">
        <v>22</v>
      </c>
      <c r="B10" s="2" t="s">
        <v>84</v>
      </c>
      <c r="C10" s="2" t="s">
        <v>85</v>
      </c>
      <c r="D10" s="2" t="s">
        <v>86</v>
      </c>
      <c r="E10" s="2" t="s">
        <v>20</v>
      </c>
      <c r="F10" s="2">
        <v>2021</v>
      </c>
      <c r="G10" s="2">
        <v>2024</v>
      </c>
      <c r="H10" s="2">
        <f>'mpi_dataset_summary_2017-2024'!$G10-'mpi_dataset_summary_2017-2024'!$F10+1</f>
        <v>4</v>
      </c>
      <c r="I10" s="2" t="s">
        <v>2111</v>
      </c>
      <c r="J10" s="2" t="s">
        <v>2111</v>
      </c>
      <c r="K10" s="2">
        <f>IF('mpi_dataset_summary_2017-2024'!$G10=2024,1,0)</f>
        <v>1</v>
      </c>
      <c r="L10" s="2">
        <f t="shared" si="0"/>
        <v>0</v>
      </c>
      <c r="M10" s="2">
        <v>96.1</v>
      </c>
      <c r="N10" s="2">
        <f t="shared" si="1"/>
        <v>0.34</v>
      </c>
      <c r="O10" s="2">
        <v>54.91</v>
      </c>
      <c r="P10" s="2">
        <v>-100.03100000000001</v>
      </c>
      <c r="Q10" s="2" t="s">
        <v>2107</v>
      </c>
      <c r="R10" s="3" t="s">
        <v>33</v>
      </c>
      <c r="S10" s="2" t="s">
        <v>25</v>
      </c>
      <c r="T10" s="2" t="s">
        <v>34</v>
      </c>
    </row>
    <row r="11" spans="1:20" x14ac:dyDescent="0.2">
      <c r="A11" s="2">
        <v>26</v>
      </c>
      <c r="B11" s="2" t="s">
        <v>87</v>
      </c>
      <c r="C11" s="2" t="s">
        <v>88</v>
      </c>
      <c r="D11" s="2" t="s">
        <v>89</v>
      </c>
      <c r="E11" s="2" t="s">
        <v>20</v>
      </c>
      <c r="F11" s="2">
        <v>2017</v>
      </c>
      <c r="G11" s="2">
        <v>2021</v>
      </c>
      <c r="H11" s="2">
        <f>'mpi_dataset_summary_2017-2024'!$G11-'mpi_dataset_summary_2017-2024'!$F11+1</f>
        <v>5</v>
      </c>
      <c r="I11" s="2" t="s">
        <v>2111</v>
      </c>
      <c r="J11" s="2" t="s">
        <v>2110</v>
      </c>
      <c r="K11" s="2">
        <f>IF('mpi_dataset_summary_2017-2024'!$G11=2024,1,0)</f>
        <v>0</v>
      </c>
      <c r="L11" s="2">
        <f t="shared" si="0"/>
        <v>1</v>
      </c>
      <c r="M11" s="2">
        <v>2000</v>
      </c>
      <c r="N11" s="2">
        <f t="shared" si="1"/>
        <v>0.89400000000000002</v>
      </c>
      <c r="O11" s="2">
        <v>50.209428000000003</v>
      </c>
      <c r="P11" s="2">
        <v>-66.382828000000003</v>
      </c>
      <c r="Q11" s="2" t="s">
        <v>2107</v>
      </c>
      <c r="R11" s="3" t="s">
        <v>31</v>
      </c>
      <c r="S11" s="2" t="s">
        <v>22</v>
      </c>
      <c r="T11" s="2" t="s">
        <v>32</v>
      </c>
    </row>
    <row r="12" spans="1:20" x14ac:dyDescent="0.2">
      <c r="A12" s="2">
        <v>27</v>
      </c>
      <c r="B12" s="2" t="s">
        <v>90</v>
      </c>
      <c r="C12" s="2" t="s">
        <v>91</v>
      </c>
      <c r="D12" s="2" t="s">
        <v>69</v>
      </c>
      <c r="E12" s="2" t="s">
        <v>20</v>
      </c>
      <c r="F12" s="2">
        <v>2017</v>
      </c>
      <c r="G12" s="2">
        <v>2023</v>
      </c>
      <c r="H12" s="2">
        <f>'mpi_dataset_summary_2017-2024'!$G12-'mpi_dataset_summary_2017-2024'!$F12+1</f>
        <v>7</v>
      </c>
      <c r="I12" s="2" t="s">
        <v>2111</v>
      </c>
      <c r="J12" s="2" t="s">
        <v>2112</v>
      </c>
      <c r="K12" s="2">
        <f>IF('mpi_dataset_summary_2017-2024'!$G12=2024,1,0)</f>
        <v>0</v>
      </c>
      <c r="L12" s="2">
        <f t="shared" si="0"/>
        <v>0</v>
      </c>
      <c r="M12" s="2">
        <v>144</v>
      </c>
      <c r="N12" s="2">
        <f t="shared" si="1"/>
        <v>0.435</v>
      </c>
      <c r="O12" s="2">
        <v>52.008660999999996</v>
      </c>
      <c r="P12" s="2">
        <v>-118.563766</v>
      </c>
      <c r="Q12" s="2" t="s">
        <v>2108</v>
      </c>
      <c r="R12" s="3" t="s">
        <v>24</v>
      </c>
      <c r="S12" s="2" t="s">
        <v>25</v>
      </c>
      <c r="T12" s="2" t="s">
        <v>26</v>
      </c>
    </row>
    <row r="13" spans="1:20" x14ac:dyDescent="0.2">
      <c r="A13" s="2">
        <v>29</v>
      </c>
      <c r="B13" s="2" t="s">
        <v>92</v>
      </c>
      <c r="C13" s="2" t="s">
        <v>93</v>
      </c>
      <c r="D13" s="2" t="s">
        <v>66</v>
      </c>
      <c r="E13" s="2" t="s">
        <v>20</v>
      </c>
      <c r="F13" s="2">
        <v>2017</v>
      </c>
      <c r="G13" s="2">
        <v>2018</v>
      </c>
      <c r="H13" s="2">
        <f>'mpi_dataset_summary_2017-2024'!$G13-'mpi_dataset_summary_2017-2024'!$F13+1</f>
        <v>2</v>
      </c>
      <c r="I13" s="2" t="s">
        <v>2110</v>
      </c>
      <c r="J13" s="2" t="s">
        <v>2110</v>
      </c>
      <c r="K13" s="2">
        <f>IF('mpi_dataset_summary_2017-2024'!$G13=2024,1,0)</f>
        <v>0</v>
      </c>
      <c r="L13" s="2">
        <f t="shared" si="0"/>
        <v>1</v>
      </c>
      <c r="M13" s="2">
        <v>1866</v>
      </c>
      <c r="N13" s="2">
        <f t="shared" si="1"/>
        <v>0.89</v>
      </c>
      <c r="O13" s="2">
        <v>49.724367999999998</v>
      </c>
      <c r="P13" s="2">
        <v>-113.399878</v>
      </c>
      <c r="Q13" s="2" t="s">
        <v>2108</v>
      </c>
      <c r="R13" s="3" t="s">
        <v>35</v>
      </c>
      <c r="S13" s="2" t="s">
        <v>22</v>
      </c>
      <c r="T13" s="2" t="s">
        <v>36</v>
      </c>
    </row>
    <row r="14" spans="1:20" x14ac:dyDescent="0.2">
      <c r="A14" s="2">
        <v>36</v>
      </c>
      <c r="B14" s="2" t="s">
        <v>94</v>
      </c>
      <c r="C14" s="2" t="s">
        <v>95</v>
      </c>
      <c r="D14" s="2" t="s">
        <v>69</v>
      </c>
      <c r="E14" s="2" t="s">
        <v>20</v>
      </c>
      <c r="F14" s="2">
        <v>2017</v>
      </c>
      <c r="G14" s="2">
        <v>2020</v>
      </c>
      <c r="H14" s="2">
        <f>'mpi_dataset_summary_2017-2024'!$G14-'mpi_dataset_summary_2017-2024'!$F14+1</f>
        <v>4</v>
      </c>
      <c r="I14" s="2" t="s">
        <v>2112</v>
      </c>
      <c r="J14" s="2" t="s">
        <v>2111</v>
      </c>
      <c r="K14" s="2">
        <f>IF('mpi_dataset_summary_2017-2024'!$G14=2024,1,0)</f>
        <v>0</v>
      </c>
      <c r="L14" s="2">
        <f t="shared" si="0"/>
        <v>0</v>
      </c>
      <c r="M14" s="2">
        <v>3300</v>
      </c>
      <c r="N14" s="2">
        <f t="shared" si="1"/>
        <v>0.92500000000000004</v>
      </c>
      <c r="O14" s="2">
        <v>50.750359000000003</v>
      </c>
      <c r="P14" s="2">
        <v>-124.88205000000001</v>
      </c>
      <c r="Q14" s="2" t="s">
        <v>2108</v>
      </c>
      <c r="R14" s="3" t="s">
        <v>24</v>
      </c>
      <c r="S14" s="2" t="s">
        <v>25</v>
      </c>
      <c r="T14" s="2" t="s">
        <v>26</v>
      </c>
    </row>
    <row r="15" spans="1:20" x14ac:dyDescent="0.2">
      <c r="A15" s="2">
        <v>37</v>
      </c>
      <c r="B15" s="2" t="s">
        <v>96</v>
      </c>
      <c r="C15" s="2" t="s">
        <v>97</v>
      </c>
      <c r="D15" s="2" t="s">
        <v>69</v>
      </c>
      <c r="E15" s="2" t="s">
        <v>20</v>
      </c>
      <c r="F15" s="2">
        <v>2017</v>
      </c>
      <c r="G15" s="2">
        <v>2021</v>
      </c>
      <c r="H15" s="2">
        <f>'mpi_dataset_summary_2017-2024'!$G15-'mpi_dataset_summary_2017-2024'!$F15+1</f>
        <v>5</v>
      </c>
      <c r="I15" s="2" t="s">
        <v>2113</v>
      </c>
      <c r="J15" s="2" t="s">
        <v>2111</v>
      </c>
      <c r="K15" s="2">
        <f>IF('mpi_dataset_summary_2017-2024'!$G15=2024,1,0)</f>
        <v>0</v>
      </c>
      <c r="L15" s="2">
        <f t="shared" si="0"/>
        <v>0</v>
      </c>
      <c r="M15" s="2">
        <v>15000</v>
      </c>
      <c r="N15" s="2">
        <f t="shared" si="1"/>
        <v>0.98799999999999999</v>
      </c>
      <c r="O15" s="2">
        <v>54.063468</v>
      </c>
      <c r="P15" s="2">
        <v>-128.63857999999999</v>
      </c>
      <c r="Q15" s="2" t="s">
        <v>2108</v>
      </c>
      <c r="R15" s="3" t="s">
        <v>37</v>
      </c>
      <c r="S15" s="2" t="s">
        <v>22</v>
      </c>
      <c r="T15" s="2" t="s">
        <v>38</v>
      </c>
    </row>
    <row r="16" spans="1:20" x14ac:dyDescent="0.2">
      <c r="A16" s="2">
        <v>52</v>
      </c>
      <c r="B16" s="2" t="s">
        <v>98</v>
      </c>
      <c r="C16" s="2" t="s">
        <v>99</v>
      </c>
      <c r="D16" s="2" t="s">
        <v>66</v>
      </c>
      <c r="E16" s="2" t="s">
        <v>20</v>
      </c>
      <c r="F16" s="2">
        <v>2017</v>
      </c>
      <c r="G16" s="2">
        <v>2021</v>
      </c>
      <c r="H16" s="2">
        <f>'mpi_dataset_summary_2017-2024'!$G16-'mpi_dataset_summary_2017-2024'!$F16+1</f>
        <v>5</v>
      </c>
      <c r="I16" s="2" t="s">
        <v>2113</v>
      </c>
      <c r="J16" s="2" t="s">
        <v>2111</v>
      </c>
      <c r="K16" s="2">
        <f>IF('mpi_dataset_summary_2017-2024'!$G16=2024,1,0)</f>
        <v>0</v>
      </c>
      <c r="L16" s="2">
        <f t="shared" si="0"/>
        <v>0</v>
      </c>
      <c r="M16" s="2">
        <v>8000</v>
      </c>
      <c r="N16" s="2">
        <f t="shared" si="1"/>
        <v>0.96899999999999997</v>
      </c>
      <c r="O16" s="2">
        <v>57.2628007181711</v>
      </c>
      <c r="P16" s="2">
        <v>-112.640075683593</v>
      </c>
      <c r="Q16" s="2" t="s">
        <v>2108</v>
      </c>
      <c r="R16" s="3" t="s">
        <v>39</v>
      </c>
      <c r="S16" s="2" t="s">
        <v>22</v>
      </c>
      <c r="T16" s="2" t="s">
        <v>40</v>
      </c>
    </row>
    <row r="17" spans="1:20" x14ac:dyDescent="0.2">
      <c r="A17" s="2">
        <v>55</v>
      </c>
      <c r="B17" s="2" t="s">
        <v>100</v>
      </c>
      <c r="C17" s="2" t="s">
        <v>101</v>
      </c>
      <c r="D17" s="2" t="s">
        <v>83</v>
      </c>
      <c r="E17" s="2" t="s">
        <v>20</v>
      </c>
      <c r="F17" s="2">
        <v>2017</v>
      </c>
      <c r="G17" s="2">
        <v>2017</v>
      </c>
      <c r="H17" s="2">
        <f>'mpi_dataset_summary_2017-2024'!$G17-'mpi_dataset_summary_2017-2024'!$F17+1</f>
        <v>1</v>
      </c>
      <c r="I17" s="2" t="s">
        <v>2111</v>
      </c>
      <c r="J17" s="2" t="s">
        <v>2111</v>
      </c>
      <c r="K17" s="2">
        <f>IF('mpi_dataset_summary_2017-2024'!$G17=2024,1,0)</f>
        <v>0</v>
      </c>
      <c r="L17" s="2">
        <f t="shared" si="0"/>
        <v>0</v>
      </c>
      <c r="M17" s="2">
        <v>1127</v>
      </c>
      <c r="N17" s="2">
        <f t="shared" si="1"/>
        <v>0.82499999999999996</v>
      </c>
      <c r="O17" s="2">
        <v>54.563304000000002</v>
      </c>
      <c r="P17" s="2">
        <v>-60.052643000000003</v>
      </c>
      <c r="Q17" s="2" t="s">
        <v>2107</v>
      </c>
      <c r="R17" s="3" t="s">
        <v>41</v>
      </c>
      <c r="S17" s="2" t="s">
        <v>22</v>
      </c>
      <c r="T17" s="2" t="s">
        <v>42</v>
      </c>
    </row>
    <row r="18" spans="1:20" x14ac:dyDescent="0.2">
      <c r="A18" s="2">
        <v>57</v>
      </c>
      <c r="B18" s="2" t="s">
        <v>102</v>
      </c>
      <c r="C18" s="2" t="s">
        <v>103</v>
      </c>
      <c r="D18" s="2" t="s">
        <v>69</v>
      </c>
      <c r="E18" s="2" t="s">
        <v>20</v>
      </c>
      <c r="F18" s="2">
        <v>2017</v>
      </c>
      <c r="G18" s="2">
        <v>2017</v>
      </c>
      <c r="H18" s="2">
        <f>'mpi_dataset_summary_2017-2024'!$G18-'mpi_dataset_summary_2017-2024'!$F18+1</f>
        <v>1</v>
      </c>
      <c r="I18" s="2" t="s">
        <v>2110</v>
      </c>
      <c r="J18" s="2" t="s">
        <v>2110</v>
      </c>
      <c r="K18" s="2">
        <f>IF('mpi_dataset_summary_2017-2024'!$G18=2024,1,0)</f>
        <v>0</v>
      </c>
      <c r="L18" s="2">
        <f t="shared" si="0"/>
        <v>1</v>
      </c>
      <c r="M18" s="2">
        <v>1213</v>
      </c>
      <c r="N18" s="2">
        <f t="shared" si="1"/>
        <v>0.83799999999999997</v>
      </c>
      <c r="O18" s="2">
        <v>55.421999999999997</v>
      </c>
      <c r="P18" s="2">
        <v>-129.42099999999999</v>
      </c>
      <c r="Q18" s="2" t="s">
        <v>2107</v>
      </c>
      <c r="R18" s="3" t="s">
        <v>33</v>
      </c>
      <c r="S18" s="2" t="s">
        <v>25</v>
      </c>
      <c r="T18" s="2" t="s">
        <v>34</v>
      </c>
    </row>
    <row r="19" spans="1:20" x14ac:dyDescent="0.2">
      <c r="A19" s="2">
        <v>67</v>
      </c>
      <c r="B19" s="2" t="s">
        <v>104</v>
      </c>
      <c r="C19" s="2" t="s">
        <v>105</v>
      </c>
      <c r="D19" s="2" t="s">
        <v>69</v>
      </c>
      <c r="E19" s="2" t="s">
        <v>43</v>
      </c>
      <c r="F19" s="2">
        <v>2017</v>
      </c>
      <c r="G19" s="2">
        <v>2024</v>
      </c>
      <c r="H19" s="2">
        <f>'mpi_dataset_summary_2017-2024'!$G19-'mpi_dataset_summary_2017-2024'!$F19+1</f>
        <v>8</v>
      </c>
      <c r="I19" s="2" t="s">
        <v>2110</v>
      </c>
      <c r="J19" s="2" t="s">
        <v>2110</v>
      </c>
      <c r="K19" s="2">
        <f>IF('mpi_dataset_summary_2017-2024'!$G19=2024,1,0)</f>
        <v>1</v>
      </c>
      <c r="L19" s="2">
        <f t="shared" si="0"/>
        <v>1</v>
      </c>
      <c r="M19" s="2">
        <v>16000</v>
      </c>
      <c r="N19" s="2">
        <f t="shared" si="1"/>
        <v>0.98899999999999999</v>
      </c>
      <c r="O19" s="2">
        <v>56.250788999999997</v>
      </c>
      <c r="P19" s="2">
        <v>-120.848293</v>
      </c>
      <c r="Q19" s="2" t="s">
        <v>2108</v>
      </c>
      <c r="R19" s="3" t="s">
        <v>24</v>
      </c>
      <c r="S19" s="2" t="s">
        <v>25</v>
      </c>
      <c r="T19" s="2" t="s">
        <v>26</v>
      </c>
    </row>
    <row r="20" spans="1:20" x14ac:dyDescent="0.2">
      <c r="A20" s="2">
        <v>68</v>
      </c>
      <c r="B20" s="2" t="s">
        <v>104</v>
      </c>
      <c r="C20" s="2" t="s">
        <v>106</v>
      </c>
      <c r="D20" s="2" t="s">
        <v>69</v>
      </c>
      <c r="E20" s="2" t="s">
        <v>43</v>
      </c>
      <c r="F20" s="2">
        <v>2017</v>
      </c>
      <c r="G20" s="2">
        <v>2019</v>
      </c>
      <c r="H20" s="2">
        <f>'mpi_dataset_summary_2017-2024'!$G20-'mpi_dataset_summary_2017-2024'!$F20+1</f>
        <v>3</v>
      </c>
      <c r="I20" s="2" t="s">
        <v>2110</v>
      </c>
      <c r="J20" s="2" t="s">
        <v>2110</v>
      </c>
      <c r="K20" s="2">
        <f>IF('mpi_dataset_summary_2017-2024'!$G20=2024,1,0)</f>
        <v>0</v>
      </c>
      <c r="L20" s="2">
        <f t="shared" si="0"/>
        <v>1</v>
      </c>
      <c r="M20" s="2">
        <v>1093</v>
      </c>
      <c r="N20" s="2">
        <f t="shared" si="1"/>
        <v>0.82099999999999995</v>
      </c>
      <c r="O20" s="2">
        <v>50.046998000000002</v>
      </c>
      <c r="P20" s="2">
        <v>-125.273781</v>
      </c>
      <c r="Q20" s="2" t="s">
        <v>2108</v>
      </c>
      <c r="R20" s="3" t="s">
        <v>24</v>
      </c>
      <c r="S20" s="2" t="s">
        <v>25</v>
      </c>
      <c r="T20" s="2" t="s">
        <v>26</v>
      </c>
    </row>
    <row r="21" spans="1:20" x14ac:dyDescent="0.2">
      <c r="A21" s="2">
        <v>69</v>
      </c>
      <c r="B21" s="2" t="s">
        <v>104</v>
      </c>
      <c r="C21" s="2" t="s">
        <v>107</v>
      </c>
      <c r="D21" s="2" t="s">
        <v>69</v>
      </c>
      <c r="E21" s="2" t="s">
        <v>43</v>
      </c>
      <c r="F21" s="2">
        <v>2017</v>
      </c>
      <c r="G21" s="2">
        <v>2018</v>
      </c>
      <c r="H21" s="2">
        <f>'mpi_dataset_summary_2017-2024'!$G21-'mpi_dataset_summary_2017-2024'!$F21+1</f>
        <v>2</v>
      </c>
      <c r="I21" s="2" t="s">
        <v>2110</v>
      </c>
      <c r="J21" s="2" t="s">
        <v>2110</v>
      </c>
      <c r="K21" s="2">
        <f>IF('mpi_dataset_summary_2017-2024'!$G21=2024,1,0)</f>
        <v>0</v>
      </c>
      <c r="L21" s="2">
        <f t="shared" si="0"/>
        <v>1</v>
      </c>
      <c r="M21" s="2">
        <v>748</v>
      </c>
      <c r="N21" s="2">
        <f t="shared" si="1"/>
        <v>0.75700000000000001</v>
      </c>
      <c r="O21" s="2">
        <v>49.200887000000002</v>
      </c>
      <c r="P21" s="2">
        <v>-122.41984600000001</v>
      </c>
      <c r="Q21" s="2" t="s">
        <v>2108</v>
      </c>
      <c r="R21" s="3" t="s">
        <v>24</v>
      </c>
      <c r="S21" s="2" t="s">
        <v>25</v>
      </c>
      <c r="T21" s="2" t="s">
        <v>26</v>
      </c>
    </row>
    <row r="22" spans="1:20" x14ac:dyDescent="0.2">
      <c r="A22" s="2">
        <v>73</v>
      </c>
      <c r="B22" s="2" t="s">
        <v>108</v>
      </c>
      <c r="C22" s="2" t="s">
        <v>109</v>
      </c>
      <c r="D22" s="2" t="s">
        <v>110</v>
      </c>
      <c r="E22" s="2" t="s">
        <v>20</v>
      </c>
      <c r="F22" s="2">
        <v>2017</v>
      </c>
      <c r="G22" s="2">
        <v>2024</v>
      </c>
      <c r="H22" s="2">
        <f>'mpi_dataset_summary_2017-2024'!$G22-'mpi_dataset_summary_2017-2024'!$F22+1</f>
        <v>8</v>
      </c>
      <c r="I22" s="2" t="s">
        <v>2110</v>
      </c>
      <c r="J22" s="2" t="s">
        <v>2110</v>
      </c>
      <c r="K22" s="2">
        <f>IF('mpi_dataset_summary_2017-2024'!$G22=2024,1,0)</f>
        <v>1</v>
      </c>
      <c r="L22" s="2">
        <f t="shared" si="0"/>
        <v>1</v>
      </c>
      <c r="M22" s="2">
        <v>7500</v>
      </c>
      <c r="N22" s="2">
        <f t="shared" si="1"/>
        <v>0.96699999999999997</v>
      </c>
      <c r="O22" s="2">
        <v>51.85</v>
      </c>
      <c r="P22" s="2">
        <v>-104.69</v>
      </c>
      <c r="Q22" s="2" t="s">
        <v>2107</v>
      </c>
      <c r="R22" s="3" t="s">
        <v>41</v>
      </c>
      <c r="S22" s="2" t="s">
        <v>22</v>
      </c>
      <c r="T22" s="2" t="s">
        <v>42</v>
      </c>
    </row>
    <row r="23" spans="1:20" x14ac:dyDescent="0.2">
      <c r="A23" s="2">
        <v>75</v>
      </c>
      <c r="B23" s="2" t="s">
        <v>111</v>
      </c>
      <c r="C23" s="2" t="s">
        <v>112</v>
      </c>
      <c r="D23" s="2" t="s">
        <v>66</v>
      </c>
      <c r="E23" s="2" t="s">
        <v>20</v>
      </c>
      <c r="F23" s="2">
        <v>2017</v>
      </c>
      <c r="G23" s="2">
        <v>2024</v>
      </c>
      <c r="H23" s="2">
        <f>'mpi_dataset_summary_2017-2024'!$G23-'mpi_dataset_summary_2017-2024'!$F23+1</f>
        <v>8</v>
      </c>
      <c r="I23" s="2" t="s">
        <v>2112</v>
      </c>
      <c r="J23" s="2" t="s">
        <v>2110</v>
      </c>
      <c r="K23" s="2">
        <f>IF('mpi_dataset_summary_2017-2024'!$G23=2024,1,0)</f>
        <v>1</v>
      </c>
      <c r="L23" s="2">
        <f t="shared" si="0"/>
        <v>1</v>
      </c>
      <c r="M23" s="2">
        <v>2927</v>
      </c>
      <c r="N23" s="2">
        <f t="shared" si="1"/>
        <v>0.92</v>
      </c>
      <c r="O23" s="2">
        <v>55.611711</v>
      </c>
      <c r="P23" s="2">
        <v>-112.611923</v>
      </c>
      <c r="Q23" s="2" t="s">
        <v>2108</v>
      </c>
      <c r="R23" s="3" t="s">
        <v>39</v>
      </c>
      <c r="S23" s="2" t="s">
        <v>22</v>
      </c>
      <c r="T23" s="2" t="s">
        <v>40</v>
      </c>
    </row>
    <row r="24" spans="1:20" x14ac:dyDescent="0.2">
      <c r="A24" s="2">
        <v>76</v>
      </c>
      <c r="B24" s="2" t="s">
        <v>113</v>
      </c>
      <c r="C24" s="2" t="s">
        <v>114</v>
      </c>
      <c r="D24" s="2" t="s">
        <v>69</v>
      </c>
      <c r="E24" s="2" t="s">
        <v>20</v>
      </c>
      <c r="F24" s="2">
        <v>2017</v>
      </c>
      <c r="G24" s="2">
        <v>2024</v>
      </c>
      <c r="H24" s="2">
        <f>'mpi_dataset_summary_2017-2024'!$G24-'mpi_dataset_summary_2017-2024'!$F24+1</f>
        <v>8</v>
      </c>
      <c r="I24" s="2" t="s">
        <v>2111</v>
      </c>
      <c r="J24" s="2" t="s">
        <v>2111</v>
      </c>
      <c r="K24" s="2">
        <f>IF('mpi_dataset_summary_2017-2024'!$G24=2024,1,0)</f>
        <v>1</v>
      </c>
      <c r="L24" s="2">
        <f t="shared" si="0"/>
        <v>0</v>
      </c>
      <c r="M24" s="2">
        <v>2500</v>
      </c>
      <c r="N24" s="2">
        <f t="shared" si="1"/>
        <v>0.91300000000000003</v>
      </c>
      <c r="O24" s="2">
        <v>55.698146999999999</v>
      </c>
      <c r="P24" s="2">
        <v>-121.629689</v>
      </c>
      <c r="Q24" s="2" t="s">
        <v>2108</v>
      </c>
      <c r="R24" s="3" t="s">
        <v>44</v>
      </c>
      <c r="S24" s="2" t="s">
        <v>25</v>
      </c>
      <c r="T24" s="2" t="s">
        <v>45</v>
      </c>
    </row>
    <row r="25" spans="1:20" x14ac:dyDescent="0.2">
      <c r="A25" s="2">
        <v>83</v>
      </c>
      <c r="B25" s="2" t="s">
        <v>115</v>
      </c>
      <c r="C25" s="2" t="s">
        <v>116</v>
      </c>
      <c r="D25" s="2" t="s">
        <v>69</v>
      </c>
      <c r="E25" s="2" t="s">
        <v>20</v>
      </c>
      <c r="F25" s="2">
        <v>2020</v>
      </c>
      <c r="G25" s="2">
        <v>2024</v>
      </c>
      <c r="H25" s="2">
        <f>'mpi_dataset_summary_2017-2024'!$G25-'mpi_dataset_summary_2017-2024'!$F25+1</f>
        <v>5</v>
      </c>
      <c r="I25" s="2" t="s">
        <v>2110</v>
      </c>
      <c r="J25" s="2" t="s">
        <v>2110</v>
      </c>
      <c r="K25" s="2">
        <f>IF('mpi_dataset_summary_2017-2024'!$G25=2024,1,0)</f>
        <v>1</v>
      </c>
      <c r="L25" s="2">
        <f t="shared" si="0"/>
        <v>1</v>
      </c>
      <c r="M25" s="2">
        <v>100</v>
      </c>
      <c r="N25" s="2">
        <f t="shared" si="1"/>
        <v>0.34300000000000003</v>
      </c>
      <c r="O25" s="2">
        <v>50.927275999999999</v>
      </c>
      <c r="P25" s="2">
        <v>-122.849121</v>
      </c>
      <c r="Q25" s="2" t="s">
        <v>2107</v>
      </c>
      <c r="R25" s="3" t="s">
        <v>29</v>
      </c>
      <c r="S25" s="2" t="s">
        <v>22</v>
      </c>
      <c r="T25" s="2" t="s">
        <v>30</v>
      </c>
    </row>
    <row r="26" spans="1:20" x14ac:dyDescent="0.2">
      <c r="A26" s="2">
        <v>88</v>
      </c>
      <c r="B26" s="2" t="s">
        <v>117</v>
      </c>
      <c r="C26" s="2" t="s">
        <v>118</v>
      </c>
      <c r="D26" s="2" t="s">
        <v>69</v>
      </c>
      <c r="E26" s="2" t="s">
        <v>20</v>
      </c>
      <c r="F26" s="2">
        <v>2019</v>
      </c>
      <c r="G26" s="2">
        <v>2024</v>
      </c>
      <c r="H26" s="2">
        <f>'mpi_dataset_summary_2017-2024'!$G26-'mpi_dataset_summary_2017-2024'!$F26+1</f>
        <v>6</v>
      </c>
      <c r="I26" s="2" t="s">
        <v>2112</v>
      </c>
      <c r="J26" s="2" t="s">
        <v>2112</v>
      </c>
      <c r="K26" s="2">
        <f>IF('mpi_dataset_summary_2017-2024'!$G26=2024,1,0)</f>
        <v>1</v>
      </c>
      <c r="L26" s="2">
        <f t="shared" si="0"/>
        <v>0</v>
      </c>
      <c r="M26" s="2">
        <v>1360</v>
      </c>
      <c r="N26" s="2">
        <f t="shared" si="1"/>
        <v>0.85299999999999998</v>
      </c>
      <c r="O26" s="2">
        <v>55.875300000000003</v>
      </c>
      <c r="P26" s="2">
        <v>-121.9153</v>
      </c>
      <c r="Q26" s="2" t="s">
        <v>2107</v>
      </c>
      <c r="R26" s="3" t="s">
        <v>21</v>
      </c>
      <c r="S26" s="2" t="s">
        <v>22</v>
      </c>
      <c r="T26" s="2" t="s">
        <v>23</v>
      </c>
    </row>
    <row r="27" spans="1:20" x14ac:dyDescent="0.2">
      <c r="A27" s="2">
        <v>89</v>
      </c>
      <c r="B27" s="2" t="s">
        <v>119</v>
      </c>
      <c r="C27" s="2" t="s">
        <v>120</v>
      </c>
      <c r="D27" s="2" t="s">
        <v>66</v>
      </c>
      <c r="E27" s="2" t="s">
        <v>20</v>
      </c>
      <c r="F27" s="2">
        <v>2017</v>
      </c>
      <c r="G27" s="2">
        <v>2024</v>
      </c>
      <c r="H27" s="2">
        <f>'mpi_dataset_summary_2017-2024'!$G27-'mpi_dataset_summary_2017-2024'!$F27+1</f>
        <v>8</v>
      </c>
      <c r="I27" s="2" t="s">
        <v>2112</v>
      </c>
      <c r="J27" s="2" t="s">
        <v>2112</v>
      </c>
      <c r="K27" s="2">
        <f>IF('mpi_dataset_summary_2017-2024'!$G27=2024,1,0)</f>
        <v>1</v>
      </c>
      <c r="L27" s="2">
        <f t="shared" si="0"/>
        <v>0</v>
      </c>
      <c r="M27" s="2">
        <v>1530</v>
      </c>
      <c r="N27" s="2">
        <f t="shared" si="1"/>
        <v>0.86899999999999999</v>
      </c>
      <c r="O27" s="2">
        <v>55.4662918</v>
      </c>
      <c r="P27" s="2">
        <v>-111.75576649999999</v>
      </c>
      <c r="Q27" s="2" t="s">
        <v>2108</v>
      </c>
      <c r="R27" s="3" t="s">
        <v>39</v>
      </c>
      <c r="S27" s="2" t="s">
        <v>22</v>
      </c>
      <c r="T27" s="2" t="s">
        <v>40</v>
      </c>
    </row>
    <row r="28" spans="1:20" x14ac:dyDescent="0.2">
      <c r="A28" s="2">
        <v>90</v>
      </c>
      <c r="B28" s="2" t="s">
        <v>121</v>
      </c>
      <c r="C28" s="2" t="s">
        <v>122</v>
      </c>
      <c r="D28" s="2" t="s">
        <v>66</v>
      </c>
      <c r="E28" s="2" t="s">
        <v>20</v>
      </c>
      <c r="F28" s="2">
        <v>2017</v>
      </c>
      <c r="G28" s="2">
        <v>2023</v>
      </c>
      <c r="H28" s="2">
        <f>'mpi_dataset_summary_2017-2024'!$G28-'mpi_dataset_summary_2017-2024'!$F28+1</f>
        <v>7</v>
      </c>
      <c r="I28" s="2" t="s">
        <v>2110</v>
      </c>
      <c r="J28" s="2" t="s">
        <v>2113</v>
      </c>
      <c r="K28" s="2">
        <f>IF('mpi_dataset_summary_2017-2024'!$G28=2024,1,0)</f>
        <v>0</v>
      </c>
      <c r="L28" s="2">
        <f t="shared" si="0"/>
        <v>0</v>
      </c>
      <c r="M28" s="2">
        <v>6000</v>
      </c>
      <c r="N28" s="2">
        <f t="shared" si="1"/>
        <v>0.95799999999999996</v>
      </c>
      <c r="O28" s="2">
        <v>57.336760001588203</v>
      </c>
      <c r="P28" s="2">
        <v>-111.765546798706</v>
      </c>
      <c r="Q28" s="2" t="s">
        <v>2108</v>
      </c>
      <c r="R28" s="3" t="s">
        <v>39</v>
      </c>
      <c r="S28" s="2" t="s">
        <v>22</v>
      </c>
      <c r="T28" s="2" t="s">
        <v>40</v>
      </c>
    </row>
    <row r="29" spans="1:20" x14ac:dyDescent="0.2">
      <c r="A29" s="2">
        <v>91</v>
      </c>
      <c r="B29" s="2" t="s">
        <v>121</v>
      </c>
      <c r="C29" s="2" t="s">
        <v>123</v>
      </c>
      <c r="D29" s="2" t="s">
        <v>66</v>
      </c>
      <c r="E29" s="2" t="s">
        <v>20</v>
      </c>
      <c r="F29" s="2">
        <v>2017</v>
      </c>
      <c r="G29" s="2">
        <v>2019</v>
      </c>
      <c r="H29" s="2">
        <f>'mpi_dataset_summary_2017-2024'!$G29-'mpi_dataset_summary_2017-2024'!$F29+1</f>
        <v>3</v>
      </c>
      <c r="I29" s="2" t="s">
        <v>2113</v>
      </c>
      <c r="J29" s="2" t="s">
        <v>2113</v>
      </c>
      <c r="K29" s="2">
        <f>IF('mpi_dataset_summary_2017-2024'!$G29=2024,1,0)</f>
        <v>0</v>
      </c>
      <c r="L29" s="2">
        <f t="shared" si="0"/>
        <v>0</v>
      </c>
      <c r="M29" s="2">
        <v>3300</v>
      </c>
      <c r="N29" s="2">
        <f t="shared" si="1"/>
        <v>0.92500000000000004</v>
      </c>
      <c r="O29" s="2">
        <v>55.347889000000002</v>
      </c>
      <c r="P29" s="2">
        <v>-111.038132</v>
      </c>
      <c r="Q29" s="2" t="s">
        <v>2108</v>
      </c>
      <c r="R29" s="3" t="s">
        <v>39</v>
      </c>
      <c r="S29" s="2" t="s">
        <v>22</v>
      </c>
      <c r="T29" s="2" t="s">
        <v>40</v>
      </c>
    </row>
    <row r="30" spans="1:20" x14ac:dyDescent="0.2">
      <c r="A30" s="2">
        <v>92</v>
      </c>
      <c r="B30" s="2" t="s">
        <v>124</v>
      </c>
      <c r="C30" s="2" t="s">
        <v>125</v>
      </c>
      <c r="D30" s="2" t="s">
        <v>126</v>
      </c>
      <c r="E30" s="2" t="s">
        <v>20</v>
      </c>
      <c r="F30" s="2">
        <v>2017</v>
      </c>
      <c r="G30" s="2">
        <v>2024</v>
      </c>
      <c r="H30" s="2">
        <f>'mpi_dataset_summary_2017-2024'!$G30-'mpi_dataset_summary_2017-2024'!$F30+1</f>
        <v>8</v>
      </c>
      <c r="I30" s="2" t="s">
        <v>2112</v>
      </c>
      <c r="J30" s="2" t="s">
        <v>2113</v>
      </c>
      <c r="K30" s="2">
        <f>IF('mpi_dataset_summary_2017-2024'!$G30=2024,1,0)</f>
        <v>1</v>
      </c>
      <c r="L30" s="2">
        <f t="shared" si="0"/>
        <v>0</v>
      </c>
      <c r="M30" s="2">
        <v>474</v>
      </c>
      <c r="N30" s="2">
        <f t="shared" si="1"/>
        <v>0.66800000000000004</v>
      </c>
      <c r="O30" s="2">
        <v>61.56</v>
      </c>
      <c r="P30" s="2">
        <v>-124.794</v>
      </c>
      <c r="Q30" s="2" t="s">
        <v>2107</v>
      </c>
      <c r="R30" s="3" t="s">
        <v>33</v>
      </c>
      <c r="S30" s="2" t="s">
        <v>25</v>
      </c>
      <c r="T30" s="2" t="s">
        <v>34</v>
      </c>
    </row>
    <row r="31" spans="1:20" x14ac:dyDescent="0.2">
      <c r="A31" s="2">
        <v>94</v>
      </c>
      <c r="B31" s="2" t="s">
        <v>127</v>
      </c>
      <c r="C31" s="2" t="s">
        <v>128</v>
      </c>
      <c r="D31" s="2" t="s">
        <v>69</v>
      </c>
      <c r="E31" s="2" t="s">
        <v>20</v>
      </c>
      <c r="F31" s="2">
        <v>2020</v>
      </c>
      <c r="G31" s="2">
        <v>2024</v>
      </c>
      <c r="H31" s="2">
        <f>'mpi_dataset_summary_2017-2024'!$G31-'mpi_dataset_summary_2017-2024'!$F31+1</f>
        <v>5</v>
      </c>
      <c r="I31" s="2" t="s">
        <v>2112</v>
      </c>
      <c r="J31" s="2" t="s">
        <v>2112</v>
      </c>
      <c r="K31" s="2">
        <f>IF('mpi_dataset_summary_2017-2024'!$G31=2024,1,0)</f>
        <v>1</v>
      </c>
      <c r="L31" s="2">
        <f t="shared" si="0"/>
        <v>0</v>
      </c>
      <c r="M31" s="2">
        <v>143.69999999999999</v>
      </c>
      <c r="N31" s="2">
        <f t="shared" si="1"/>
        <v>0.434</v>
      </c>
      <c r="O31" s="2">
        <v>58.701000000000001</v>
      </c>
      <c r="P31" s="2">
        <v>-133.63999999999999</v>
      </c>
      <c r="Q31" s="2" t="s">
        <v>2107</v>
      </c>
      <c r="R31" s="3" t="s">
        <v>41</v>
      </c>
      <c r="S31" s="2" t="s">
        <v>22</v>
      </c>
      <c r="T31" s="2" t="s">
        <v>42</v>
      </c>
    </row>
    <row r="32" spans="1:20" x14ac:dyDescent="0.2">
      <c r="A32" s="2">
        <v>96</v>
      </c>
      <c r="B32" s="2" t="s">
        <v>129</v>
      </c>
      <c r="C32" s="2" t="s">
        <v>130</v>
      </c>
      <c r="D32" s="2" t="s">
        <v>69</v>
      </c>
      <c r="E32" s="2" t="s">
        <v>20</v>
      </c>
      <c r="F32" s="2">
        <v>2017</v>
      </c>
      <c r="G32" s="2">
        <v>2017</v>
      </c>
      <c r="H32" s="2">
        <f>'mpi_dataset_summary_2017-2024'!$G32-'mpi_dataset_summary_2017-2024'!$F32+1</f>
        <v>1</v>
      </c>
      <c r="I32" s="2" t="s">
        <v>2110</v>
      </c>
      <c r="J32" s="2" t="s">
        <v>2110</v>
      </c>
      <c r="K32" s="2">
        <f>IF('mpi_dataset_summary_2017-2024'!$G32=2024,1,0)</f>
        <v>0</v>
      </c>
      <c r="L32" s="2">
        <f t="shared" si="0"/>
        <v>1</v>
      </c>
      <c r="M32" s="2">
        <v>775</v>
      </c>
      <c r="N32" s="2">
        <f t="shared" si="1"/>
        <v>0.77</v>
      </c>
      <c r="O32" s="2">
        <v>54.334142999999997</v>
      </c>
      <c r="P32" s="2">
        <v>-130.32257100000001</v>
      </c>
      <c r="Q32" s="2" t="s">
        <v>2107</v>
      </c>
      <c r="R32" s="3" t="s">
        <v>41</v>
      </c>
      <c r="S32" s="2" t="s">
        <v>22</v>
      </c>
      <c r="T32" s="2" t="s">
        <v>42</v>
      </c>
    </row>
    <row r="33" spans="1:20" x14ac:dyDescent="0.2">
      <c r="A33" s="2">
        <v>98</v>
      </c>
      <c r="B33" s="2" t="s">
        <v>131</v>
      </c>
      <c r="C33" s="2" t="s">
        <v>132</v>
      </c>
      <c r="D33" s="2" t="s">
        <v>69</v>
      </c>
      <c r="E33" s="2" t="s">
        <v>20</v>
      </c>
      <c r="F33" s="2">
        <v>2018</v>
      </c>
      <c r="G33" s="2">
        <v>2024</v>
      </c>
      <c r="H33" s="2">
        <f>'mpi_dataset_summary_2017-2024'!$G33-'mpi_dataset_summary_2017-2024'!$F33+1</f>
        <v>7</v>
      </c>
      <c r="I33" s="2" t="s">
        <v>2111</v>
      </c>
      <c r="J33" s="2" t="s">
        <v>2112</v>
      </c>
      <c r="K33" s="2">
        <f>IF('mpi_dataset_summary_2017-2024'!$G33=2024,1,0)</f>
        <v>1</v>
      </c>
      <c r="L33" s="2">
        <f t="shared" si="0"/>
        <v>0</v>
      </c>
      <c r="M33" s="2">
        <v>483</v>
      </c>
      <c r="N33" s="2">
        <f t="shared" si="1"/>
        <v>0.67500000000000004</v>
      </c>
      <c r="O33" s="2">
        <v>58.204999999999998</v>
      </c>
      <c r="P33" s="2">
        <v>-128.358</v>
      </c>
      <c r="Q33" s="2" t="s">
        <v>2107</v>
      </c>
      <c r="R33" s="3" t="s">
        <v>33</v>
      </c>
      <c r="S33" s="2" t="s">
        <v>25</v>
      </c>
      <c r="T33" s="2" t="s">
        <v>34</v>
      </c>
    </row>
    <row r="34" spans="1:20" x14ac:dyDescent="0.2">
      <c r="A34" s="2">
        <v>100</v>
      </c>
      <c r="B34" s="2" t="s">
        <v>133</v>
      </c>
      <c r="C34" s="2" t="s">
        <v>134</v>
      </c>
      <c r="D34" s="2" t="s">
        <v>86</v>
      </c>
      <c r="E34" s="2" t="s">
        <v>20</v>
      </c>
      <c r="F34" s="2">
        <v>2018</v>
      </c>
      <c r="G34" s="2">
        <v>2024</v>
      </c>
      <c r="H34" s="2">
        <f>'mpi_dataset_summary_2017-2024'!$G34-'mpi_dataset_summary_2017-2024'!$F34+1</f>
        <v>7</v>
      </c>
      <c r="I34" s="2" t="s">
        <v>2111</v>
      </c>
      <c r="J34" s="2" t="s">
        <v>2112</v>
      </c>
      <c r="K34" s="2">
        <f>IF('mpi_dataset_summary_2017-2024'!$G34=2024,1,0)</f>
        <v>1</v>
      </c>
      <c r="L34" s="2">
        <f t="shared" si="0"/>
        <v>0</v>
      </c>
      <c r="M34" s="2">
        <v>434.33</v>
      </c>
      <c r="N34" s="2">
        <f t="shared" si="1"/>
        <v>0.65200000000000002</v>
      </c>
      <c r="O34" s="2">
        <v>56.79</v>
      </c>
      <c r="P34" s="2">
        <v>-100.82</v>
      </c>
      <c r="Q34" s="2" t="s">
        <v>2107</v>
      </c>
      <c r="R34" s="3" t="s">
        <v>29</v>
      </c>
      <c r="S34" s="2" t="s">
        <v>22</v>
      </c>
      <c r="T34" s="2" t="s">
        <v>30</v>
      </c>
    </row>
    <row r="35" spans="1:20" x14ac:dyDescent="0.2">
      <c r="A35" s="2">
        <v>103</v>
      </c>
      <c r="B35" s="2" t="s">
        <v>135</v>
      </c>
      <c r="C35" s="2" t="s">
        <v>136</v>
      </c>
      <c r="D35" s="2" t="s">
        <v>66</v>
      </c>
      <c r="E35" s="2" t="s">
        <v>20</v>
      </c>
      <c r="F35" s="2">
        <v>2017</v>
      </c>
      <c r="G35" s="2">
        <v>2018</v>
      </c>
      <c r="H35" s="2">
        <f>'mpi_dataset_summary_2017-2024'!$G35-'mpi_dataset_summary_2017-2024'!$F35+1</f>
        <v>2</v>
      </c>
      <c r="I35" s="2" t="s">
        <v>2113</v>
      </c>
      <c r="J35" s="2" t="s">
        <v>2113</v>
      </c>
      <c r="K35" s="2">
        <f>IF('mpi_dataset_summary_2017-2024'!$G35=2024,1,0)</f>
        <v>0</v>
      </c>
      <c r="L35" s="2">
        <f t="shared" si="0"/>
        <v>0</v>
      </c>
      <c r="M35" s="2">
        <v>6000</v>
      </c>
      <c r="N35" s="2">
        <f t="shared" si="1"/>
        <v>0.95799999999999996</v>
      </c>
      <c r="O35" s="2">
        <v>56.135156100000003</v>
      </c>
      <c r="P35" s="2">
        <v>-113.38914010000001</v>
      </c>
      <c r="Q35" s="2" t="s">
        <v>2108</v>
      </c>
      <c r="R35" s="3" t="s">
        <v>39</v>
      </c>
      <c r="S35" s="2" t="s">
        <v>22</v>
      </c>
      <c r="T35" s="2" t="s">
        <v>40</v>
      </c>
    </row>
    <row r="36" spans="1:20" x14ac:dyDescent="0.2">
      <c r="A36" s="2">
        <v>106</v>
      </c>
      <c r="B36" s="2" t="s">
        <v>137</v>
      </c>
      <c r="C36" s="2" t="s">
        <v>138</v>
      </c>
      <c r="D36" s="2" t="s">
        <v>66</v>
      </c>
      <c r="E36" s="2" t="s">
        <v>20</v>
      </c>
      <c r="F36" s="2">
        <v>2023</v>
      </c>
      <c r="G36" s="2">
        <v>2023</v>
      </c>
      <c r="H36" s="2">
        <f>'mpi_dataset_summary_2017-2024'!$G36-'mpi_dataset_summary_2017-2024'!$F36+1</f>
        <v>1</v>
      </c>
      <c r="I36" s="2" t="s">
        <v>2113</v>
      </c>
      <c r="J36" s="2" t="s">
        <v>2113</v>
      </c>
      <c r="K36" s="2">
        <f>IF('mpi_dataset_summary_2017-2024'!$G36=2024,1,0)</f>
        <v>0</v>
      </c>
      <c r="L36" s="2">
        <f t="shared" si="0"/>
        <v>0</v>
      </c>
      <c r="M36" s="2">
        <v>1140</v>
      </c>
      <c r="N36" s="2">
        <f t="shared" si="1"/>
        <v>0.82599999999999996</v>
      </c>
      <c r="O36" s="2">
        <v>55.069600000000001</v>
      </c>
      <c r="P36" s="2">
        <v>-110.5361</v>
      </c>
      <c r="Q36" s="2" t="s">
        <v>2108</v>
      </c>
      <c r="R36" s="3" t="s">
        <v>24</v>
      </c>
      <c r="S36" s="2" t="s">
        <v>25</v>
      </c>
      <c r="T36" s="2" t="s">
        <v>26</v>
      </c>
    </row>
    <row r="37" spans="1:20" x14ac:dyDescent="0.2">
      <c r="A37" s="2">
        <v>107</v>
      </c>
      <c r="B37" s="2" t="s">
        <v>135</v>
      </c>
      <c r="C37" s="2" t="s">
        <v>139</v>
      </c>
      <c r="D37" s="2" t="s">
        <v>66</v>
      </c>
      <c r="E37" s="2" t="s">
        <v>20</v>
      </c>
      <c r="F37" s="2">
        <v>2017</v>
      </c>
      <c r="G37" s="2">
        <v>2019</v>
      </c>
      <c r="H37" s="2">
        <f>'mpi_dataset_summary_2017-2024'!$G37-'mpi_dataset_summary_2017-2024'!$F37+1</f>
        <v>3</v>
      </c>
      <c r="I37" s="2" t="s">
        <v>2113</v>
      </c>
      <c r="J37" s="2" t="s">
        <v>2113</v>
      </c>
      <c r="K37" s="2">
        <f>IF('mpi_dataset_summary_2017-2024'!$G37=2024,1,0)</f>
        <v>0</v>
      </c>
      <c r="L37" s="2">
        <f t="shared" si="0"/>
        <v>0</v>
      </c>
      <c r="M37" s="2">
        <v>1600</v>
      </c>
      <c r="N37" s="2">
        <f t="shared" si="1"/>
        <v>0.873</v>
      </c>
      <c r="O37" s="2">
        <v>55.638986500000001</v>
      </c>
      <c r="P37" s="2">
        <v>-110.8468385</v>
      </c>
      <c r="Q37" s="2" t="s">
        <v>2108</v>
      </c>
      <c r="R37" s="3" t="s">
        <v>24</v>
      </c>
      <c r="S37" s="2" t="s">
        <v>25</v>
      </c>
      <c r="T37" s="2" t="s">
        <v>26</v>
      </c>
    </row>
    <row r="38" spans="1:20" x14ac:dyDescent="0.2">
      <c r="A38" s="2">
        <v>109</v>
      </c>
      <c r="B38" s="2" t="s">
        <v>140</v>
      </c>
      <c r="C38" s="2" t="s">
        <v>141</v>
      </c>
      <c r="D38" s="2" t="s">
        <v>83</v>
      </c>
      <c r="E38" s="2" t="s">
        <v>20</v>
      </c>
      <c r="F38" s="2">
        <v>2017</v>
      </c>
      <c r="G38" s="2">
        <v>2023</v>
      </c>
      <c r="H38" s="2">
        <f>'mpi_dataset_summary_2017-2024'!$G38-'mpi_dataset_summary_2017-2024'!$F38+1</f>
        <v>7</v>
      </c>
      <c r="I38" s="2" t="s">
        <v>2111</v>
      </c>
      <c r="J38" s="2" t="s">
        <v>2110</v>
      </c>
      <c r="K38" s="2">
        <f>IF('mpi_dataset_summary_2017-2024'!$G38=2024,1,0)</f>
        <v>0</v>
      </c>
      <c r="L38" s="2">
        <f t="shared" si="0"/>
        <v>1</v>
      </c>
      <c r="M38" s="2">
        <v>1341</v>
      </c>
      <c r="N38" s="2">
        <f t="shared" si="1"/>
        <v>0.85099999999999998</v>
      </c>
      <c r="O38" s="2">
        <v>46.965259000000003</v>
      </c>
      <c r="P38" s="2">
        <v>-48.738647</v>
      </c>
      <c r="Q38" s="2" t="s">
        <v>2108</v>
      </c>
      <c r="R38" s="3" t="s">
        <v>39</v>
      </c>
      <c r="S38" s="2" t="s">
        <v>22</v>
      </c>
      <c r="T38" s="2" t="s">
        <v>40</v>
      </c>
    </row>
    <row r="39" spans="1:20" x14ac:dyDescent="0.2">
      <c r="A39" s="2">
        <v>110</v>
      </c>
      <c r="B39" s="2" t="s">
        <v>142</v>
      </c>
      <c r="C39" s="2" t="s">
        <v>143</v>
      </c>
      <c r="D39" s="2" t="s">
        <v>69</v>
      </c>
      <c r="E39" s="2" t="s">
        <v>20</v>
      </c>
      <c r="F39" s="2">
        <v>2017</v>
      </c>
      <c r="G39" s="2">
        <v>2017</v>
      </c>
      <c r="H39" s="2">
        <f>'mpi_dataset_summary_2017-2024'!$G39-'mpi_dataset_summary_2017-2024'!$F39+1</f>
        <v>1</v>
      </c>
      <c r="I39" s="2" t="s">
        <v>2113</v>
      </c>
      <c r="J39" s="2" t="s">
        <v>2113</v>
      </c>
      <c r="K39" s="2">
        <f>IF('mpi_dataset_summary_2017-2024'!$G39=2024,1,0)</f>
        <v>0</v>
      </c>
      <c r="L39" s="2">
        <f t="shared" si="0"/>
        <v>0</v>
      </c>
      <c r="M39" s="2">
        <v>198</v>
      </c>
      <c r="N39" s="2">
        <f t="shared" si="1"/>
        <v>0.48799999999999999</v>
      </c>
      <c r="O39" s="2">
        <v>58.714041999999999</v>
      </c>
      <c r="P39" s="2">
        <v>-133.53881799999999</v>
      </c>
      <c r="Q39" s="2" t="s">
        <v>2107</v>
      </c>
      <c r="R39" s="3" t="s">
        <v>29</v>
      </c>
      <c r="S39" s="2" t="s">
        <v>22</v>
      </c>
      <c r="T39" s="2" t="s">
        <v>30</v>
      </c>
    </row>
    <row r="40" spans="1:20" x14ac:dyDescent="0.2">
      <c r="A40" s="2">
        <v>114</v>
      </c>
      <c r="B40" s="2" t="s">
        <v>144</v>
      </c>
      <c r="C40" s="2" t="s">
        <v>145</v>
      </c>
      <c r="D40" s="2" t="s">
        <v>69</v>
      </c>
      <c r="E40" s="2" t="s">
        <v>20</v>
      </c>
      <c r="F40" s="2">
        <v>2017</v>
      </c>
      <c r="G40" s="2">
        <v>2024</v>
      </c>
      <c r="H40" s="2">
        <f>'mpi_dataset_summary_2017-2024'!$G40-'mpi_dataset_summary_2017-2024'!$F40+1</f>
        <v>8</v>
      </c>
      <c r="I40" s="2" t="s">
        <v>2112</v>
      </c>
      <c r="J40" s="2" t="s">
        <v>2112</v>
      </c>
      <c r="K40" s="2">
        <f>IF('mpi_dataset_summary_2017-2024'!$G40=2024,1,0)</f>
        <v>1</v>
      </c>
      <c r="L40" s="2">
        <f t="shared" si="0"/>
        <v>0</v>
      </c>
      <c r="M40" s="2">
        <v>468</v>
      </c>
      <c r="N40" s="2">
        <f t="shared" si="1"/>
        <v>0.66600000000000004</v>
      </c>
      <c r="O40" s="2">
        <v>49.802</v>
      </c>
      <c r="P40" s="2">
        <v>-114.729</v>
      </c>
      <c r="Q40" s="2" t="s">
        <v>2107</v>
      </c>
      <c r="R40" s="3" t="s">
        <v>21</v>
      </c>
      <c r="S40" s="2" t="s">
        <v>22</v>
      </c>
      <c r="T40" s="2" t="s">
        <v>23</v>
      </c>
    </row>
    <row r="41" spans="1:20" x14ac:dyDescent="0.2">
      <c r="A41" s="2">
        <v>116</v>
      </c>
      <c r="B41" s="2" t="s">
        <v>146</v>
      </c>
      <c r="C41" s="2" t="s">
        <v>147</v>
      </c>
      <c r="D41" s="2" t="s">
        <v>69</v>
      </c>
      <c r="E41" s="2" t="s">
        <v>20</v>
      </c>
      <c r="F41" s="2">
        <v>2017</v>
      </c>
      <c r="G41" s="2">
        <v>2017</v>
      </c>
      <c r="H41" s="2">
        <f>'mpi_dataset_summary_2017-2024'!$G41-'mpi_dataset_summary_2017-2024'!$F41+1</f>
        <v>1</v>
      </c>
      <c r="I41" s="2" t="s">
        <v>2110</v>
      </c>
      <c r="J41" s="2" t="s">
        <v>2110</v>
      </c>
      <c r="K41" s="2">
        <f>IF('mpi_dataset_summary_2017-2024'!$G41=2024,1,0)</f>
        <v>0</v>
      </c>
      <c r="L41" s="2">
        <f t="shared" si="0"/>
        <v>1</v>
      </c>
      <c r="M41" s="2">
        <v>65</v>
      </c>
      <c r="N41" s="2">
        <f t="shared" si="1"/>
        <v>0.26400000000000001</v>
      </c>
      <c r="O41" s="2">
        <v>49.303075999999997</v>
      </c>
      <c r="P41" s="2">
        <v>-121.782618</v>
      </c>
      <c r="Q41" s="2" t="s">
        <v>2108</v>
      </c>
      <c r="R41" s="3" t="s">
        <v>24</v>
      </c>
      <c r="S41" s="2" t="s">
        <v>25</v>
      </c>
      <c r="T41" s="2" t="s">
        <v>26</v>
      </c>
    </row>
    <row r="42" spans="1:20" x14ac:dyDescent="0.2">
      <c r="A42" s="2">
        <v>126</v>
      </c>
      <c r="B42" s="2" t="s">
        <v>148</v>
      </c>
      <c r="C42" s="2" t="s">
        <v>149</v>
      </c>
      <c r="D42" s="2" t="s">
        <v>66</v>
      </c>
      <c r="E42" s="2" t="s">
        <v>20</v>
      </c>
      <c r="F42" s="2">
        <v>2017</v>
      </c>
      <c r="G42" s="2">
        <v>2024</v>
      </c>
      <c r="H42" s="2">
        <f>'mpi_dataset_summary_2017-2024'!$G42-'mpi_dataset_summary_2017-2024'!$F42+1</f>
        <v>8</v>
      </c>
      <c r="I42" s="2" t="s">
        <v>2113</v>
      </c>
      <c r="J42" s="2" t="s">
        <v>2113</v>
      </c>
      <c r="K42" s="2">
        <f>IF('mpi_dataset_summary_2017-2024'!$G42=2024,1,0)</f>
        <v>1</v>
      </c>
      <c r="L42" s="2">
        <f t="shared" si="0"/>
        <v>0</v>
      </c>
      <c r="M42" s="2">
        <v>600</v>
      </c>
      <c r="N42" s="2">
        <f t="shared" si="1"/>
        <v>0.71399999999999997</v>
      </c>
      <c r="O42" s="2">
        <v>56.113500000000002</v>
      </c>
      <c r="P42" s="2">
        <v>-111.8293</v>
      </c>
      <c r="Q42" s="2" t="s">
        <v>2108</v>
      </c>
      <c r="R42" s="3" t="s">
        <v>39</v>
      </c>
      <c r="S42" s="2" t="s">
        <v>22</v>
      </c>
      <c r="T42" s="2" t="s">
        <v>40</v>
      </c>
    </row>
    <row r="43" spans="1:20" x14ac:dyDescent="0.2">
      <c r="A43" s="2">
        <v>128</v>
      </c>
      <c r="B43" s="2" t="s">
        <v>150</v>
      </c>
      <c r="C43" s="2" t="s">
        <v>151</v>
      </c>
      <c r="D43" s="2" t="s">
        <v>69</v>
      </c>
      <c r="E43" s="2" t="s">
        <v>20</v>
      </c>
      <c r="F43" s="2">
        <v>2020</v>
      </c>
      <c r="G43" s="2">
        <v>2023</v>
      </c>
      <c r="H43" s="2">
        <f>'mpi_dataset_summary_2017-2024'!$G43-'mpi_dataset_summary_2017-2024'!$F43+1</f>
        <v>4</v>
      </c>
      <c r="I43" s="2" t="s">
        <v>2112</v>
      </c>
      <c r="J43" s="2" t="s">
        <v>2112</v>
      </c>
      <c r="K43" s="2">
        <f>IF('mpi_dataset_summary_2017-2024'!$G43=2024,1,0)</f>
        <v>0</v>
      </c>
      <c r="L43" s="2">
        <f t="shared" si="0"/>
        <v>0</v>
      </c>
      <c r="M43" s="2">
        <v>3396.4140000000002</v>
      </c>
      <c r="N43" s="2">
        <f t="shared" si="1"/>
        <v>0.93</v>
      </c>
      <c r="O43" s="2">
        <v>57.363999999999997</v>
      </c>
      <c r="P43" s="2">
        <v>-130.99299999999999</v>
      </c>
      <c r="Q43" s="2" t="s">
        <v>2107</v>
      </c>
      <c r="R43" s="3" t="s">
        <v>29</v>
      </c>
      <c r="S43" s="2" t="s">
        <v>22</v>
      </c>
      <c r="T43" s="2" t="s">
        <v>30</v>
      </c>
    </row>
    <row r="44" spans="1:20" x14ac:dyDescent="0.2">
      <c r="A44" s="2">
        <v>130</v>
      </c>
      <c r="B44" s="2" t="s">
        <v>152</v>
      </c>
      <c r="C44" s="2" t="s">
        <v>153</v>
      </c>
      <c r="D44" s="2" t="s">
        <v>89</v>
      </c>
      <c r="E44" s="2" t="s">
        <v>20</v>
      </c>
      <c r="F44" s="2">
        <v>2017</v>
      </c>
      <c r="G44" s="2">
        <v>2024</v>
      </c>
      <c r="H44" s="2">
        <f>'mpi_dataset_summary_2017-2024'!$G44-'mpi_dataset_summary_2017-2024'!$F44+1</f>
        <v>8</v>
      </c>
      <c r="I44" s="2" t="s">
        <v>2112</v>
      </c>
      <c r="J44" s="2" t="s">
        <v>2113</v>
      </c>
      <c r="K44" s="2">
        <f>IF('mpi_dataset_summary_2017-2024'!$G44=2024,1,0)</f>
        <v>1</v>
      </c>
      <c r="L44" s="2">
        <f t="shared" si="0"/>
        <v>0</v>
      </c>
      <c r="M44" s="2">
        <v>610.1</v>
      </c>
      <c r="N44" s="2">
        <f t="shared" si="1"/>
        <v>0.72899999999999998</v>
      </c>
      <c r="O44" s="2">
        <v>53.252068999999999</v>
      </c>
      <c r="P44" s="2">
        <v>-73.547973999999996</v>
      </c>
      <c r="Q44" s="2" t="s">
        <v>2107</v>
      </c>
      <c r="R44" s="3" t="s">
        <v>33</v>
      </c>
      <c r="S44" s="2" t="s">
        <v>25</v>
      </c>
      <c r="T44" s="2" t="s">
        <v>34</v>
      </c>
    </row>
    <row r="45" spans="1:20" x14ac:dyDescent="0.2">
      <c r="A45" s="2">
        <v>131</v>
      </c>
      <c r="B45" s="2" t="s">
        <v>154</v>
      </c>
      <c r="C45" s="2" t="s">
        <v>155</v>
      </c>
      <c r="D45" s="2" t="s">
        <v>69</v>
      </c>
      <c r="E45" s="2" t="s">
        <v>20</v>
      </c>
      <c r="F45" s="2">
        <v>2020</v>
      </c>
      <c r="G45" s="2">
        <v>2023</v>
      </c>
      <c r="H45" s="2">
        <f>'mpi_dataset_summary_2017-2024'!$G45-'mpi_dataset_summary_2017-2024'!$F45+1</f>
        <v>4</v>
      </c>
      <c r="I45" s="2" t="s">
        <v>2111</v>
      </c>
      <c r="J45" s="2" t="s">
        <v>2111</v>
      </c>
      <c r="K45" s="2">
        <f>IF('mpi_dataset_summary_2017-2024'!$G45=2024,1,0)</f>
        <v>0</v>
      </c>
      <c r="L45" s="2">
        <f t="shared" si="0"/>
        <v>0</v>
      </c>
      <c r="M45" s="2">
        <v>500</v>
      </c>
      <c r="N45" s="2">
        <f t="shared" si="1"/>
        <v>0.67800000000000005</v>
      </c>
      <c r="O45" s="2">
        <v>49.788356999999998</v>
      </c>
      <c r="P45" s="2">
        <v>-126.04969</v>
      </c>
      <c r="Q45" s="2" t="s">
        <v>2108</v>
      </c>
      <c r="R45" s="3" t="s">
        <v>41</v>
      </c>
      <c r="S45" s="2" t="s">
        <v>25</v>
      </c>
      <c r="T45" s="2" t="s">
        <v>46</v>
      </c>
    </row>
    <row r="46" spans="1:20" x14ac:dyDescent="0.2">
      <c r="A46" s="2">
        <v>133</v>
      </c>
      <c r="B46" s="2" t="s">
        <v>146</v>
      </c>
      <c r="C46" s="2" t="s">
        <v>156</v>
      </c>
      <c r="D46" s="2" t="s">
        <v>69</v>
      </c>
      <c r="E46" s="2" t="s">
        <v>20</v>
      </c>
      <c r="F46" s="2">
        <v>2017</v>
      </c>
      <c r="G46" s="2">
        <v>2017</v>
      </c>
      <c r="H46" s="2">
        <f>'mpi_dataset_summary_2017-2024'!$G46-'mpi_dataset_summary_2017-2024'!$F46+1</f>
        <v>1</v>
      </c>
      <c r="I46" s="2" t="s">
        <v>2110</v>
      </c>
      <c r="J46" s="2" t="s">
        <v>2110</v>
      </c>
      <c r="K46" s="2">
        <f>IF('mpi_dataset_summary_2017-2024'!$G46=2024,1,0)</f>
        <v>0</v>
      </c>
      <c r="L46" s="2">
        <f t="shared" si="0"/>
        <v>1</v>
      </c>
      <c r="M46" s="2">
        <v>500</v>
      </c>
      <c r="N46" s="2">
        <f t="shared" si="1"/>
        <v>0.67800000000000005</v>
      </c>
      <c r="O46" s="2">
        <v>50.681199999999997</v>
      </c>
      <c r="P46" s="2">
        <v>-123.4902</v>
      </c>
      <c r="Q46" s="2" t="s">
        <v>2108</v>
      </c>
      <c r="R46" s="3" t="s">
        <v>24</v>
      </c>
      <c r="S46" s="2" t="s">
        <v>25</v>
      </c>
      <c r="T46" s="2" t="s">
        <v>26</v>
      </c>
    </row>
    <row r="47" spans="1:20" x14ac:dyDescent="0.2">
      <c r="A47" s="2">
        <v>135</v>
      </c>
      <c r="B47" s="2" t="s">
        <v>146</v>
      </c>
      <c r="C47" s="2" t="s">
        <v>157</v>
      </c>
      <c r="D47" s="2" t="s">
        <v>69</v>
      </c>
      <c r="E47" s="2" t="s">
        <v>20</v>
      </c>
      <c r="F47" s="2">
        <v>2017</v>
      </c>
      <c r="G47" s="2">
        <v>2017</v>
      </c>
      <c r="H47" s="2">
        <f>'mpi_dataset_summary_2017-2024'!$G47-'mpi_dataset_summary_2017-2024'!$F47+1</f>
        <v>1</v>
      </c>
      <c r="I47" s="2" t="s">
        <v>2110</v>
      </c>
      <c r="J47" s="2" t="s">
        <v>2110</v>
      </c>
      <c r="K47" s="2">
        <f>IF('mpi_dataset_summary_2017-2024'!$G47=2024,1,0)</f>
        <v>0</v>
      </c>
      <c r="L47" s="2">
        <f t="shared" si="0"/>
        <v>1</v>
      </c>
      <c r="M47" s="2">
        <v>84</v>
      </c>
      <c r="N47" s="2">
        <f t="shared" si="1"/>
        <v>0.317</v>
      </c>
      <c r="O47" s="2">
        <v>50.632584999999999</v>
      </c>
      <c r="P47" s="2">
        <v>-123.416659</v>
      </c>
      <c r="Q47" s="2" t="s">
        <v>2108</v>
      </c>
      <c r="R47" s="3" t="s">
        <v>24</v>
      </c>
      <c r="S47" s="2" t="s">
        <v>25</v>
      </c>
      <c r="T47" s="2" t="s">
        <v>26</v>
      </c>
    </row>
    <row r="48" spans="1:20" x14ac:dyDescent="0.2">
      <c r="A48" s="2">
        <v>136</v>
      </c>
      <c r="B48" s="2" t="s">
        <v>146</v>
      </c>
      <c r="C48" s="2" t="s">
        <v>158</v>
      </c>
      <c r="D48" s="2" t="s">
        <v>69</v>
      </c>
      <c r="E48" s="2" t="s">
        <v>20</v>
      </c>
      <c r="F48" s="2">
        <v>2017</v>
      </c>
      <c r="G48" s="2">
        <v>2017</v>
      </c>
      <c r="H48" s="2">
        <f>'mpi_dataset_summary_2017-2024'!$G48-'mpi_dataset_summary_2017-2024'!$F48+1</f>
        <v>1</v>
      </c>
      <c r="I48" s="2" t="s">
        <v>2110</v>
      </c>
      <c r="J48" s="2" t="s">
        <v>2110</v>
      </c>
      <c r="K48" s="2">
        <f>IF('mpi_dataset_summary_2017-2024'!$G48=2024,1,0)</f>
        <v>0</v>
      </c>
      <c r="L48" s="2">
        <f t="shared" si="0"/>
        <v>1</v>
      </c>
      <c r="M48" s="2">
        <v>71</v>
      </c>
      <c r="N48" s="2">
        <f t="shared" si="1"/>
        <v>0.28399999999999997</v>
      </c>
      <c r="O48" s="2">
        <v>50.552269000000003</v>
      </c>
      <c r="P48" s="2">
        <v>-123.184573</v>
      </c>
      <c r="Q48" s="2" t="s">
        <v>2108</v>
      </c>
      <c r="R48" s="3" t="s">
        <v>24</v>
      </c>
      <c r="S48" s="2" t="s">
        <v>25</v>
      </c>
      <c r="T48" s="2" t="s">
        <v>26</v>
      </c>
    </row>
    <row r="49" spans="1:20" x14ac:dyDescent="0.2">
      <c r="A49" s="2">
        <v>138</v>
      </c>
      <c r="B49" s="2" t="s">
        <v>159</v>
      </c>
      <c r="C49" s="2" t="s">
        <v>160</v>
      </c>
      <c r="D49" s="2" t="s">
        <v>161</v>
      </c>
      <c r="E49" s="2" t="s">
        <v>20</v>
      </c>
      <c r="F49" s="2">
        <v>2021</v>
      </c>
      <c r="G49" s="2">
        <v>2024</v>
      </c>
      <c r="H49" s="2">
        <f>'mpi_dataset_summary_2017-2024'!$G49-'mpi_dataset_summary_2017-2024'!$F49+1</f>
        <v>4</v>
      </c>
      <c r="I49" s="2" t="s">
        <v>2111</v>
      </c>
      <c r="J49" s="2" t="s">
        <v>2110</v>
      </c>
      <c r="K49" s="2">
        <f>IF('mpi_dataset_summary_2017-2024'!$G49=2024,1,0)</f>
        <v>1</v>
      </c>
      <c r="L49" s="2">
        <f t="shared" si="0"/>
        <v>1</v>
      </c>
      <c r="M49" s="2">
        <v>88.051000000000002</v>
      </c>
      <c r="N49" s="2">
        <f t="shared" si="1"/>
        <v>0.32700000000000001</v>
      </c>
      <c r="O49" s="2">
        <v>50.014000000000003</v>
      </c>
      <c r="P49" s="2">
        <v>-79.709999999999994</v>
      </c>
      <c r="Q49" s="2" t="s">
        <v>2107</v>
      </c>
      <c r="R49" s="3" t="s">
        <v>29</v>
      </c>
      <c r="S49" s="2" t="s">
        <v>22</v>
      </c>
      <c r="T49" s="2" t="s">
        <v>30</v>
      </c>
    </row>
    <row r="50" spans="1:20" x14ac:dyDescent="0.2">
      <c r="A50" s="2">
        <v>140</v>
      </c>
      <c r="B50" s="2" t="s">
        <v>119</v>
      </c>
      <c r="C50" s="2" t="s">
        <v>162</v>
      </c>
      <c r="D50" s="2" t="s">
        <v>66</v>
      </c>
      <c r="E50" s="2" t="s">
        <v>20</v>
      </c>
      <c r="F50" s="2">
        <v>2017</v>
      </c>
      <c r="G50" s="2">
        <v>2024</v>
      </c>
      <c r="H50" s="2">
        <f>'mpi_dataset_summary_2017-2024'!$G50-'mpi_dataset_summary_2017-2024'!$F50+1</f>
        <v>8</v>
      </c>
      <c r="I50" s="2" t="s">
        <v>2113</v>
      </c>
      <c r="J50" s="2" t="s">
        <v>2113</v>
      </c>
      <c r="K50" s="2">
        <f>IF('mpi_dataset_summary_2017-2024'!$G50=2024,1,0)</f>
        <v>1</v>
      </c>
      <c r="L50" s="2">
        <f t="shared" si="0"/>
        <v>0</v>
      </c>
      <c r="M50" s="2">
        <v>7700</v>
      </c>
      <c r="N50" s="2">
        <f t="shared" si="1"/>
        <v>0.96799999999999997</v>
      </c>
      <c r="O50" s="2">
        <v>55.448219000000002</v>
      </c>
      <c r="P50" s="2">
        <v>-110.824021</v>
      </c>
      <c r="Q50" s="2" t="s">
        <v>2108</v>
      </c>
      <c r="R50" s="3" t="s">
        <v>39</v>
      </c>
      <c r="S50" s="2" t="s">
        <v>22</v>
      </c>
      <c r="T50" s="2" t="s">
        <v>40</v>
      </c>
    </row>
    <row r="51" spans="1:20" x14ac:dyDescent="0.2">
      <c r="A51" s="2">
        <v>141</v>
      </c>
      <c r="B51" s="2" t="s">
        <v>163</v>
      </c>
      <c r="C51" s="2" t="s">
        <v>164</v>
      </c>
      <c r="D51" s="2" t="s">
        <v>66</v>
      </c>
      <c r="E51" s="2" t="s">
        <v>20</v>
      </c>
      <c r="F51" s="2">
        <v>2017</v>
      </c>
      <c r="G51" s="2">
        <v>2018</v>
      </c>
      <c r="H51" s="2">
        <f>'mpi_dataset_summary_2017-2024'!$G51-'mpi_dataset_summary_2017-2024'!$F51+1</f>
        <v>2</v>
      </c>
      <c r="I51" s="2" t="s">
        <v>2113</v>
      </c>
      <c r="J51" s="2" t="s">
        <v>2113</v>
      </c>
      <c r="K51" s="2">
        <f>IF('mpi_dataset_summary_2017-2024'!$G51=2024,1,0)</f>
        <v>0</v>
      </c>
      <c r="L51" s="2">
        <f t="shared" si="0"/>
        <v>0</v>
      </c>
      <c r="M51" s="2">
        <v>450</v>
      </c>
      <c r="N51" s="2">
        <f t="shared" si="1"/>
        <v>0.65500000000000003</v>
      </c>
      <c r="O51" s="2">
        <v>54.545583999999998</v>
      </c>
      <c r="P51" s="2">
        <v>-110.884666</v>
      </c>
      <c r="Q51" s="2" t="s">
        <v>2108</v>
      </c>
      <c r="R51" s="3" t="s">
        <v>41</v>
      </c>
      <c r="S51" s="2" t="s">
        <v>25</v>
      </c>
      <c r="T51" s="2" t="s">
        <v>46</v>
      </c>
    </row>
    <row r="52" spans="1:20" x14ac:dyDescent="0.2">
      <c r="A52" s="2">
        <v>142</v>
      </c>
      <c r="B52" s="2" t="s">
        <v>165</v>
      </c>
      <c r="C52" s="2" t="s">
        <v>166</v>
      </c>
      <c r="D52" s="2" t="s">
        <v>69</v>
      </c>
      <c r="E52" s="2" t="s">
        <v>20</v>
      </c>
      <c r="F52" s="2">
        <v>2021</v>
      </c>
      <c r="G52" s="2">
        <v>2023</v>
      </c>
      <c r="H52" s="2">
        <f>'mpi_dataset_summary_2017-2024'!$G52-'mpi_dataset_summary_2017-2024'!$F52+1</f>
        <v>3</v>
      </c>
      <c r="I52" s="2" t="s">
        <v>2111</v>
      </c>
      <c r="J52" s="2" t="s">
        <v>2111</v>
      </c>
      <c r="K52" s="2">
        <f>IF('mpi_dataset_summary_2017-2024'!$G52=2024,1,0)</f>
        <v>0</v>
      </c>
      <c r="L52" s="2">
        <f t="shared" si="0"/>
        <v>0</v>
      </c>
      <c r="M52" s="2">
        <v>140</v>
      </c>
      <c r="N52" s="2">
        <f t="shared" si="1"/>
        <v>0.42599999999999999</v>
      </c>
      <c r="O52" s="2">
        <v>55.698194999999998</v>
      </c>
      <c r="P52" s="2">
        <v>-121.629474</v>
      </c>
      <c r="Q52" s="2" t="s">
        <v>2108</v>
      </c>
      <c r="R52" s="3" t="s">
        <v>24</v>
      </c>
      <c r="S52" s="2" t="s">
        <v>25</v>
      </c>
      <c r="T52" s="2" t="s">
        <v>26</v>
      </c>
    </row>
    <row r="53" spans="1:20" x14ac:dyDescent="0.2">
      <c r="A53" s="2">
        <v>148</v>
      </c>
      <c r="B53" s="2" t="s">
        <v>167</v>
      </c>
      <c r="C53" s="2" t="s">
        <v>168</v>
      </c>
      <c r="D53" s="2" t="s">
        <v>169</v>
      </c>
      <c r="E53" s="2" t="s">
        <v>20</v>
      </c>
      <c r="F53" s="2">
        <v>2017</v>
      </c>
      <c r="G53" s="2">
        <v>2017</v>
      </c>
      <c r="H53" s="2">
        <f>'mpi_dataset_summary_2017-2024'!$G53-'mpi_dataset_summary_2017-2024'!$F53+1</f>
        <v>1</v>
      </c>
      <c r="I53" s="2" t="s">
        <v>2110</v>
      </c>
      <c r="J53" s="2" t="s">
        <v>2110</v>
      </c>
      <c r="K53" s="2">
        <f>IF('mpi_dataset_summary_2017-2024'!$G53=2024,1,0)</f>
        <v>0</v>
      </c>
      <c r="L53" s="2">
        <f t="shared" si="0"/>
        <v>1</v>
      </c>
      <c r="M53" s="2">
        <v>1560</v>
      </c>
      <c r="N53" s="2">
        <f t="shared" si="1"/>
        <v>0.86899999999999999</v>
      </c>
      <c r="O53" s="2">
        <v>48.176949999999998</v>
      </c>
      <c r="P53" s="2">
        <v>-56.784863999999999</v>
      </c>
      <c r="Q53" s="2" t="s">
        <v>2108</v>
      </c>
      <c r="R53" s="3" t="s">
        <v>35</v>
      </c>
      <c r="S53" s="2" t="s">
        <v>22</v>
      </c>
      <c r="T53" s="2" t="s">
        <v>36</v>
      </c>
    </row>
    <row r="54" spans="1:20" x14ac:dyDescent="0.2">
      <c r="A54" s="2">
        <v>153</v>
      </c>
      <c r="B54" s="2" t="s">
        <v>170</v>
      </c>
      <c r="C54" s="2" t="s">
        <v>171</v>
      </c>
      <c r="D54" s="2" t="s">
        <v>66</v>
      </c>
      <c r="E54" s="2" t="s">
        <v>20</v>
      </c>
      <c r="F54" s="2">
        <v>2017</v>
      </c>
      <c r="G54" s="2">
        <v>2017</v>
      </c>
      <c r="H54" s="2">
        <f>'mpi_dataset_summary_2017-2024'!$G54-'mpi_dataset_summary_2017-2024'!$F54+1</f>
        <v>1</v>
      </c>
      <c r="I54" s="2" t="s">
        <v>2110</v>
      </c>
      <c r="J54" s="2" t="s">
        <v>2110</v>
      </c>
      <c r="K54" s="2">
        <f>IF('mpi_dataset_summary_2017-2024'!$G54=2024,1,0)</f>
        <v>0</v>
      </c>
      <c r="L54" s="2">
        <f t="shared" si="0"/>
        <v>1</v>
      </c>
      <c r="M54" s="2">
        <v>1300</v>
      </c>
      <c r="N54" s="2">
        <f t="shared" si="1"/>
        <v>0.84299999999999997</v>
      </c>
      <c r="O54" s="2">
        <v>56.008409</v>
      </c>
      <c r="P54" s="2">
        <v>-110.869539</v>
      </c>
      <c r="Q54" s="2" t="s">
        <v>2108</v>
      </c>
      <c r="R54" s="3" t="s">
        <v>35</v>
      </c>
      <c r="S54" s="2" t="s">
        <v>22</v>
      </c>
      <c r="T54" s="2" t="s">
        <v>36</v>
      </c>
    </row>
    <row r="55" spans="1:20" x14ac:dyDescent="0.2">
      <c r="A55" s="2">
        <v>154</v>
      </c>
      <c r="B55" s="2" t="s">
        <v>170</v>
      </c>
      <c r="C55" s="2" t="s">
        <v>172</v>
      </c>
      <c r="D55" s="2" t="s">
        <v>66</v>
      </c>
      <c r="E55" s="2" t="s">
        <v>20</v>
      </c>
      <c r="F55" s="2">
        <v>2017</v>
      </c>
      <c r="G55" s="2">
        <v>2017</v>
      </c>
      <c r="H55" s="2">
        <f>'mpi_dataset_summary_2017-2024'!$G55-'mpi_dataset_summary_2017-2024'!$F55+1</f>
        <v>1</v>
      </c>
      <c r="I55" s="2" t="s">
        <v>2110</v>
      </c>
      <c r="J55" s="2" t="s">
        <v>2110</v>
      </c>
      <c r="K55" s="2">
        <f>IF('mpi_dataset_summary_2017-2024'!$G55=2024,1,0)</f>
        <v>0</v>
      </c>
      <c r="L55" s="2">
        <f t="shared" si="0"/>
        <v>1</v>
      </c>
      <c r="M55" s="2">
        <v>260</v>
      </c>
      <c r="N55" s="2">
        <f t="shared" si="1"/>
        <v>0.55300000000000005</v>
      </c>
      <c r="O55" s="2">
        <v>53.571868000000002</v>
      </c>
      <c r="P55" s="2">
        <v>-113.273691</v>
      </c>
      <c r="Q55" s="2" t="s">
        <v>2108</v>
      </c>
      <c r="R55" s="3" t="s">
        <v>37</v>
      </c>
      <c r="S55" s="2" t="s">
        <v>22</v>
      </c>
      <c r="T55" s="2" t="s">
        <v>38</v>
      </c>
    </row>
    <row r="56" spans="1:20" x14ac:dyDescent="0.2">
      <c r="A56" s="2">
        <v>162</v>
      </c>
      <c r="B56" s="2" t="s">
        <v>173</v>
      </c>
      <c r="C56" s="2" t="s">
        <v>174</v>
      </c>
      <c r="D56" s="2" t="s">
        <v>66</v>
      </c>
      <c r="E56" s="2" t="s">
        <v>20</v>
      </c>
      <c r="F56" s="2">
        <v>2017</v>
      </c>
      <c r="G56" s="2">
        <v>2019</v>
      </c>
      <c r="H56" s="2">
        <f>'mpi_dataset_summary_2017-2024'!$G56-'mpi_dataset_summary_2017-2024'!$F56+1</f>
        <v>3</v>
      </c>
      <c r="I56" s="2" t="s">
        <v>2110</v>
      </c>
      <c r="J56" s="2" t="s">
        <v>2110</v>
      </c>
      <c r="K56" s="2">
        <f>IF('mpi_dataset_summary_2017-2024'!$G56=2024,1,0)</f>
        <v>0</v>
      </c>
      <c r="L56" s="2">
        <f t="shared" si="0"/>
        <v>1</v>
      </c>
      <c r="M56" s="2">
        <v>600</v>
      </c>
      <c r="N56" s="2">
        <f t="shared" si="1"/>
        <v>0.71399999999999997</v>
      </c>
      <c r="O56" s="2">
        <v>53.702872999999997</v>
      </c>
      <c r="P56" s="2">
        <v>-113.21005700000001</v>
      </c>
      <c r="Q56" s="2" t="s">
        <v>2108</v>
      </c>
      <c r="R56" s="3" t="s">
        <v>47</v>
      </c>
      <c r="S56" s="2" t="s">
        <v>25</v>
      </c>
      <c r="T56" s="2" t="s">
        <v>48</v>
      </c>
    </row>
    <row r="57" spans="1:20" x14ac:dyDescent="0.2">
      <c r="A57" s="2">
        <v>165</v>
      </c>
      <c r="B57" s="2" t="s">
        <v>175</v>
      </c>
      <c r="C57" s="2" t="s">
        <v>176</v>
      </c>
      <c r="D57" s="2" t="s">
        <v>69</v>
      </c>
      <c r="E57" s="2" t="s">
        <v>20</v>
      </c>
      <c r="F57" s="2">
        <v>2017</v>
      </c>
      <c r="G57" s="2">
        <v>2024</v>
      </c>
      <c r="H57" s="2">
        <f>'mpi_dataset_summary_2017-2024'!$G57-'mpi_dataset_summary_2017-2024'!$F57+1</f>
        <v>8</v>
      </c>
      <c r="I57" s="2" t="s">
        <v>2112</v>
      </c>
      <c r="J57" s="2" t="s">
        <v>2112</v>
      </c>
      <c r="K57" s="2">
        <f>IF('mpi_dataset_summary_2017-2024'!$G57=2024,1,0)</f>
        <v>1</v>
      </c>
      <c r="L57" s="2">
        <f t="shared" si="0"/>
        <v>0</v>
      </c>
      <c r="M57" s="2">
        <v>300</v>
      </c>
      <c r="N57" s="2">
        <f t="shared" si="1"/>
        <v>0.57399999999999995</v>
      </c>
      <c r="O57" s="2">
        <v>57.857174000000001</v>
      </c>
      <c r="P57" s="2">
        <v>-129.97924800000001</v>
      </c>
      <c r="Q57" s="2" t="s">
        <v>2108</v>
      </c>
      <c r="R57" s="3" t="s">
        <v>24</v>
      </c>
      <c r="S57" s="2" t="s">
        <v>25</v>
      </c>
      <c r="T57" s="2" t="s">
        <v>26</v>
      </c>
    </row>
    <row r="58" spans="1:20" x14ac:dyDescent="0.2">
      <c r="A58" s="2">
        <v>170</v>
      </c>
      <c r="B58" s="2" t="s">
        <v>177</v>
      </c>
      <c r="C58" s="2" t="s">
        <v>178</v>
      </c>
      <c r="D58" s="2" t="s">
        <v>83</v>
      </c>
      <c r="E58" s="2" t="s">
        <v>43</v>
      </c>
      <c r="F58" s="2">
        <v>2017</v>
      </c>
      <c r="G58" s="2">
        <v>2017</v>
      </c>
      <c r="H58" s="2">
        <f>'mpi_dataset_summary_2017-2024'!$G58-'mpi_dataset_summary_2017-2024'!$F58+1</f>
        <v>1</v>
      </c>
      <c r="I58" s="2" t="s">
        <v>2110</v>
      </c>
      <c r="J58" s="2" t="s">
        <v>2110</v>
      </c>
      <c r="K58" s="2">
        <f>IF('mpi_dataset_summary_2017-2024'!$G58=2024,1,0)</f>
        <v>0</v>
      </c>
      <c r="L58" s="2">
        <f t="shared" si="0"/>
        <v>1</v>
      </c>
      <c r="M58" s="2">
        <v>14000</v>
      </c>
      <c r="N58" s="2">
        <f t="shared" si="1"/>
        <v>0.98499999999999999</v>
      </c>
      <c r="O58" s="2">
        <v>47.249406999999998</v>
      </c>
      <c r="P58" s="2">
        <v>-48.383789</v>
      </c>
      <c r="Q58" s="2" t="s">
        <v>2108</v>
      </c>
      <c r="R58" s="3" t="s">
        <v>39</v>
      </c>
      <c r="S58" s="2" t="s">
        <v>22</v>
      </c>
      <c r="T58" s="2" t="s">
        <v>40</v>
      </c>
    </row>
    <row r="59" spans="1:20" x14ac:dyDescent="0.2">
      <c r="A59" s="2">
        <v>171</v>
      </c>
      <c r="B59" s="2" t="s">
        <v>179</v>
      </c>
      <c r="C59" s="2" t="s">
        <v>180</v>
      </c>
      <c r="D59" s="2" t="s">
        <v>83</v>
      </c>
      <c r="E59" s="2" t="s">
        <v>20</v>
      </c>
      <c r="F59" s="2">
        <v>2017</v>
      </c>
      <c r="G59" s="2">
        <v>2017</v>
      </c>
      <c r="H59" s="2">
        <f>'mpi_dataset_summary_2017-2024'!$G59-'mpi_dataset_summary_2017-2024'!$F59+1</f>
        <v>1</v>
      </c>
      <c r="I59" s="2" t="s">
        <v>2110</v>
      </c>
      <c r="J59" s="2" t="s">
        <v>2110</v>
      </c>
      <c r="K59" s="2">
        <f>IF('mpi_dataset_summary_2017-2024'!$G59=2024,1,0)</f>
        <v>0</v>
      </c>
      <c r="L59" s="2">
        <f t="shared" si="0"/>
        <v>1</v>
      </c>
      <c r="M59" s="2">
        <v>2000</v>
      </c>
      <c r="N59" s="2">
        <f t="shared" si="1"/>
        <v>0.89400000000000002</v>
      </c>
      <c r="O59" s="2">
        <v>47.100045000000001</v>
      </c>
      <c r="P59" s="2">
        <v>-48.713379000000003</v>
      </c>
      <c r="Q59" s="2" t="s">
        <v>2108</v>
      </c>
      <c r="R59" s="3" t="s">
        <v>24</v>
      </c>
      <c r="S59" s="2" t="s">
        <v>25</v>
      </c>
      <c r="T59" s="2" t="s">
        <v>26</v>
      </c>
    </row>
    <row r="60" spans="1:20" x14ac:dyDescent="0.2">
      <c r="A60" s="2">
        <v>177</v>
      </c>
      <c r="B60" s="2" t="s">
        <v>181</v>
      </c>
      <c r="C60" s="2" t="s">
        <v>182</v>
      </c>
      <c r="D60" s="2" t="s">
        <v>69</v>
      </c>
      <c r="E60" s="2" t="s">
        <v>20</v>
      </c>
      <c r="F60" s="2">
        <v>2020</v>
      </c>
      <c r="G60" s="2">
        <v>2020</v>
      </c>
      <c r="H60" s="2">
        <f>'mpi_dataset_summary_2017-2024'!$G60-'mpi_dataset_summary_2017-2024'!$F60+1</f>
        <v>1</v>
      </c>
      <c r="I60" s="2" t="s">
        <v>2111</v>
      </c>
      <c r="J60" s="2" t="s">
        <v>2111</v>
      </c>
      <c r="K60" s="2">
        <f>IF('mpi_dataset_summary_2017-2024'!$G60=2024,1,0)</f>
        <v>0</v>
      </c>
      <c r="L60" s="2">
        <f t="shared" si="0"/>
        <v>0</v>
      </c>
      <c r="M60" s="2">
        <v>132</v>
      </c>
      <c r="N60" s="2">
        <f t="shared" si="1"/>
        <v>0.41599999999999998</v>
      </c>
      <c r="O60" s="2">
        <v>55.243099999999998</v>
      </c>
      <c r="P60" s="2">
        <v>-121.49509999999999</v>
      </c>
      <c r="Q60" s="2" t="s">
        <v>2108</v>
      </c>
      <c r="R60" s="3" t="s">
        <v>24</v>
      </c>
      <c r="S60" s="2" t="s">
        <v>25</v>
      </c>
      <c r="T60" s="2" t="s">
        <v>26</v>
      </c>
    </row>
    <row r="61" spans="1:20" x14ac:dyDescent="0.2">
      <c r="A61" s="2">
        <v>182</v>
      </c>
      <c r="B61" s="2" t="s">
        <v>183</v>
      </c>
      <c r="C61" s="2" t="s">
        <v>184</v>
      </c>
      <c r="D61" s="2" t="s">
        <v>185</v>
      </c>
      <c r="E61" s="2" t="s">
        <v>20</v>
      </c>
      <c r="F61" s="2">
        <v>2017</v>
      </c>
      <c r="G61" s="2">
        <v>2017</v>
      </c>
      <c r="H61" s="2">
        <f>'mpi_dataset_summary_2017-2024'!$G61-'mpi_dataset_summary_2017-2024'!$F61+1</f>
        <v>1</v>
      </c>
      <c r="I61" s="2" t="s">
        <v>2110</v>
      </c>
      <c r="J61" s="2" t="s">
        <v>2110</v>
      </c>
      <c r="K61" s="2">
        <f>IF('mpi_dataset_summary_2017-2024'!$G61=2024,1,0)</f>
        <v>0</v>
      </c>
      <c r="L61" s="2">
        <f t="shared" si="0"/>
        <v>1</v>
      </c>
      <c r="M61" s="2">
        <v>126</v>
      </c>
      <c r="N61" s="2">
        <f t="shared" si="1"/>
        <v>0.40799999999999997</v>
      </c>
      <c r="O61" s="2">
        <v>45.412911999999999</v>
      </c>
      <c r="P61" s="2">
        <v>-64.327010999999999</v>
      </c>
      <c r="Q61" s="2" t="s">
        <v>2108</v>
      </c>
      <c r="R61" s="3" t="s">
        <v>24</v>
      </c>
      <c r="S61" s="2" t="s">
        <v>25</v>
      </c>
      <c r="T61" s="2" t="s">
        <v>26</v>
      </c>
    </row>
    <row r="62" spans="1:20" x14ac:dyDescent="0.2">
      <c r="A62" s="2">
        <v>186</v>
      </c>
      <c r="B62" s="2" t="s">
        <v>186</v>
      </c>
      <c r="C62" s="2" t="s">
        <v>187</v>
      </c>
      <c r="D62" s="2" t="s">
        <v>126</v>
      </c>
      <c r="E62" s="2" t="s">
        <v>20</v>
      </c>
      <c r="F62" s="2">
        <v>2017</v>
      </c>
      <c r="G62" s="2">
        <v>2024</v>
      </c>
      <c r="H62" s="2">
        <f>'mpi_dataset_summary_2017-2024'!$G62-'mpi_dataset_summary_2017-2024'!$F62+1</f>
        <v>8</v>
      </c>
      <c r="I62" s="2" t="s">
        <v>2113</v>
      </c>
      <c r="J62" s="2" t="s">
        <v>2113</v>
      </c>
      <c r="K62" s="2">
        <f>IF('mpi_dataset_summary_2017-2024'!$G62=2024,1,0)</f>
        <v>1</v>
      </c>
      <c r="L62" s="2">
        <f t="shared" si="0"/>
        <v>0</v>
      </c>
      <c r="M62" s="2">
        <v>589</v>
      </c>
      <c r="N62" s="2">
        <f t="shared" si="1"/>
        <v>0.71299999999999997</v>
      </c>
      <c r="O62" s="2">
        <v>63.55</v>
      </c>
      <c r="P62" s="2">
        <v>-116.75</v>
      </c>
      <c r="Q62" s="2" t="s">
        <v>2107</v>
      </c>
      <c r="R62" s="3" t="s">
        <v>29</v>
      </c>
      <c r="S62" s="2" t="s">
        <v>22</v>
      </c>
      <c r="T62" s="2" t="s">
        <v>30</v>
      </c>
    </row>
    <row r="63" spans="1:20" x14ac:dyDescent="0.2">
      <c r="A63" s="2">
        <v>187</v>
      </c>
      <c r="B63" s="2" t="s">
        <v>188</v>
      </c>
      <c r="C63" s="2" t="s">
        <v>189</v>
      </c>
      <c r="D63" s="2" t="s">
        <v>110</v>
      </c>
      <c r="E63" s="2" t="s">
        <v>20</v>
      </c>
      <c r="F63" s="2">
        <v>2017</v>
      </c>
      <c r="G63" s="2">
        <v>2021</v>
      </c>
      <c r="H63" s="2">
        <f>'mpi_dataset_summary_2017-2024'!$G63-'mpi_dataset_summary_2017-2024'!$F63+1</f>
        <v>5</v>
      </c>
      <c r="I63" s="2" t="s">
        <v>2112</v>
      </c>
      <c r="J63" s="2" t="s">
        <v>2112</v>
      </c>
      <c r="K63" s="2">
        <f>IF('mpi_dataset_summary_2017-2024'!$G63=2024,1,0)</f>
        <v>0</v>
      </c>
      <c r="L63" s="2">
        <f t="shared" si="0"/>
        <v>0</v>
      </c>
      <c r="M63" s="2">
        <v>250</v>
      </c>
      <c r="N63" s="2">
        <f t="shared" si="1"/>
        <v>0.53500000000000003</v>
      </c>
      <c r="O63" s="2">
        <v>52.357621999999999</v>
      </c>
      <c r="P63" s="2">
        <v>-106.911055</v>
      </c>
      <c r="Q63" s="2" t="s">
        <v>2107</v>
      </c>
      <c r="R63" s="3" t="s">
        <v>33</v>
      </c>
      <c r="S63" s="2" t="s">
        <v>25</v>
      </c>
      <c r="T63" s="2" t="s">
        <v>34</v>
      </c>
    </row>
    <row r="64" spans="1:20" x14ac:dyDescent="0.2">
      <c r="A64" s="2">
        <v>188</v>
      </c>
      <c r="B64" s="2" t="s">
        <v>190</v>
      </c>
      <c r="C64" s="2" t="s">
        <v>191</v>
      </c>
      <c r="D64" s="2" t="s">
        <v>69</v>
      </c>
      <c r="E64" s="2" t="s">
        <v>20</v>
      </c>
      <c r="F64" s="2">
        <v>2018</v>
      </c>
      <c r="G64" s="2">
        <v>2024</v>
      </c>
      <c r="H64" s="2">
        <f>'mpi_dataset_summary_2017-2024'!$G64-'mpi_dataset_summary_2017-2024'!$F64+1</f>
        <v>7</v>
      </c>
      <c r="I64" s="2" t="s">
        <v>2111</v>
      </c>
      <c r="J64" s="2" t="s">
        <v>2111</v>
      </c>
      <c r="K64" s="2">
        <f>IF('mpi_dataset_summary_2017-2024'!$G64=2024,1,0)</f>
        <v>1</v>
      </c>
      <c r="L64" s="2">
        <f t="shared" si="0"/>
        <v>0</v>
      </c>
      <c r="M64" s="2">
        <v>50</v>
      </c>
      <c r="N64" s="2">
        <f t="shared" si="1"/>
        <v>0.214</v>
      </c>
      <c r="O64" s="2">
        <v>50.241332</v>
      </c>
      <c r="P64" s="2">
        <v>-117.801075</v>
      </c>
      <c r="Q64" s="2" t="s">
        <v>2108</v>
      </c>
      <c r="R64" s="3" t="s">
        <v>24</v>
      </c>
      <c r="S64" s="2" t="s">
        <v>25</v>
      </c>
      <c r="T64" s="2" t="s">
        <v>26</v>
      </c>
    </row>
    <row r="65" spans="1:20" x14ac:dyDescent="0.2">
      <c r="A65" s="2">
        <v>198</v>
      </c>
      <c r="B65" s="2" t="s">
        <v>192</v>
      </c>
      <c r="C65" s="2" t="s">
        <v>193</v>
      </c>
      <c r="D65" s="2" t="s">
        <v>194</v>
      </c>
      <c r="E65" s="2" t="s">
        <v>43</v>
      </c>
      <c r="F65" s="2">
        <v>2017</v>
      </c>
      <c r="G65" s="2">
        <v>2017</v>
      </c>
      <c r="H65" s="2">
        <f>'mpi_dataset_summary_2017-2024'!$G65-'mpi_dataset_summary_2017-2024'!$F65+1</f>
        <v>1</v>
      </c>
      <c r="I65" s="2" t="s">
        <v>2110</v>
      </c>
      <c r="J65" s="2" t="s">
        <v>2110</v>
      </c>
      <c r="K65" s="2">
        <f>IF('mpi_dataset_summary_2017-2024'!$G65=2024,1,0)</f>
        <v>0</v>
      </c>
      <c r="L65" s="2">
        <f t="shared" si="0"/>
        <v>1</v>
      </c>
      <c r="M65" s="2">
        <v>140</v>
      </c>
      <c r="N65" s="2">
        <f t="shared" si="1"/>
        <v>0.42599999999999999</v>
      </c>
      <c r="O65" s="2">
        <v>46.158427000000003</v>
      </c>
      <c r="P65" s="2">
        <v>-63.820661000000001</v>
      </c>
      <c r="Q65" s="2" t="s">
        <v>2108</v>
      </c>
      <c r="R65" s="3" t="s">
        <v>35</v>
      </c>
      <c r="S65" s="2" t="s">
        <v>22</v>
      </c>
      <c r="T65" s="2" t="s">
        <v>36</v>
      </c>
    </row>
    <row r="66" spans="1:20" x14ac:dyDescent="0.2">
      <c r="A66" s="2">
        <v>204</v>
      </c>
      <c r="B66" s="2" t="s">
        <v>195</v>
      </c>
      <c r="C66" s="2" t="s">
        <v>196</v>
      </c>
      <c r="D66" s="2" t="s">
        <v>66</v>
      </c>
      <c r="E66" s="2" t="s">
        <v>20</v>
      </c>
      <c r="F66" s="2">
        <v>2017</v>
      </c>
      <c r="G66" s="2">
        <v>2022</v>
      </c>
      <c r="H66" s="2">
        <f>'mpi_dataset_summary_2017-2024'!$G66-'mpi_dataset_summary_2017-2024'!$F66+1</f>
        <v>6</v>
      </c>
      <c r="I66" s="2" t="s">
        <v>2112</v>
      </c>
      <c r="J66" s="2" t="s">
        <v>2112</v>
      </c>
      <c r="K66" s="2">
        <f>IF('mpi_dataset_summary_2017-2024'!$G66=2024,1,0)</f>
        <v>0</v>
      </c>
      <c r="L66" s="2">
        <f t="shared" ref="L66:L129" si="2">IF(J66="Under Construction",1,0)</f>
        <v>0</v>
      </c>
      <c r="M66" s="2">
        <v>250</v>
      </c>
      <c r="N66" s="2">
        <f t="shared" ref="N66:N129" si="3">_xlfn.PERCENTRANK.INC($M$2:$M$4056,M66)</f>
        <v>0.53500000000000003</v>
      </c>
      <c r="O66" s="2">
        <v>55.655376599999997</v>
      </c>
      <c r="P66" s="2">
        <v>-111.2900712</v>
      </c>
      <c r="Q66" s="2" t="s">
        <v>2108</v>
      </c>
      <c r="R66" s="3" t="s">
        <v>39</v>
      </c>
      <c r="S66" s="2" t="s">
        <v>22</v>
      </c>
      <c r="T66" s="2" t="s">
        <v>40</v>
      </c>
    </row>
    <row r="67" spans="1:20" x14ac:dyDescent="0.2">
      <c r="A67" s="2">
        <v>205</v>
      </c>
      <c r="B67" s="2" t="s">
        <v>197</v>
      </c>
      <c r="C67" s="2" t="s">
        <v>198</v>
      </c>
      <c r="D67" s="2" t="s">
        <v>69</v>
      </c>
      <c r="E67" s="2" t="s">
        <v>20</v>
      </c>
      <c r="F67" s="2">
        <v>2020</v>
      </c>
      <c r="G67" s="2">
        <v>2024</v>
      </c>
      <c r="H67" s="2">
        <f>'mpi_dataset_summary_2017-2024'!$G67-'mpi_dataset_summary_2017-2024'!$F67+1</f>
        <v>5</v>
      </c>
      <c r="I67" s="2" t="s">
        <v>2111</v>
      </c>
      <c r="J67" s="2" t="s">
        <v>2111</v>
      </c>
      <c r="K67" s="2">
        <f>IF('mpi_dataset_summary_2017-2024'!$G67=2024,1,0)</f>
        <v>1</v>
      </c>
      <c r="L67" s="2">
        <f t="shared" si="2"/>
        <v>0</v>
      </c>
      <c r="M67" s="2">
        <v>2461.5500000000002</v>
      </c>
      <c r="N67" s="2">
        <f t="shared" si="3"/>
        <v>0.91200000000000003</v>
      </c>
      <c r="O67" s="2">
        <v>58.475999999999999</v>
      </c>
      <c r="P67" s="2">
        <v>-128.82599999999999</v>
      </c>
      <c r="Q67" s="2" t="s">
        <v>2107</v>
      </c>
      <c r="R67" s="3" t="s">
        <v>33</v>
      </c>
      <c r="S67" s="2" t="s">
        <v>25</v>
      </c>
      <c r="T67" s="2" t="s">
        <v>34</v>
      </c>
    </row>
    <row r="68" spans="1:20" x14ac:dyDescent="0.2">
      <c r="A68" s="2">
        <v>207</v>
      </c>
      <c r="B68" s="2" t="s">
        <v>199</v>
      </c>
      <c r="C68" s="2" t="s">
        <v>200</v>
      </c>
      <c r="D68" s="2" t="s">
        <v>66</v>
      </c>
      <c r="E68" s="2" t="s">
        <v>20</v>
      </c>
      <c r="F68" s="2">
        <v>2017</v>
      </c>
      <c r="G68" s="2">
        <v>2024</v>
      </c>
      <c r="H68" s="2">
        <f>'mpi_dataset_summary_2017-2024'!$G68-'mpi_dataset_summary_2017-2024'!$F68+1</f>
        <v>8</v>
      </c>
      <c r="I68" s="2" t="s">
        <v>2113</v>
      </c>
      <c r="J68" s="2" t="s">
        <v>2111</v>
      </c>
      <c r="K68" s="2">
        <f>IF('mpi_dataset_summary_2017-2024'!$G68=2024,1,0)</f>
        <v>1</v>
      </c>
      <c r="L68" s="2">
        <f t="shared" si="2"/>
        <v>0</v>
      </c>
      <c r="M68" s="2">
        <v>540</v>
      </c>
      <c r="N68" s="2">
        <f t="shared" si="3"/>
        <v>0.70199999999999996</v>
      </c>
      <c r="O68" s="2">
        <v>55.582639100000002</v>
      </c>
      <c r="P68" s="2">
        <v>-110.9730098</v>
      </c>
      <c r="Q68" s="2" t="s">
        <v>2108</v>
      </c>
      <c r="R68" s="3" t="s">
        <v>39</v>
      </c>
      <c r="S68" s="2" t="s">
        <v>22</v>
      </c>
      <c r="T68" s="2" t="s">
        <v>40</v>
      </c>
    </row>
    <row r="69" spans="1:20" x14ac:dyDescent="0.2">
      <c r="A69" s="2">
        <v>208</v>
      </c>
      <c r="B69" s="2" t="s">
        <v>201</v>
      </c>
      <c r="C69" s="2" t="s">
        <v>202</v>
      </c>
      <c r="D69" s="2" t="s">
        <v>69</v>
      </c>
      <c r="E69" s="2" t="s">
        <v>20</v>
      </c>
      <c r="F69" s="2">
        <v>2017</v>
      </c>
      <c r="G69" s="2">
        <v>2023</v>
      </c>
      <c r="H69" s="2">
        <f>'mpi_dataset_summary_2017-2024'!$G69-'mpi_dataset_summary_2017-2024'!$F69+1</f>
        <v>7</v>
      </c>
      <c r="I69" s="2" t="s">
        <v>2111</v>
      </c>
      <c r="J69" s="2" t="s">
        <v>2111</v>
      </c>
      <c r="K69" s="2">
        <f>IF('mpi_dataset_summary_2017-2024'!$G69=2024,1,0)</f>
        <v>0</v>
      </c>
      <c r="L69" s="2">
        <f t="shared" si="2"/>
        <v>0</v>
      </c>
      <c r="M69" s="2">
        <v>450</v>
      </c>
      <c r="N69" s="2">
        <f t="shared" si="3"/>
        <v>0.65500000000000003</v>
      </c>
      <c r="O69" s="2">
        <v>49.836044999999999</v>
      </c>
      <c r="P69" s="2">
        <v>-124.524794</v>
      </c>
      <c r="Q69" s="2" t="s">
        <v>2108</v>
      </c>
      <c r="R69" s="3" t="s">
        <v>35</v>
      </c>
      <c r="S69" s="2" t="s">
        <v>22</v>
      </c>
      <c r="T69" s="2" t="s">
        <v>36</v>
      </c>
    </row>
    <row r="70" spans="1:20" x14ac:dyDescent="0.2">
      <c r="A70" s="2">
        <v>209</v>
      </c>
      <c r="B70" s="2" t="s">
        <v>203</v>
      </c>
      <c r="C70" s="2" t="s">
        <v>204</v>
      </c>
      <c r="D70" s="2" t="s">
        <v>69</v>
      </c>
      <c r="E70" s="2" t="s">
        <v>20</v>
      </c>
      <c r="F70" s="2">
        <v>2017</v>
      </c>
      <c r="G70" s="2">
        <v>2024</v>
      </c>
      <c r="H70" s="2">
        <f>'mpi_dataset_summary_2017-2024'!$G70-'mpi_dataset_summary_2017-2024'!$F70+1</f>
        <v>8</v>
      </c>
      <c r="I70" s="2" t="s">
        <v>2112</v>
      </c>
      <c r="J70" s="2" t="s">
        <v>2113</v>
      </c>
      <c r="K70" s="2">
        <f>IF('mpi_dataset_summary_2017-2024'!$G70=2024,1,0)</f>
        <v>1</v>
      </c>
      <c r="L70" s="2">
        <f t="shared" si="2"/>
        <v>0</v>
      </c>
      <c r="M70" s="2">
        <v>668</v>
      </c>
      <c r="N70" s="2">
        <f t="shared" si="3"/>
        <v>0.73799999999999999</v>
      </c>
      <c r="O70" s="2">
        <v>55.126784000000001</v>
      </c>
      <c r="P70" s="2">
        <v>-120.993032</v>
      </c>
      <c r="Q70" s="2" t="s">
        <v>2107</v>
      </c>
      <c r="R70" s="3" t="s">
        <v>21</v>
      </c>
      <c r="S70" s="2" t="s">
        <v>22</v>
      </c>
      <c r="T70" s="2" t="s">
        <v>23</v>
      </c>
    </row>
    <row r="71" spans="1:20" x14ac:dyDescent="0.2">
      <c r="A71" s="2">
        <v>211</v>
      </c>
      <c r="B71" s="2" t="s">
        <v>205</v>
      </c>
      <c r="C71" s="2" t="s">
        <v>206</v>
      </c>
      <c r="D71" s="2" t="s">
        <v>86</v>
      </c>
      <c r="E71" s="2" t="s">
        <v>20</v>
      </c>
      <c r="F71" s="2">
        <v>2021</v>
      </c>
      <c r="G71" s="2">
        <v>2022</v>
      </c>
      <c r="H71" s="2">
        <f>'mpi_dataset_summary_2017-2024'!$G71-'mpi_dataset_summary_2017-2024'!$F71+1</f>
        <v>2</v>
      </c>
      <c r="I71" s="2" t="s">
        <v>2111</v>
      </c>
      <c r="J71" s="2" t="s">
        <v>2111</v>
      </c>
      <c r="K71" s="2">
        <f>IF('mpi_dataset_summary_2017-2024'!$G71=2024,1,0)</f>
        <v>0</v>
      </c>
      <c r="L71" s="2">
        <f t="shared" si="2"/>
        <v>0</v>
      </c>
      <c r="M71" s="2">
        <v>117</v>
      </c>
      <c r="N71" s="2">
        <f t="shared" si="3"/>
        <v>0.38400000000000001</v>
      </c>
      <c r="O71" s="2">
        <v>54.862000000000002</v>
      </c>
      <c r="P71" s="2">
        <v>-100.155</v>
      </c>
      <c r="Q71" s="2" t="s">
        <v>2107</v>
      </c>
      <c r="R71" s="3" t="s">
        <v>41</v>
      </c>
      <c r="S71" s="2" t="s">
        <v>22</v>
      </c>
      <c r="T71" s="2" t="s">
        <v>42</v>
      </c>
    </row>
    <row r="72" spans="1:20" x14ac:dyDescent="0.2">
      <c r="A72" s="2">
        <v>213</v>
      </c>
      <c r="B72" s="2" t="s">
        <v>207</v>
      </c>
      <c r="C72" s="2" t="s">
        <v>208</v>
      </c>
      <c r="D72" s="2" t="s">
        <v>69</v>
      </c>
      <c r="E72" s="2" t="s">
        <v>43</v>
      </c>
      <c r="F72" s="2">
        <v>2020</v>
      </c>
      <c r="G72" s="2">
        <v>2023</v>
      </c>
      <c r="H72" s="2">
        <f>'mpi_dataset_summary_2017-2024'!$G72-'mpi_dataset_summary_2017-2024'!$F72+1</f>
        <v>4</v>
      </c>
      <c r="I72" s="2" t="s">
        <v>2112</v>
      </c>
      <c r="J72" s="2" t="s">
        <v>2112</v>
      </c>
      <c r="K72" s="2">
        <f>IF('mpi_dataset_summary_2017-2024'!$G72=2024,1,0)</f>
        <v>0</v>
      </c>
      <c r="L72" s="2">
        <f t="shared" si="2"/>
        <v>0</v>
      </c>
      <c r="M72" s="2">
        <v>138</v>
      </c>
      <c r="N72" s="2">
        <f t="shared" si="3"/>
        <v>0.42399999999999999</v>
      </c>
      <c r="O72" s="2">
        <v>50.323326999999999</v>
      </c>
      <c r="P72" s="2">
        <v>-122.80493300000001</v>
      </c>
      <c r="Q72" s="2" t="s">
        <v>2108</v>
      </c>
      <c r="R72" s="3" t="s">
        <v>24</v>
      </c>
      <c r="S72" s="2" t="s">
        <v>25</v>
      </c>
      <c r="T72" s="2" t="s">
        <v>26</v>
      </c>
    </row>
    <row r="73" spans="1:20" x14ac:dyDescent="0.2">
      <c r="A73" s="2">
        <v>214</v>
      </c>
      <c r="B73" s="2" t="s">
        <v>209</v>
      </c>
      <c r="C73" s="2" t="s">
        <v>210</v>
      </c>
      <c r="D73" s="2" t="s">
        <v>66</v>
      </c>
      <c r="E73" s="2" t="s">
        <v>20</v>
      </c>
      <c r="F73" s="2">
        <v>2020</v>
      </c>
      <c r="G73" s="2">
        <v>2022</v>
      </c>
      <c r="H73" s="2">
        <f>'mpi_dataset_summary_2017-2024'!$G73-'mpi_dataset_summary_2017-2024'!$F73+1</f>
        <v>3</v>
      </c>
      <c r="I73" s="2" t="s">
        <v>2113</v>
      </c>
      <c r="J73" s="2" t="s">
        <v>2113</v>
      </c>
      <c r="K73" s="2">
        <f>IF('mpi_dataset_summary_2017-2024'!$G73=2024,1,0)</f>
        <v>0</v>
      </c>
      <c r="L73" s="2">
        <f t="shared" si="2"/>
        <v>0</v>
      </c>
      <c r="M73" s="2">
        <v>0</v>
      </c>
      <c r="N73" s="2">
        <f t="shared" si="3"/>
        <v>0</v>
      </c>
      <c r="O73" s="2">
        <v>54.955037400000002</v>
      </c>
      <c r="P73" s="2">
        <v>-110.628581</v>
      </c>
      <c r="Q73" s="2" t="s">
        <v>2108</v>
      </c>
      <c r="R73" s="3" t="s">
        <v>24</v>
      </c>
      <c r="S73" s="2" t="s">
        <v>25</v>
      </c>
      <c r="T73" s="2" t="s">
        <v>26</v>
      </c>
    </row>
    <row r="74" spans="1:20" x14ac:dyDescent="0.2">
      <c r="A74" s="2">
        <v>215</v>
      </c>
      <c r="B74" s="2" t="s">
        <v>211</v>
      </c>
      <c r="C74" s="2" t="s">
        <v>212</v>
      </c>
      <c r="D74" s="2" t="s">
        <v>83</v>
      </c>
      <c r="E74" s="2" t="s">
        <v>20</v>
      </c>
      <c r="F74" s="2">
        <v>2017</v>
      </c>
      <c r="G74" s="2">
        <v>2024</v>
      </c>
      <c r="H74" s="2">
        <f>'mpi_dataset_summary_2017-2024'!$G74-'mpi_dataset_summary_2017-2024'!$F74+1</f>
        <v>8</v>
      </c>
      <c r="I74" s="2" t="s">
        <v>2111</v>
      </c>
      <c r="J74" s="2" t="s">
        <v>2110</v>
      </c>
      <c r="K74" s="2">
        <f>IF('mpi_dataset_summary_2017-2024'!$G74=2024,1,0)</f>
        <v>1</v>
      </c>
      <c r="L74" s="2">
        <f t="shared" si="2"/>
        <v>1</v>
      </c>
      <c r="M74" s="2">
        <v>2300</v>
      </c>
      <c r="N74" s="2">
        <f t="shared" si="3"/>
        <v>0.90600000000000003</v>
      </c>
      <c r="O74" s="2">
        <v>47.100045000000001</v>
      </c>
      <c r="P74" s="2">
        <v>-48.713379000000003</v>
      </c>
      <c r="Q74" s="2" t="s">
        <v>2108</v>
      </c>
      <c r="R74" s="3" t="s">
        <v>41</v>
      </c>
      <c r="S74" s="2" t="s">
        <v>25</v>
      </c>
      <c r="T74" s="2" t="s">
        <v>46</v>
      </c>
    </row>
    <row r="75" spans="1:20" x14ac:dyDescent="0.2">
      <c r="A75" s="2">
        <v>216</v>
      </c>
      <c r="B75" s="2" t="s">
        <v>209</v>
      </c>
      <c r="C75" s="2" t="s">
        <v>213</v>
      </c>
      <c r="D75" s="2" t="s">
        <v>83</v>
      </c>
      <c r="E75" s="2" t="s">
        <v>20</v>
      </c>
      <c r="F75" s="2">
        <v>2017</v>
      </c>
      <c r="G75" s="2">
        <v>2017</v>
      </c>
      <c r="H75" s="2">
        <f>'mpi_dataset_summary_2017-2024'!$G75-'mpi_dataset_summary_2017-2024'!$F75+1</f>
        <v>1</v>
      </c>
      <c r="I75" s="2" t="s">
        <v>2111</v>
      </c>
      <c r="J75" s="2" t="s">
        <v>2111</v>
      </c>
      <c r="K75" s="2">
        <f>IF('mpi_dataset_summary_2017-2024'!$G75=2024,1,0)</f>
        <v>0</v>
      </c>
      <c r="L75" s="2">
        <f t="shared" si="2"/>
        <v>0</v>
      </c>
      <c r="M75" s="2">
        <v>186</v>
      </c>
      <c r="N75" s="2">
        <f t="shared" si="3"/>
        <v>0.48</v>
      </c>
      <c r="O75" s="2">
        <v>45.981409999999997</v>
      </c>
      <c r="P75" s="2">
        <v>-50.166800000000002</v>
      </c>
      <c r="Q75" s="2" t="s">
        <v>2108</v>
      </c>
      <c r="R75" s="3" t="s">
        <v>39</v>
      </c>
      <c r="S75" s="2" t="s">
        <v>22</v>
      </c>
      <c r="T75" s="2" t="s">
        <v>40</v>
      </c>
    </row>
    <row r="76" spans="1:20" x14ac:dyDescent="0.2">
      <c r="A76" s="2">
        <v>219</v>
      </c>
      <c r="B76" s="2" t="s">
        <v>214</v>
      </c>
      <c r="C76" s="2" t="s">
        <v>215</v>
      </c>
      <c r="D76" s="2" t="s">
        <v>89</v>
      </c>
      <c r="E76" s="2" t="s">
        <v>43</v>
      </c>
      <c r="F76" s="2">
        <v>2017</v>
      </c>
      <c r="G76" s="2">
        <v>2023</v>
      </c>
      <c r="H76" s="2">
        <f>'mpi_dataset_summary_2017-2024'!$G76-'mpi_dataset_summary_2017-2024'!$F76+1</f>
        <v>7</v>
      </c>
      <c r="I76" s="2" t="s">
        <v>2110</v>
      </c>
      <c r="J76" s="2" t="s">
        <v>2110</v>
      </c>
      <c r="K76" s="2">
        <f>IF('mpi_dataset_summary_2017-2024'!$G76=2024,1,0)</f>
        <v>0</v>
      </c>
      <c r="L76" s="2">
        <f t="shared" si="2"/>
        <v>1</v>
      </c>
      <c r="M76" s="2">
        <v>6500</v>
      </c>
      <c r="N76" s="2">
        <f t="shared" si="3"/>
        <v>0.96199999999999997</v>
      </c>
      <c r="O76" s="2">
        <v>50.488936000000002</v>
      </c>
      <c r="P76" s="2">
        <v>-63.127848</v>
      </c>
      <c r="Q76" s="2" t="s">
        <v>2108</v>
      </c>
      <c r="R76" s="3" t="s">
        <v>24</v>
      </c>
      <c r="S76" s="2" t="s">
        <v>25</v>
      </c>
      <c r="T76" s="2" t="s">
        <v>26</v>
      </c>
    </row>
    <row r="77" spans="1:20" x14ac:dyDescent="0.2">
      <c r="A77" s="2">
        <v>220</v>
      </c>
      <c r="B77" s="2" t="s">
        <v>214</v>
      </c>
      <c r="C77" s="2" t="s">
        <v>216</v>
      </c>
      <c r="D77" s="2" t="s">
        <v>89</v>
      </c>
      <c r="E77" s="2" t="s">
        <v>43</v>
      </c>
      <c r="F77" s="2">
        <v>2017</v>
      </c>
      <c r="G77" s="2">
        <v>2024</v>
      </c>
      <c r="H77" s="2">
        <f>'mpi_dataset_summary_2017-2024'!$G77-'mpi_dataset_summary_2017-2024'!$F77+1</f>
        <v>8</v>
      </c>
      <c r="I77" s="2" t="s">
        <v>2110</v>
      </c>
      <c r="J77" s="2" t="s">
        <v>2110</v>
      </c>
      <c r="K77" s="2">
        <f>IF('mpi_dataset_summary_2017-2024'!$G77=2024,1,0)</f>
        <v>1</v>
      </c>
      <c r="L77" s="2">
        <f t="shared" si="2"/>
        <v>1</v>
      </c>
      <c r="M77" s="2">
        <v>1600</v>
      </c>
      <c r="N77" s="2">
        <f t="shared" si="3"/>
        <v>0.873</v>
      </c>
      <c r="O77" s="2">
        <v>45.328978999999997</v>
      </c>
      <c r="P77" s="2">
        <v>-73.875504000000006</v>
      </c>
      <c r="Q77" s="2" t="s">
        <v>2108</v>
      </c>
      <c r="R77" s="3" t="s">
        <v>24</v>
      </c>
      <c r="S77" s="2" t="s">
        <v>25</v>
      </c>
      <c r="T77" s="2" t="s">
        <v>26</v>
      </c>
    </row>
    <row r="78" spans="1:20" x14ac:dyDescent="0.2">
      <c r="A78" s="2">
        <v>235</v>
      </c>
      <c r="B78" s="2" t="s">
        <v>217</v>
      </c>
      <c r="C78" s="2" t="s">
        <v>218</v>
      </c>
      <c r="D78" s="2" t="s">
        <v>66</v>
      </c>
      <c r="E78" s="2" t="s">
        <v>20</v>
      </c>
      <c r="F78" s="2">
        <v>2017</v>
      </c>
      <c r="G78" s="2">
        <v>2017</v>
      </c>
      <c r="H78" s="2">
        <f>'mpi_dataset_summary_2017-2024'!$G78-'mpi_dataset_summary_2017-2024'!$F78+1</f>
        <v>1</v>
      </c>
      <c r="I78" s="2" t="s">
        <v>2110</v>
      </c>
      <c r="J78" s="2" t="s">
        <v>2110</v>
      </c>
      <c r="K78" s="2">
        <f>IF('mpi_dataset_summary_2017-2024'!$G78=2024,1,0)</f>
        <v>0</v>
      </c>
      <c r="L78" s="2">
        <f t="shared" si="2"/>
        <v>1</v>
      </c>
      <c r="M78" s="2">
        <v>774</v>
      </c>
      <c r="N78" s="2">
        <f t="shared" si="3"/>
        <v>0.76900000000000002</v>
      </c>
      <c r="O78" s="2">
        <v>56.3164712692138</v>
      </c>
      <c r="P78" s="2">
        <v>-111.634590625762</v>
      </c>
      <c r="Q78" s="2" t="s">
        <v>2108</v>
      </c>
      <c r="R78" s="3" t="s">
        <v>39</v>
      </c>
      <c r="S78" s="2" t="s">
        <v>22</v>
      </c>
      <c r="T78" s="2" t="s">
        <v>40</v>
      </c>
    </row>
    <row r="79" spans="1:20" x14ac:dyDescent="0.2">
      <c r="A79" s="2">
        <v>236</v>
      </c>
      <c r="B79" s="2" t="s">
        <v>219</v>
      </c>
      <c r="C79" s="2" t="s">
        <v>220</v>
      </c>
      <c r="D79" s="2" t="s">
        <v>110</v>
      </c>
      <c r="E79" s="2" t="s">
        <v>20</v>
      </c>
      <c r="F79" s="2">
        <v>2017</v>
      </c>
      <c r="G79" s="2">
        <v>2017</v>
      </c>
      <c r="H79" s="2">
        <f>'mpi_dataset_summary_2017-2024'!$G79-'mpi_dataset_summary_2017-2024'!$F79+1</f>
        <v>1</v>
      </c>
      <c r="I79" s="2" t="s">
        <v>2110</v>
      </c>
      <c r="J79" s="2" t="s">
        <v>2110</v>
      </c>
      <c r="K79" s="2">
        <f>IF('mpi_dataset_summary_2017-2024'!$G79=2024,1,0)</f>
        <v>0</v>
      </c>
      <c r="L79" s="2">
        <f t="shared" si="2"/>
        <v>1</v>
      </c>
      <c r="M79" s="2">
        <v>4100</v>
      </c>
      <c r="N79" s="2">
        <f t="shared" si="3"/>
        <v>0.94099999999999995</v>
      </c>
      <c r="O79" s="2">
        <v>50.711405999999997</v>
      </c>
      <c r="P79" s="2">
        <v>-105.20525000000001</v>
      </c>
      <c r="Q79" s="2" t="s">
        <v>2107</v>
      </c>
      <c r="R79" s="3" t="s">
        <v>33</v>
      </c>
      <c r="S79" s="2" t="s">
        <v>25</v>
      </c>
      <c r="T79" s="2" t="s">
        <v>34</v>
      </c>
    </row>
    <row r="80" spans="1:20" x14ac:dyDescent="0.2">
      <c r="A80" s="2">
        <v>238</v>
      </c>
      <c r="B80" s="2" t="s">
        <v>221</v>
      </c>
      <c r="C80" s="2" t="s">
        <v>222</v>
      </c>
      <c r="D80" s="2" t="s">
        <v>110</v>
      </c>
      <c r="E80" s="2" t="s">
        <v>20</v>
      </c>
      <c r="F80" s="2">
        <v>2017</v>
      </c>
      <c r="G80" s="2">
        <v>2024</v>
      </c>
      <c r="H80" s="2">
        <f>'mpi_dataset_summary_2017-2024'!$G80-'mpi_dataset_summary_2017-2024'!$F80+1</f>
        <v>8</v>
      </c>
      <c r="I80" s="2" t="s">
        <v>2112</v>
      </c>
      <c r="J80" s="2" t="s">
        <v>2113</v>
      </c>
      <c r="K80" s="2">
        <f>IF('mpi_dataset_summary_2017-2024'!$G80=2024,1,0)</f>
        <v>1</v>
      </c>
      <c r="L80" s="2">
        <f t="shared" si="2"/>
        <v>0</v>
      </c>
      <c r="M80" s="2">
        <v>789</v>
      </c>
      <c r="N80" s="2">
        <f t="shared" si="3"/>
        <v>0.77500000000000002</v>
      </c>
      <c r="O80" s="2">
        <v>51.709000000000003</v>
      </c>
      <c r="P80" s="2">
        <v>-104.057</v>
      </c>
      <c r="Q80" s="2" t="s">
        <v>2107</v>
      </c>
      <c r="R80" s="3" t="s">
        <v>29</v>
      </c>
      <c r="S80" s="2" t="s">
        <v>22</v>
      </c>
      <c r="T80" s="2" t="s">
        <v>30</v>
      </c>
    </row>
    <row r="81" spans="1:20" x14ac:dyDescent="0.2">
      <c r="A81" s="2">
        <v>241</v>
      </c>
      <c r="B81" s="2" t="s">
        <v>223</v>
      </c>
      <c r="C81" s="2" t="s">
        <v>224</v>
      </c>
      <c r="D81" s="2" t="s">
        <v>66</v>
      </c>
      <c r="E81" s="2" t="s">
        <v>20</v>
      </c>
      <c r="F81" s="2">
        <v>2017</v>
      </c>
      <c r="G81" s="2">
        <v>2022</v>
      </c>
      <c r="H81" s="2">
        <f>'mpi_dataset_summary_2017-2024'!$G81-'mpi_dataset_summary_2017-2024'!$F81+1</f>
        <v>6</v>
      </c>
      <c r="I81" s="2" t="s">
        <v>2111</v>
      </c>
      <c r="J81" s="2" t="s">
        <v>2110</v>
      </c>
      <c r="K81" s="2">
        <f>IF('mpi_dataset_summary_2017-2024'!$G81=2024,1,0)</f>
        <v>0</v>
      </c>
      <c r="L81" s="2">
        <f t="shared" si="2"/>
        <v>1</v>
      </c>
      <c r="M81" s="2">
        <v>125</v>
      </c>
      <c r="N81" s="2">
        <f t="shared" si="3"/>
        <v>0.40300000000000002</v>
      </c>
      <c r="O81" s="2">
        <v>53.745539000000001</v>
      </c>
      <c r="P81" s="2">
        <v>-113.17716799999999</v>
      </c>
      <c r="Q81" s="2" t="s">
        <v>2108</v>
      </c>
      <c r="R81" s="3" t="s">
        <v>49</v>
      </c>
      <c r="S81" s="2" t="s">
        <v>25</v>
      </c>
      <c r="T81" s="2" t="s">
        <v>50</v>
      </c>
    </row>
    <row r="82" spans="1:20" x14ac:dyDescent="0.2">
      <c r="A82" s="2">
        <v>242</v>
      </c>
      <c r="B82" s="2" t="s">
        <v>225</v>
      </c>
      <c r="C82" s="2" t="s">
        <v>226</v>
      </c>
      <c r="D82" s="2" t="s">
        <v>169</v>
      </c>
      <c r="E82" s="2" t="s">
        <v>20</v>
      </c>
      <c r="F82" s="2">
        <v>2017</v>
      </c>
      <c r="G82" s="2">
        <v>2023</v>
      </c>
      <c r="H82" s="2">
        <f>'mpi_dataset_summary_2017-2024'!$G82-'mpi_dataset_summary_2017-2024'!$F82+1</f>
        <v>7</v>
      </c>
      <c r="I82" s="2" t="s">
        <v>2112</v>
      </c>
      <c r="J82" s="2" t="s">
        <v>2110</v>
      </c>
      <c r="K82" s="2">
        <f>IF('mpi_dataset_summary_2017-2024'!$G82=2024,1,0)</f>
        <v>0</v>
      </c>
      <c r="L82" s="2">
        <f t="shared" si="2"/>
        <v>1</v>
      </c>
      <c r="M82" s="2">
        <v>30900</v>
      </c>
      <c r="N82" s="2">
        <f t="shared" si="3"/>
        <v>0.998</v>
      </c>
      <c r="O82" s="2">
        <v>53.543971999999997</v>
      </c>
      <c r="P82" s="2">
        <v>-113.497111</v>
      </c>
      <c r="Q82" s="2" t="s">
        <v>2108</v>
      </c>
      <c r="R82" s="3" t="s">
        <v>35</v>
      </c>
      <c r="S82" s="2" t="s">
        <v>22</v>
      </c>
      <c r="T82" s="2" t="s">
        <v>36</v>
      </c>
    </row>
    <row r="83" spans="1:20" x14ac:dyDescent="0.2">
      <c r="A83" s="2">
        <v>243</v>
      </c>
      <c r="B83" s="2" t="s">
        <v>227</v>
      </c>
      <c r="C83" s="2" t="s">
        <v>228</v>
      </c>
      <c r="D83" s="2" t="s">
        <v>66</v>
      </c>
      <c r="E83" s="2" t="s">
        <v>20</v>
      </c>
      <c r="F83" s="2">
        <v>2017</v>
      </c>
      <c r="G83" s="2">
        <v>2018</v>
      </c>
      <c r="H83" s="2">
        <f>'mpi_dataset_summary_2017-2024'!$G83-'mpi_dataset_summary_2017-2024'!$F83+1</f>
        <v>2</v>
      </c>
      <c r="I83" s="2" t="s">
        <v>2112</v>
      </c>
      <c r="J83" s="2" t="s">
        <v>2112</v>
      </c>
      <c r="K83" s="2">
        <f>IF('mpi_dataset_summary_2017-2024'!$G83=2024,1,0)</f>
        <v>0</v>
      </c>
      <c r="L83" s="2">
        <f t="shared" si="2"/>
        <v>0</v>
      </c>
      <c r="M83" s="2">
        <v>112</v>
      </c>
      <c r="N83" s="2">
        <f t="shared" si="3"/>
        <v>0.379</v>
      </c>
      <c r="O83" s="2">
        <v>53.547448000000003</v>
      </c>
      <c r="P83" s="2">
        <v>-113.36076199999999</v>
      </c>
      <c r="Q83" s="2" t="s">
        <v>2108</v>
      </c>
      <c r="R83" s="3" t="s">
        <v>49</v>
      </c>
      <c r="S83" s="2" t="s">
        <v>25</v>
      </c>
      <c r="T83" s="2" t="s">
        <v>50</v>
      </c>
    </row>
    <row r="84" spans="1:20" x14ac:dyDescent="0.2">
      <c r="A84" s="2">
        <v>245</v>
      </c>
      <c r="B84" s="2" t="s">
        <v>229</v>
      </c>
      <c r="C84" s="2" t="s">
        <v>230</v>
      </c>
      <c r="D84" s="2" t="s">
        <v>69</v>
      </c>
      <c r="E84" s="2" t="s">
        <v>20</v>
      </c>
      <c r="F84" s="2">
        <v>2018</v>
      </c>
      <c r="G84" s="2">
        <v>2020</v>
      </c>
      <c r="H84" s="2">
        <f>'mpi_dataset_summary_2017-2024'!$G84-'mpi_dataset_summary_2017-2024'!$F84+1</f>
        <v>3</v>
      </c>
      <c r="I84" s="2" t="s">
        <v>2112</v>
      </c>
      <c r="J84" s="2" t="s">
        <v>2112</v>
      </c>
      <c r="K84" s="2">
        <f>IF('mpi_dataset_summary_2017-2024'!$G84=2024,1,0)</f>
        <v>0</v>
      </c>
      <c r="L84" s="2">
        <f t="shared" si="2"/>
        <v>0</v>
      </c>
      <c r="M84" s="2">
        <v>150</v>
      </c>
      <c r="N84" s="2">
        <f t="shared" si="3"/>
        <v>0.442</v>
      </c>
      <c r="O84" s="2">
        <v>53.595765</v>
      </c>
      <c r="P84" s="2">
        <v>-128.66658799999999</v>
      </c>
      <c r="Q84" s="2" t="s">
        <v>2108</v>
      </c>
      <c r="R84" s="3" t="s">
        <v>24</v>
      </c>
      <c r="S84" s="2" t="s">
        <v>25</v>
      </c>
      <c r="T84" s="2" t="s">
        <v>26</v>
      </c>
    </row>
    <row r="85" spans="1:20" x14ac:dyDescent="0.2">
      <c r="A85" s="2">
        <v>247</v>
      </c>
      <c r="B85" s="2" t="s">
        <v>231</v>
      </c>
      <c r="C85" s="2" t="s">
        <v>232</v>
      </c>
      <c r="D85" s="2" t="s">
        <v>66</v>
      </c>
      <c r="E85" s="2" t="s">
        <v>20</v>
      </c>
      <c r="F85" s="2">
        <v>2017</v>
      </c>
      <c r="G85" s="2">
        <v>2023</v>
      </c>
      <c r="H85" s="2">
        <f>'mpi_dataset_summary_2017-2024'!$G85-'mpi_dataset_summary_2017-2024'!$F85+1</f>
        <v>7</v>
      </c>
      <c r="I85" s="2" t="s">
        <v>2113</v>
      </c>
      <c r="J85" s="2" t="s">
        <v>2113</v>
      </c>
      <c r="K85" s="2">
        <f>IF('mpi_dataset_summary_2017-2024'!$G85=2024,1,0)</f>
        <v>0</v>
      </c>
      <c r="L85" s="2">
        <f t="shared" si="2"/>
        <v>0</v>
      </c>
      <c r="M85" s="2">
        <v>800</v>
      </c>
      <c r="N85" s="2">
        <f t="shared" si="3"/>
        <v>0.77700000000000002</v>
      </c>
      <c r="O85" s="2">
        <v>56.2953799</v>
      </c>
      <c r="P85" s="2">
        <v>-113.5252533</v>
      </c>
      <c r="Q85" s="2" t="s">
        <v>2108</v>
      </c>
      <c r="R85" s="3" t="s">
        <v>41</v>
      </c>
      <c r="S85" s="2" t="s">
        <v>25</v>
      </c>
      <c r="T85" s="2" t="s">
        <v>46</v>
      </c>
    </row>
    <row r="86" spans="1:20" x14ac:dyDescent="0.2">
      <c r="A86" s="2">
        <v>256</v>
      </c>
      <c r="B86" s="2" t="s">
        <v>233</v>
      </c>
      <c r="C86" s="2" t="s">
        <v>234</v>
      </c>
      <c r="D86" s="2" t="s">
        <v>69</v>
      </c>
      <c r="E86" s="2" t="s">
        <v>20</v>
      </c>
      <c r="F86" s="2">
        <v>2020</v>
      </c>
      <c r="G86" s="2">
        <v>2024</v>
      </c>
      <c r="H86" s="2">
        <f>'mpi_dataset_summary_2017-2024'!$G86-'mpi_dataset_summary_2017-2024'!$F86+1</f>
        <v>5</v>
      </c>
      <c r="I86" s="2" t="s">
        <v>2112</v>
      </c>
      <c r="J86" s="2" t="s">
        <v>2112</v>
      </c>
      <c r="K86" s="2">
        <f>IF('mpi_dataset_summary_2017-2024'!$G86=2024,1,0)</f>
        <v>1</v>
      </c>
      <c r="L86" s="2">
        <f t="shared" si="2"/>
        <v>0</v>
      </c>
      <c r="M86" s="2">
        <v>100</v>
      </c>
      <c r="N86" s="2">
        <f t="shared" si="3"/>
        <v>0.34300000000000003</v>
      </c>
      <c r="O86" s="2">
        <v>55.916670000000003</v>
      </c>
      <c r="P86" s="2">
        <v>-125.58333</v>
      </c>
      <c r="Q86" s="2" t="s">
        <v>2107</v>
      </c>
      <c r="R86" s="3" t="s">
        <v>31</v>
      </c>
      <c r="S86" s="2" t="s">
        <v>22</v>
      </c>
      <c r="T86" s="2" t="s">
        <v>32</v>
      </c>
    </row>
    <row r="87" spans="1:20" x14ac:dyDescent="0.2">
      <c r="A87" s="2">
        <v>260</v>
      </c>
      <c r="B87" s="2" t="s">
        <v>235</v>
      </c>
      <c r="C87" s="2" t="s">
        <v>236</v>
      </c>
      <c r="D87" s="2" t="s">
        <v>86</v>
      </c>
      <c r="E87" s="2" t="s">
        <v>43</v>
      </c>
      <c r="F87" s="2">
        <v>2017</v>
      </c>
      <c r="G87" s="2">
        <v>2017</v>
      </c>
      <c r="H87" s="2">
        <f>'mpi_dataset_summary_2017-2024'!$G87-'mpi_dataset_summary_2017-2024'!$F87+1</f>
        <v>1</v>
      </c>
      <c r="I87" s="2" t="s">
        <v>2110</v>
      </c>
      <c r="J87" s="2" t="s">
        <v>2110</v>
      </c>
      <c r="K87" s="2">
        <f>IF('mpi_dataset_summary_2017-2024'!$G87=2024,1,0)</f>
        <v>0</v>
      </c>
      <c r="L87" s="2">
        <f t="shared" si="2"/>
        <v>1</v>
      </c>
      <c r="M87" s="2">
        <v>5040</v>
      </c>
      <c r="N87" s="2">
        <f t="shared" si="3"/>
        <v>0.95199999999999996</v>
      </c>
      <c r="O87" s="2">
        <v>56.755679000000001</v>
      </c>
      <c r="P87" s="2">
        <v>-93.648274999999998</v>
      </c>
      <c r="Q87" s="2" t="s">
        <v>2108</v>
      </c>
      <c r="R87" s="3" t="s">
        <v>35</v>
      </c>
      <c r="S87" s="2" t="s">
        <v>22</v>
      </c>
      <c r="T87" s="2" t="s">
        <v>36</v>
      </c>
    </row>
    <row r="88" spans="1:20" x14ac:dyDescent="0.2">
      <c r="A88" s="2">
        <v>261</v>
      </c>
      <c r="B88" s="2" t="s">
        <v>235</v>
      </c>
      <c r="C88" s="2" t="s">
        <v>237</v>
      </c>
      <c r="D88" s="2" t="s">
        <v>86</v>
      </c>
      <c r="E88" s="2" t="s">
        <v>43</v>
      </c>
      <c r="F88" s="2">
        <v>2017</v>
      </c>
      <c r="G88" s="2">
        <v>2022</v>
      </c>
      <c r="H88" s="2">
        <f>'mpi_dataset_summary_2017-2024'!$G88-'mpi_dataset_summary_2017-2024'!$F88+1</f>
        <v>6</v>
      </c>
      <c r="I88" s="2" t="s">
        <v>2110</v>
      </c>
      <c r="J88" s="2" t="s">
        <v>2110</v>
      </c>
      <c r="K88" s="2">
        <f>IF('mpi_dataset_summary_2017-2024'!$G88=2024,1,0)</f>
        <v>0</v>
      </c>
      <c r="L88" s="2">
        <f t="shared" si="2"/>
        <v>1</v>
      </c>
      <c r="M88" s="2">
        <v>8726</v>
      </c>
      <c r="N88" s="2">
        <f t="shared" si="3"/>
        <v>0.97299999999999998</v>
      </c>
      <c r="O88" s="2">
        <v>56.351556000000002</v>
      </c>
      <c r="P88" s="2">
        <v>-95.180260000000004</v>
      </c>
      <c r="Q88" s="2" t="s">
        <v>2108</v>
      </c>
      <c r="R88" s="3" t="s">
        <v>41</v>
      </c>
      <c r="S88" s="2" t="s">
        <v>25</v>
      </c>
      <c r="T88" s="2" t="s">
        <v>46</v>
      </c>
    </row>
    <row r="89" spans="1:20" x14ac:dyDescent="0.2">
      <c r="A89" s="2">
        <v>266</v>
      </c>
      <c r="B89" s="2" t="s">
        <v>238</v>
      </c>
      <c r="C89" s="2" t="s">
        <v>239</v>
      </c>
      <c r="D89" s="2" t="s">
        <v>66</v>
      </c>
      <c r="E89" s="2" t="s">
        <v>20</v>
      </c>
      <c r="F89" s="2">
        <v>2017</v>
      </c>
      <c r="G89" s="2">
        <v>2018</v>
      </c>
      <c r="H89" s="2">
        <f>'mpi_dataset_summary_2017-2024'!$G89-'mpi_dataset_summary_2017-2024'!$F89+1</f>
        <v>2</v>
      </c>
      <c r="I89" s="2" t="s">
        <v>2111</v>
      </c>
      <c r="J89" s="2" t="s">
        <v>2110</v>
      </c>
      <c r="K89" s="2">
        <f>IF('mpi_dataset_summary_2017-2024'!$G89=2024,1,0)</f>
        <v>0</v>
      </c>
      <c r="L89" s="2">
        <f t="shared" si="2"/>
        <v>1</v>
      </c>
      <c r="M89" s="2">
        <v>1400</v>
      </c>
      <c r="N89" s="2">
        <f t="shared" si="3"/>
        <v>0.85699999999999998</v>
      </c>
      <c r="O89" s="2">
        <v>53.877226</v>
      </c>
      <c r="P89" s="2">
        <v>-119.121348</v>
      </c>
      <c r="Q89" s="2" t="s">
        <v>2108</v>
      </c>
      <c r="R89" s="3" t="s">
        <v>41</v>
      </c>
      <c r="S89" s="2" t="s">
        <v>25</v>
      </c>
      <c r="T89" s="2" t="s">
        <v>46</v>
      </c>
    </row>
    <row r="90" spans="1:20" x14ac:dyDescent="0.2">
      <c r="A90" s="2">
        <v>269</v>
      </c>
      <c r="B90" s="2" t="s">
        <v>240</v>
      </c>
      <c r="C90" s="2" t="s">
        <v>241</v>
      </c>
      <c r="D90" s="2" t="s">
        <v>110</v>
      </c>
      <c r="E90" s="2" t="s">
        <v>20</v>
      </c>
      <c r="F90" s="2">
        <v>2018</v>
      </c>
      <c r="G90" s="2">
        <v>2022</v>
      </c>
      <c r="H90" s="2">
        <f>'mpi_dataset_summary_2017-2024'!$G90-'mpi_dataset_summary_2017-2024'!$F90+1</f>
        <v>5</v>
      </c>
      <c r="I90" s="2" t="s">
        <v>2111</v>
      </c>
      <c r="J90" s="2" t="s">
        <v>2110</v>
      </c>
      <c r="K90" s="2">
        <f>IF('mpi_dataset_summary_2017-2024'!$G90=2024,1,0)</f>
        <v>0</v>
      </c>
      <c r="L90" s="2">
        <f t="shared" si="2"/>
        <v>1</v>
      </c>
      <c r="M90" s="2">
        <v>80</v>
      </c>
      <c r="N90" s="2">
        <f t="shared" si="3"/>
        <v>0.30499999999999999</v>
      </c>
      <c r="O90" s="2">
        <v>55.168965999999998</v>
      </c>
      <c r="P90" s="2">
        <v>-108.15476099999999</v>
      </c>
      <c r="Q90" s="2" t="s">
        <v>2108</v>
      </c>
      <c r="R90" s="3" t="s">
        <v>27</v>
      </c>
      <c r="S90" s="2" t="s">
        <v>25</v>
      </c>
      <c r="T90" s="2" t="s">
        <v>28</v>
      </c>
    </row>
    <row r="91" spans="1:20" x14ac:dyDescent="0.2">
      <c r="A91" s="2">
        <v>273</v>
      </c>
      <c r="B91" s="2" t="s">
        <v>242</v>
      </c>
      <c r="C91" s="2" t="s">
        <v>243</v>
      </c>
      <c r="D91" s="2" t="s">
        <v>89</v>
      </c>
      <c r="E91" s="2" t="s">
        <v>20</v>
      </c>
      <c r="F91" s="2">
        <v>2017</v>
      </c>
      <c r="G91" s="2">
        <v>2023</v>
      </c>
      <c r="H91" s="2">
        <f>'mpi_dataset_summary_2017-2024'!$G91-'mpi_dataset_summary_2017-2024'!$F91+1</f>
        <v>7</v>
      </c>
      <c r="I91" s="2" t="s">
        <v>2112</v>
      </c>
      <c r="J91" s="2" t="s">
        <v>2113</v>
      </c>
      <c r="K91" s="2">
        <f>IF('mpi_dataset_summary_2017-2024'!$G91=2024,1,0)</f>
        <v>0</v>
      </c>
      <c r="L91" s="2">
        <f t="shared" si="2"/>
        <v>0</v>
      </c>
      <c r="M91" s="2">
        <v>1200</v>
      </c>
      <c r="N91" s="2">
        <f t="shared" si="3"/>
        <v>0.82899999999999996</v>
      </c>
      <c r="O91" s="2">
        <v>49.875610000000002</v>
      </c>
      <c r="P91" s="2">
        <v>-74.403533999999993</v>
      </c>
      <c r="Q91" s="2" t="s">
        <v>2107</v>
      </c>
      <c r="R91" s="3" t="s">
        <v>33</v>
      </c>
      <c r="S91" s="2" t="s">
        <v>25</v>
      </c>
      <c r="T91" s="2" t="s">
        <v>34</v>
      </c>
    </row>
    <row r="92" spans="1:20" x14ac:dyDescent="0.2">
      <c r="A92" s="2">
        <v>276</v>
      </c>
      <c r="B92" s="2" t="s">
        <v>244</v>
      </c>
      <c r="C92" s="2" t="s">
        <v>245</v>
      </c>
      <c r="D92" s="2" t="s">
        <v>89</v>
      </c>
      <c r="E92" s="2" t="s">
        <v>20</v>
      </c>
      <c r="F92" s="2">
        <v>2017</v>
      </c>
      <c r="G92" s="2">
        <v>2019</v>
      </c>
      <c r="H92" s="2">
        <f>'mpi_dataset_summary_2017-2024'!$G92-'mpi_dataset_summary_2017-2024'!$F92+1</f>
        <v>3</v>
      </c>
      <c r="I92" s="2" t="s">
        <v>2113</v>
      </c>
      <c r="J92" s="2" t="s">
        <v>2113</v>
      </c>
      <c r="K92" s="2">
        <f>IF('mpi_dataset_summary_2017-2024'!$G92=2024,1,0)</f>
        <v>0</v>
      </c>
      <c r="L92" s="2">
        <f t="shared" si="2"/>
        <v>0</v>
      </c>
      <c r="M92" s="2">
        <v>772</v>
      </c>
      <c r="N92" s="2">
        <f t="shared" si="3"/>
        <v>0.76900000000000002</v>
      </c>
      <c r="O92" s="2">
        <v>50.262132000000001</v>
      </c>
      <c r="P92" s="2">
        <v>-66.568909000000005</v>
      </c>
      <c r="Q92" s="2" t="s">
        <v>2107</v>
      </c>
      <c r="R92" s="3" t="s">
        <v>29</v>
      </c>
      <c r="S92" s="2" t="s">
        <v>22</v>
      </c>
      <c r="T92" s="2" t="s">
        <v>30</v>
      </c>
    </row>
    <row r="93" spans="1:20" x14ac:dyDescent="0.2">
      <c r="A93" s="2">
        <v>281</v>
      </c>
      <c r="B93" s="2" t="s">
        <v>246</v>
      </c>
      <c r="C93" s="2" t="s">
        <v>247</v>
      </c>
      <c r="D93" s="2" t="s">
        <v>110</v>
      </c>
      <c r="E93" s="2" t="s">
        <v>20</v>
      </c>
      <c r="F93" s="2">
        <v>2017</v>
      </c>
      <c r="G93" s="2">
        <v>2022</v>
      </c>
      <c r="H93" s="2">
        <f>'mpi_dataset_summary_2017-2024'!$G93-'mpi_dataset_summary_2017-2024'!$F93+1</f>
        <v>6</v>
      </c>
      <c r="I93" s="2" t="s">
        <v>2110</v>
      </c>
      <c r="J93" s="2" t="s">
        <v>2110</v>
      </c>
      <c r="K93" s="2">
        <f>IF('mpi_dataset_summary_2017-2024'!$G93=2024,1,0)</f>
        <v>0</v>
      </c>
      <c r="L93" s="2">
        <f t="shared" si="2"/>
        <v>1</v>
      </c>
      <c r="M93" s="2">
        <v>3200</v>
      </c>
      <c r="N93" s="2">
        <f t="shared" si="3"/>
        <v>0.92200000000000004</v>
      </c>
      <c r="O93" s="2">
        <v>50.659473079092898</v>
      </c>
      <c r="P93" s="2">
        <v>-101.84214591979899</v>
      </c>
      <c r="Q93" s="2" t="s">
        <v>2107</v>
      </c>
      <c r="R93" s="3" t="s">
        <v>29</v>
      </c>
      <c r="S93" s="2" t="s">
        <v>22</v>
      </c>
      <c r="T93" s="2" t="s">
        <v>30</v>
      </c>
    </row>
    <row r="94" spans="1:20" x14ac:dyDescent="0.2">
      <c r="A94" s="2">
        <v>283</v>
      </c>
      <c r="B94" s="2" t="s">
        <v>248</v>
      </c>
      <c r="C94" s="2" t="s">
        <v>249</v>
      </c>
      <c r="D94" s="2" t="s">
        <v>69</v>
      </c>
      <c r="E94" s="2" t="s">
        <v>20</v>
      </c>
      <c r="F94" s="2">
        <v>2017</v>
      </c>
      <c r="G94" s="2">
        <v>2024</v>
      </c>
      <c r="H94" s="2">
        <f>'mpi_dataset_summary_2017-2024'!$G94-'mpi_dataset_summary_2017-2024'!$F94+1</f>
        <v>8</v>
      </c>
      <c r="I94" s="2" t="s">
        <v>2112</v>
      </c>
      <c r="J94" s="2" t="s">
        <v>2111</v>
      </c>
      <c r="K94" s="2">
        <f>IF('mpi_dataset_summary_2017-2024'!$G94=2024,1,0)</f>
        <v>1</v>
      </c>
      <c r="L94" s="2">
        <f t="shared" si="2"/>
        <v>0</v>
      </c>
      <c r="M94" s="2">
        <v>125</v>
      </c>
      <c r="N94" s="2">
        <f t="shared" si="3"/>
        <v>0.40300000000000002</v>
      </c>
      <c r="O94" s="2">
        <v>54.291482999999999</v>
      </c>
      <c r="P94" s="2">
        <v>-130.30820299999999</v>
      </c>
      <c r="Q94" s="2" t="s">
        <v>2108</v>
      </c>
      <c r="R94" s="3" t="s">
        <v>24</v>
      </c>
      <c r="S94" s="2" t="s">
        <v>25</v>
      </c>
      <c r="T94" s="2" t="s">
        <v>26</v>
      </c>
    </row>
    <row r="95" spans="1:20" x14ac:dyDescent="0.2">
      <c r="A95" s="2">
        <v>290</v>
      </c>
      <c r="B95" s="2" t="s">
        <v>250</v>
      </c>
      <c r="C95" s="2" t="s">
        <v>251</v>
      </c>
      <c r="D95" s="2" t="s">
        <v>83</v>
      </c>
      <c r="E95" s="2" t="s">
        <v>20</v>
      </c>
      <c r="F95" s="2">
        <v>2017</v>
      </c>
      <c r="G95" s="2">
        <v>2020</v>
      </c>
      <c r="H95" s="2">
        <f>'mpi_dataset_summary_2017-2024'!$G95-'mpi_dataset_summary_2017-2024'!$F95+1</f>
        <v>4</v>
      </c>
      <c r="I95" s="2" t="s">
        <v>2110</v>
      </c>
      <c r="J95" s="2" t="s">
        <v>2110</v>
      </c>
      <c r="K95" s="2">
        <f>IF('mpi_dataset_summary_2017-2024'!$G95=2024,1,0)</f>
        <v>0</v>
      </c>
      <c r="L95" s="2">
        <f t="shared" si="2"/>
        <v>1</v>
      </c>
      <c r="M95" s="2">
        <v>5500</v>
      </c>
      <c r="N95" s="2">
        <f t="shared" si="3"/>
        <v>0.95599999999999996</v>
      </c>
      <c r="O95" s="2">
        <v>53.314467</v>
      </c>
      <c r="P95" s="2">
        <v>-60.744231999999997</v>
      </c>
      <c r="Q95" s="2" t="s">
        <v>2108</v>
      </c>
      <c r="R95" s="3" t="s">
        <v>35</v>
      </c>
      <c r="S95" s="2" t="s">
        <v>22</v>
      </c>
      <c r="T95" s="2" t="s">
        <v>36</v>
      </c>
    </row>
    <row r="96" spans="1:20" x14ac:dyDescent="0.2">
      <c r="A96" s="2">
        <v>292</v>
      </c>
      <c r="B96" s="2" t="s">
        <v>252</v>
      </c>
      <c r="C96" s="2" t="s">
        <v>253</v>
      </c>
      <c r="D96" s="2" t="s">
        <v>161</v>
      </c>
      <c r="E96" s="2" t="s">
        <v>20</v>
      </c>
      <c r="F96" s="2">
        <v>2017</v>
      </c>
      <c r="G96" s="2">
        <v>2022</v>
      </c>
      <c r="H96" s="2">
        <f>'mpi_dataset_summary_2017-2024'!$G96-'mpi_dataset_summary_2017-2024'!$F96+1</f>
        <v>6</v>
      </c>
      <c r="I96" s="2" t="s">
        <v>2110</v>
      </c>
      <c r="J96" s="2" t="s">
        <v>2110</v>
      </c>
      <c r="K96" s="2">
        <f>IF('mpi_dataset_summary_2017-2024'!$G96=2024,1,0)</f>
        <v>0</v>
      </c>
      <c r="L96" s="2">
        <f t="shared" si="2"/>
        <v>1</v>
      </c>
      <c r="M96" s="2">
        <v>273</v>
      </c>
      <c r="N96" s="2">
        <f t="shared" si="3"/>
        <v>0.56100000000000005</v>
      </c>
      <c r="O96" s="2">
        <v>43.942405999999998</v>
      </c>
      <c r="P96" s="2">
        <v>-78.466517999999994</v>
      </c>
      <c r="Q96" s="2" t="s">
        <v>2108</v>
      </c>
      <c r="R96" s="3" t="s">
        <v>27</v>
      </c>
      <c r="S96" s="2" t="s">
        <v>25</v>
      </c>
      <c r="T96" s="2" t="s">
        <v>28</v>
      </c>
    </row>
    <row r="97" spans="1:20" x14ac:dyDescent="0.2">
      <c r="A97" s="2">
        <v>293</v>
      </c>
      <c r="B97" s="2" t="s">
        <v>254</v>
      </c>
      <c r="C97" s="2" t="s">
        <v>255</v>
      </c>
      <c r="D97" s="2" t="s">
        <v>66</v>
      </c>
      <c r="E97" s="2" t="s">
        <v>20</v>
      </c>
      <c r="F97" s="2">
        <v>2017</v>
      </c>
      <c r="G97" s="2">
        <v>2024</v>
      </c>
      <c r="H97" s="2">
        <f>'mpi_dataset_summary_2017-2024'!$G97-'mpi_dataset_summary_2017-2024'!$F97+1</f>
        <v>8</v>
      </c>
      <c r="I97" s="2" t="s">
        <v>2113</v>
      </c>
      <c r="J97" s="2" t="s">
        <v>2110</v>
      </c>
      <c r="K97" s="2">
        <f>IF('mpi_dataset_summary_2017-2024'!$G97=2024,1,0)</f>
        <v>1</v>
      </c>
      <c r="L97" s="2">
        <f t="shared" si="2"/>
        <v>1</v>
      </c>
      <c r="M97" s="2">
        <v>500</v>
      </c>
      <c r="N97" s="2">
        <f t="shared" si="3"/>
        <v>0.67800000000000005</v>
      </c>
      <c r="O97" s="2">
        <v>49.95608</v>
      </c>
      <c r="P97" s="2">
        <v>-110.265759</v>
      </c>
      <c r="Q97" s="2" t="s">
        <v>2108</v>
      </c>
      <c r="R97" s="3" t="s">
        <v>24</v>
      </c>
      <c r="S97" s="2" t="s">
        <v>25</v>
      </c>
      <c r="T97" s="2" t="s">
        <v>26</v>
      </c>
    </row>
    <row r="98" spans="1:20" x14ac:dyDescent="0.2">
      <c r="A98" s="2">
        <v>294</v>
      </c>
      <c r="B98" s="2" t="s">
        <v>256</v>
      </c>
      <c r="C98" s="2" t="s">
        <v>257</v>
      </c>
      <c r="D98" s="2" t="s">
        <v>258</v>
      </c>
      <c r="E98" s="2" t="s">
        <v>43</v>
      </c>
      <c r="F98" s="2">
        <v>2019</v>
      </c>
      <c r="G98" s="2">
        <v>2023</v>
      </c>
      <c r="H98" s="2">
        <f>'mpi_dataset_summary_2017-2024'!$G98-'mpi_dataset_summary_2017-2024'!$F98+1</f>
        <v>5</v>
      </c>
      <c r="I98" s="2" t="s">
        <v>2112</v>
      </c>
      <c r="J98" s="2" t="s">
        <v>2112</v>
      </c>
      <c r="K98" s="2">
        <f>IF('mpi_dataset_summary_2017-2024'!$G98=2024,1,0)</f>
        <v>0</v>
      </c>
      <c r="L98" s="2">
        <f t="shared" si="2"/>
        <v>0</v>
      </c>
      <c r="M98" s="2">
        <v>3250</v>
      </c>
      <c r="N98" s="2">
        <f t="shared" si="3"/>
        <v>0.92400000000000004</v>
      </c>
      <c r="O98" s="2">
        <v>45.9544</v>
      </c>
      <c r="P98" s="2">
        <v>-66.867900000000006</v>
      </c>
      <c r="Q98" s="2" t="s">
        <v>2108</v>
      </c>
      <c r="R98" s="3" t="s">
        <v>24</v>
      </c>
      <c r="S98" s="2" t="s">
        <v>25</v>
      </c>
      <c r="T98" s="2" t="s">
        <v>26</v>
      </c>
    </row>
    <row r="99" spans="1:20" x14ac:dyDescent="0.2">
      <c r="A99" s="2">
        <v>298</v>
      </c>
      <c r="B99" s="2" t="s">
        <v>259</v>
      </c>
      <c r="C99" s="2" t="s">
        <v>260</v>
      </c>
      <c r="D99" s="2" t="s">
        <v>258</v>
      </c>
      <c r="E99" s="2" t="s">
        <v>43</v>
      </c>
      <c r="F99" s="2">
        <v>2017</v>
      </c>
      <c r="G99" s="2">
        <v>2024</v>
      </c>
      <c r="H99" s="2">
        <f>'mpi_dataset_summary_2017-2024'!$G99-'mpi_dataset_summary_2017-2024'!$F99+1</f>
        <v>8</v>
      </c>
      <c r="I99" s="2" t="s">
        <v>2110</v>
      </c>
      <c r="J99" s="2" t="s">
        <v>2110</v>
      </c>
      <c r="K99" s="2">
        <f>IF('mpi_dataset_summary_2017-2024'!$G99=2024,1,0)</f>
        <v>1</v>
      </c>
      <c r="L99" s="2">
        <f t="shared" si="2"/>
        <v>1</v>
      </c>
      <c r="M99" s="2">
        <v>227</v>
      </c>
      <c r="N99" s="2">
        <f t="shared" si="3"/>
        <v>0.52300000000000002</v>
      </c>
      <c r="O99" s="2">
        <v>45.275179999999999</v>
      </c>
      <c r="P99" s="2">
        <v>-66.068562999999997</v>
      </c>
      <c r="Q99" s="2" t="s">
        <v>2108</v>
      </c>
      <c r="R99" s="3" t="s">
        <v>35</v>
      </c>
      <c r="S99" s="2" t="s">
        <v>22</v>
      </c>
      <c r="T99" s="2" t="s">
        <v>36</v>
      </c>
    </row>
    <row r="100" spans="1:20" x14ac:dyDescent="0.2">
      <c r="A100" s="2">
        <v>299</v>
      </c>
      <c r="B100" s="2" t="s">
        <v>261</v>
      </c>
      <c r="C100" s="2" t="s">
        <v>262</v>
      </c>
      <c r="D100" s="2" t="s">
        <v>89</v>
      </c>
      <c r="E100" s="2" t="s">
        <v>20</v>
      </c>
      <c r="F100" s="2">
        <v>2017</v>
      </c>
      <c r="G100" s="2">
        <v>2024</v>
      </c>
      <c r="H100" s="2">
        <f>'mpi_dataset_summary_2017-2024'!$G100-'mpi_dataset_summary_2017-2024'!$F100+1</f>
        <v>8</v>
      </c>
      <c r="I100" s="2" t="s">
        <v>2110</v>
      </c>
      <c r="J100" s="2" t="s">
        <v>2110</v>
      </c>
      <c r="K100" s="2">
        <f>IF('mpi_dataset_summary_2017-2024'!$G100=2024,1,0)</f>
        <v>1</v>
      </c>
      <c r="L100" s="2">
        <f t="shared" si="2"/>
        <v>1</v>
      </c>
      <c r="M100" s="2">
        <v>1652</v>
      </c>
      <c r="N100" s="2">
        <f t="shared" si="3"/>
        <v>0.88300000000000001</v>
      </c>
      <c r="O100" s="2">
        <v>51.682000000000002</v>
      </c>
      <c r="P100" s="2">
        <v>-75.855000000000004</v>
      </c>
      <c r="Q100" s="2" t="s">
        <v>2107</v>
      </c>
      <c r="R100" s="3" t="s">
        <v>33</v>
      </c>
      <c r="S100" s="2" t="s">
        <v>25</v>
      </c>
      <c r="T100" s="2" t="s">
        <v>34</v>
      </c>
    </row>
    <row r="101" spans="1:20" x14ac:dyDescent="0.2">
      <c r="A101" s="2">
        <v>306</v>
      </c>
      <c r="B101" s="2" t="s">
        <v>263</v>
      </c>
      <c r="C101" s="2" t="s">
        <v>264</v>
      </c>
      <c r="D101" s="2" t="s">
        <v>66</v>
      </c>
      <c r="E101" s="2" t="s">
        <v>20</v>
      </c>
      <c r="F101" s="2">
        <v>2017</v>
      </c>
      <c r="G101" s="2">
        <v>2023</v>
      </c>
      <c r="H101" s="2">
        <f>'mpi_dataset_summary_2017-2024'!$G101-'mpi_dataset_summary_2017-2024'!$F101+1</f>
        <v>7</v>
      </c>
      <c r="I101" s="2" t="s">
        <v>2113</v>
      </c>
      <c r="J101" s="2" t="s">
        <v>2110</v>
      </c>
      <c r="K101" s="2">
        <f>IF('mpi_dataset_summary_2017-2024'!$G101=2024,1,0)</f>
        <v>0</v>
      </c>
      <c r="L101" s="2">
        <f t="shared" si="2"/>
        <v>1</v>
      </c>
      <c r="M101" s="2">
        <v>250</v>
      </c>
      <c r="N101" s="2">
        <f t="shared" si="3"/>
        <v>0.53500000000000003</v>
      </c>
      <c r="O101" s="2">
        <v>51.632562999999998</v>
      </c>
      <c r="P101" s="2">
        <v>-112.373964</v>
      </c>
      <c r="Q101" s="2" t="s">
        <v>2108</v>
      </c>
      <c r="R101" s="3" t="s">
        <v>24</v>
      </c>
      <c r="S101" s="2" t="s">
        <v>25</v>
      </c>
      <c r="T101" s="2" t="s">
        <v>26</v>
      </c>
    </row>
    <row r="102" spans="1:20" x14ac:dyDescent="0.2">
      <c r="A102" s="2">
        <v>308</v>
      </c>
      <c r="B102" s="2" t="s">
        <v>76</v>
      </c>
      <c r="C102" s="2" t="s">
        <v>265</v>
      </c>
      <c r="D102" s="2" t="s">
        <v>78</v>
      </c>
      <c r="E102" s="2" t="s">
        <v>20</v>
      </c>
      <c r="F102" s="2">
        <v>2021</v>
      </c>
      <c r="G102" s="2">
        <v>2022</v>
      </c>
      <c r="H102" s="2">
        <f>'mpi_dataset_summary_2017-2024'!$G102-'mpi_dataset_summary_2017-2024'!$F102+1</f>
        <v>2</v>
      </c>
      <c r="I102" s="2" t="s">
        <v>2111</v>
      </c>
      <c r="J102" s="2" t="s">
        <v>2113</v>
      </c>
      <c r="K102" s="2">
        <f>IF('mpi_dataset_summary_2017-2024'!$G102=2024,1,0)</f>
        <v>0</v>
      </c>
      <c r="L102" s="2">
        <f t="shared" si="2"/>
        <v>0</v>
      </c>
      <c r="M102" s="2">
        <v>683</v>
      </c>
      <c r="N102" s="2">
        <f t="shared" si="3"/>
        <v>0.74199999999999999</v>
      </c>
      <c r="O102" s="2">
        <v>68.058000000000007</v>
      </c>
      <c r="P102" s="2">
        <v>-106.595</v>
      </c>
      <c r="Q102" s="2" t="s">
        <v>2107</v>
      </c>
      <c r="R102" s="3" t="s">
        <v>29</v>
      </c>
      <c r="S102" s="2" t="s">
        <v>22</v>
      </c>
      <c r="T102" s="2" t="s">
        <v>30</v>
      </c>
    </row>
    <row r="103" spans="1:20" x14ac:dyDescent="0.2">
      <c r="A103" s="2">
        <v>309</v>
      </c>
      <c r="B103" s="2" t="s">
        <v>266</v>
      </c>
      <c r="C103" s="2" t="s">
        <v>267</v>
      </c>
      <c r="D103" s="2" t="s">
        <v>69</v>
      </c>
      <c r="E103" s="2" t="s">
        <v>20</v>
      </c>
      <c r="F103" s="2">
        <v>2020</v>
      </c>
      <c r="G103" s="2">
        <v>2023</v>
      </c>
      <c r="H103" s="2">
        <f>'mpi_dataset_summary_2017-2024'!$G103-'mpi_dataset_summary_2017-2024'!$F103+1</f>
        <v>4</v>
      </c>
      <c r="I103" s="2" t="s">
        <v>2111</v>
      </c>
      <c r="J103" s="2" t="s">
        <v>2111</v>
      </c>
      <c r="K103" s="2">
        <f>IF('mpi_dataset_summary_2017-2024'!$G103=2024,1,0)</f>
        <v>0</v>
      </c>
      <c r="L103" s="2">
        <f t="shared" si="2"/>
        <v>0</v>
      </c>
      <c r="M103" s="2">
        <v>400</v>
      </c>
      <c r="N103" s="2">
        <f t="shared" si="3"/>
        <v>0.63500000000000001</v>
      </c>
      <c r="O103" s="2">
        <v>51.013755000000003</v>
      </c>
      <c r="P103" s="2">
        <v>-127.642456</v>
      </c>
      <c r="Q103" s="2" t="s">
        <v>2108</v>
      </c>
      <c r="R103" s="3" t="s">
        <v>24</v>
      </c>
      <c r="S103" s="2" t="s">
        <v>25</v>
      </c>
      <c r="T103" s="2" t="s">
        <v>26</v>
      </c>
    </row>
    <row r="104" spans="1:20" x14ac:dyDescent="0.2">
      <c r="A104" s="2">
        <v>314</v>
      </c>
      <c r="B104" s="2" t="s">
        <v>268</v>
      </c>
      <c r="C104" s="2" t="s">
        <v>269</v>
      </c>
      <c r="D104" s="2" t="s">
        <v>161</v>
      </c>
      <c r="E104" s="2" t="s">
        <v>20</v>
      </c>
      <c r="F104" s="2">
        <v>2017</v>
      </c>
      <c r="G104" s="2">
        <v>2024</v>
      </c>
      <c r="H104" s="2">
        <f>'mpi_dataset_summary_2017-2024'!$G104-'mpi_dataset_summary_2017-2024'!$F104+1</f>
        <v>8</v>
      </c>
      <c r="I104" s="2" t="s">
        <v>2112</v>
      </c>
      <c r="J104" s="2" t="s">
        <v>2113</v>
      </c>
      <c r="K104" s="2">
        <f>IF('mpi_dataset_summary_2017-2024'!$G104=2024,1,0)</f>
        <v>1</v>
      </c>
      <c r="L104" s="2">
        <f t="shared" si="2"/>
        <v>0</v>
      </c>
      <c r="M104" s="2">
        <v>609.4</v>
      </c>
      <c r="N104" s="2">
        <f t="shared" si="3"/>
        <v>0.72599999999999998</v>
      </c>
      <c r="O104" s="2">
        <v>52.743000000000002</v>
      </c>
      <c r="P104" s="2">
        <v>-86.25</v>
      </c>
      <c r="Q104" s="2" t="s">
        <v>2107</v>
      </c>
      <c r="R104" s="3" t="s">
        <v>33</v>
      </c>
      <c r="S104" s="2" t="s">
        <v>25</v>
      </c>
      <c r="T104" s="2" t="s">
        <v>34</v>
      </c>
    </row>
    <row r="105" spans="1:20" x14ac:dyDescent="0.2">
      <c r="A105" s="2">
        <v>315</v>
      </c>
      <c r="B105" s="2" t="s">
        <v>270</v>
      </c>
      <c r="C105" s="2" t="s">
        <v>271</v>
      </c>
      <c r="D105" s="2" t="s">
        <v>161</v>
      </c>
      <c r="E105" s="2" t="s">
        <v>20</v>
      </c>
      <c r="F105" s="2">
        <v>2018</v>
      </c>
      <c r="G105" s="2">
        <v>2021</v>
      </c>
      <c r="H105" s="2">
        <f>'mpi_dataset_summary_2017-2024'!$G105-'mpi_dataset_summary_2017-2024'!$F105+1</f>
        <v>4</v>
      </c>
      <c r="I105" s="2" t="s">
        <v>2111</v>
      </c>
      <c r="J105" s="2" t="s">
        <v>2110</v>
      </c>
      <c r="K105" s="2">
        <f>IF('mpi_dataset_summary_2017-2024'!$G105=2024,1,0)</f>
        <v>0</v>
      </c>
      <c r="L105" s="2">
        <f t="shared" si="2"/>
        <v>1</v>
      </c>
      <c r="M105" s="2">
        <v>425</v>
      </c>
      <c r="N105" s="2">
        <f t="shared" si="3"/>
        <v>0.65</v>
      </c>
      <c r="O105" s="2">
        <v>49.172269</v>
      </c>
      <c r="P105" s="2">
        <v>-89.654032000000001</v>
      </c>
      <c r="Q105" s="2" t="s">
        <v>2107</v>
      </c>
      <c r="R105" s="3" t="s">
        <v>29</v>
      </c>
      <c r="S105" s="2" t="s">
        <v>22</v>
      </c>
      <c r="T105" s="2" t="s">
        <v>30</v>
      </c>
    </row>
    <row r="106" spans="1:20" x14ac:dyDescent="0.2">
      <c r="A106" s="2">
        <v>318</v>
      </c>
      <c r="B106" s="2" t="s">
        <v>272</v>
      </c>
      <c r="C106" s="2" t="s">
        <v>273</v>
      </c>
      <c r="D106" s="2" t="s">
        <v>89</v>
      </c>
      <c r="E106" s="2" t="s">
        <v>43</v>
      </c>
      <c r="F106" s="2">
        <v>2017</v>
      </c>
      <c r="G106" s="2">
        <v>2017</v>
      </c>
      <c r="H106" s="2">
        <f>'mpi_dataset_summary_2017-2024'!$G106-'mpi_dataset_summary_2017-2024'!$F106+1</f>
        <v>1</v>
      </c>
      <c r="I106" s="2" t="s">
        <v>2112</v>
      </c>
      <c r="J106" s="2" t="s">
        <v>2112</v>
      </c>
      <c r="K106" s="2">
        <f>IF('mpi_dataset_summary_2017-2024'!$G106=2024,1,0)</f>
        <v>0</v>
      </c>
      <c r="L106" s="2">
        <f t="shared" si="2"/>
        <v>0</v>
      </c>
      <c r="M106" s="2">
        <v>400</v>
      </c>
      <c r="N106" s="2">
        <f t="shared" si="3"/>
        <v>0.63500000000000001</v>
      </c>
      <c r="O106" s="2">
        <v>45.568390000000001</v>
      </c>
      <c r="P106" s="2">
        <v>-71.999690999999999</v>
      </c>
      <c r="Q106" s="2" t="s">
        <v>2108</v>
      </c>
      <c r="R106" s="3" t="s">
        <v>35</v>
      </c>
      <c r="S106" s="2" t="s">
        <v>22</v>
      </c>
      <c r="T106" s="2" t="s">
        <v>36</v>
      </c>
    </row>
    <row r="107" spans="1:20" x14ac:dyDescent="0.2">
      <c r="A107" s="2">
        <v>328</v>
      </c>
      <c r="B107" s="2" t="s">
        <v>274</v>
      </c>
      <c r="C107" s="2" t="s">
        <v>275</v>
      </c>
      <c r="D107" s="2" t="s">
        <v>185</v>
      </c>
      <c r="E107" s="2" t="s">
        <v>20</v>
      </c>
      <c r="F107" s="2">
        <v>2017</v>
      </c>
      <c r="G107" s="2">
        <v>2017</v>
      </c>
      <c r="H107" s="2">
        <f>'mpi_dataset_summary_2017-2024'!$G107-'mpi_dataset_summary_2017-2024'!$F107+1</f>
        <v>1</v>
      </c>
      <c r="I107" s="2" t="s">
        <v>2110</v>
      </c>
      <c r="J107" s="2" t="s">
        <v>2110</v>
      </c>
      <c r="K107" s="2">
        <f>IF('mpi_dataset_summary_2017-2024'!$G107=2024,1,0)</f>
        <v>0</v>
      </c>
      <c r="L107" s="2">
        <f t="shared" si="2"/>
        <v>1</v>
      </c>
      <c r="M107" s="2">
        <v>330</v>
      </c>
      <c r="N107" s="2">
        <f t="shared" si="3"/>
        <v>0.59499999999999997</v>
      </c>
      <c r="O107" s="2" t="s">
        <v>2114</v>
      </c>
      <c r="P107" s="2" t="s">
        <v>2114</v>
      </c>
      <c r="Q107" s="2" t="s">
        <v>2108</v>
      </c>
      <c r="R107" s="3" t="s">
        <v>24</v>
      </c>
      <c r="S107" s="2" t="s">
        <v>25</v>
      </c>
      <c r="T107" s="2" t="s">
        <v>26</v>
      </c>
    </row>
    <row r="108" spans="1:20" x14ac:dyDescent="0.2">
      <c r="A108" s="2">
        <v>329</v>
      </c>
      <c r="B108" s="2" t="s">
        <v>276</v>
      </c>
      <c r="C108" s="2" t="s">
        <v>277</v>
      </c>
      <c r="D108" s="2" t="s">
        <v>258</v>
      </c>
      <c r="E108" s="2" t="s">
        <v>20</v>
      </c>
      <c r="F108" s="2">
        <v>2017</v>
      </c>
      <c r="G108" s="2">
        <v>2024</v>
      </c>
      <c r="H108" s="2">
        <f>'mpi_dataset_summary_2017-2024'!$G108-'mpi_dataset_summary_2017-2024'!$F108+1</f>
        <v>8</v>
      </c>
      <c r="I108" s="2" t="s">
        <v>2112</v>
      </c>
      <c r="J108" s="2" t="s">
        <v>2113</v>
      </c>
      <c r="K108" s="2">
        <f>IF('mpi_dataset_summary_2017-2024'!$G108=2024,1,0)</f>
        <v>1</v>
      </c>
      <c r="L108" s="2">
        <f t="shared" si="2"/>
        <v>0</v>
      </c>
      <c r="M108" s="2">
        <v>579</v>
      </c>
      <c r="N108" s="2">
        <f t="shared" si="3"/>
        <v>0.70799999999999996</v>
      </c>
      <c r="O108" s="2">
        <v>46.365000000000002</v>
      </c>
      <c r="P108" s="2">
        <v>-67.045000000000002</v>
      </c>
      <c r="Q108" s="2" t="s">
        <v>2107</v>
      </c>
      <c r="R108" s="3" t="s">
        <v>41</v>
      </c>
      <c r="S108" s="2" t="s">
        <v>22</v>
      </c>
      <c r="T108" s="2" t="s">
        <v>42</v>
      </c>
    </row>
    <row r="109" spans="1:20" x14ac:dyDescent="0.2">
      <c r="A109" s="2">
        <v>333</v>
      </c>
      <c r="B109" s="2" t="s">
        <v>278</v>
      </c>
      <c r="C109" s="2" t="s">
        <v>279</v>
      </c>
      <c r="D109" s="2" t="s">
        <v>161</v>
      </c>
      <c r="E109" s="2" t="s">
        <v>43</v>
      </c>
      <c r="F109" s="2">
        <v>2017</v>
      </c>
      <c r="G109" s="2">
        <v>2024</v>
      </c>
      <c r="H109" s="2">
        <f>'mpi_dataset_summary_2017-2024'!$G109-'mpi_dataset_summary_2017-2024'!$F109+1</f>
        <v>8</v>
      </c>
      <c r="I109" s="2" t="s">
        <v>2110</v>
      </c>
      <c r="J109" s="2" t="s">
        <v>2110</v>
      </c>
      <c r="K109" s="2">
        <f>IF('mpi_dataset_summary_2017-2024'!$G109=2024,1,0)</f>
        <v>1</v>
      </c>
      <c r="L109" s="2">
        <f t="shared" si="2"/>
        <v>1</v>
      </c>
      <c r="M109" s="2">
        <v>12800</v>
      </c>
      <c r="N109" s="2">
        <f t="shared" si="3"/>
        <v>0.98399999999999999</v>
      </c>
      <c r="O109" s="2">
        <v>43.869869000000001</v>
      </c>
      <c r="P109" s="2">
        <v>-78.719487000000001</v>
      </c>
      <c r="Q109" s="2" t="s">
        <v>2108</v>
      </c>
      <c r="R109" s="3" t="s">
        <v>24</v>
      </c>
      <c r="S109" s="2" t="s">
        <v>25</v>
      </c>
      <c r="T109" s="2" t="s">
        <v>45</v>
      </c>
    </row>
    <row r="110" spans="1:20" x14ac:dyDescent="0.2">
      <c r="A110" s="2">
        <v>334</v>
      </c>
      <c r="B110" s="2" t="s">
        <v>278</v>
      </c>
      <c r="C110" s="2" t="s">
        <v>280</v>
      </c>
      <c r="D110" s="2" t="s">
        <v>161</v>
      </c>
      <c r="E110" s="2" t="s">
        <v>43</v>
      </c>
      <c r="F110" s="2">
        <v>2017</v>
      </c>
      <c r="G110" s="2">
        <v>2019</v>
      </c>
      <c r="H110" s="2">
        <f>'mpi_dataset_summary_2017-2024'!$G110-'mpi_dataset_summary_2017-2024'!$F110+1</f>
        <v>3</v>
      </c>
      <c r="I110" s="2" t="s">
        <v>2112</v>
      </c>
      <c r="J110" s="2" t="s">
        <v>2112</v>
      </c>
      <c r="K110" s="2">
        <f>IF('mpi_dataset_summary_2017-2024'!$G110=2024,1,0)</f>
        <v>0</v>
      </c>
      <c r="L110" s="2">
        <f t="shared" si="2"/>
        <v>0</v>
      </c>
      <c r="M110" s="2">
        <v>2400</v>
      </c>
      <c r="N110" s="2">
        <f t="shared" si="3"/>
        <v>0.90800000000000003</v>
      </c>
      <c r="O110" s="2">
        <v>44.178018000000002</v>
      </c>
      <c r="P110" s="2">
        <v>-81.636340000000004</v>
      </c>
      <c r="Q110" s="2" t="s">
        <v>2108</v>
      </c>
      <c r="R110" s="3" t="s">
        <v>24</v>
      </c>
      <c r="S110" s="2" t="s">
        <v>25</v>
      </c>
      <c r="T110" s="2" t="s">
        <v>45</v>
      </c>
    </row>
    <row r="111" spans="1:20" x14ac:dyDescent="0.2">
      <c r="A111" s="2">
        <v>340</v>
      </c>
      <c r="B111" s="2" t="s">
        <v>281</v>
      </c>
      <c r="C111" s="2" t="s">
        <v>282</v>
      </c>
      <c r="D111" s="2" t="s">
        <v>89</v>
      </c>
      <c r="E111" s="2" t="s">
        <v>20</v>
      </c>
      <c r="F111" s="2">
        <v>2020</v>
      </c>
      <c r="G111" s="2">
        <v>2022</v>
      </c>
      <c r="H111" s="2">
        <f>'mpi_dataset_summary_2017-2024'!$G111-'mpi_dataset_summary_2017-2024'!$F111+1</f>
        <v>3</v>
      </c>
      <c r="I111" s="2" t="s">
        <v>2112</v>
      </c>
      <c r="J111" s="2" t="s">
        <v>2111</v>
      </c>
      <c r="K111" s="2">
        <f>IF('mpi_dataset_summary_2017-2024'!$G111=2024,1,0)</f>
        <v>0</v>
      </c>
      <c r="L111" s="2">
        <f t="shared" si="2"/>
        <v>0</v>
      </c>
      <c r="M111" s="2">
        <v>1566.6120000000001</v>
      </c>
      <c r="N111" s="2">
        <f t="shared" si="3"/>
        <v>0.871</v>
      </c>
      <c r="O111" s="2">
        <v>59.310060999999997</v>
      </c>
      <c r="P111" s="2">
        <v>-69.888941000000003</v>
      </c>
      <c r="Q111" s="2" t="s">
        <v>2107</v>
      </c>
      <c r="R111" s="3" t="s">
        <v>31</v>
      </c>
      <c r="S111" s="2" t="s">
        <v>22</v>
      </c>
      <c r="T111" s="2" t="s">
        <v>32</v>
      </c>
    </row>
    <row r="112" spans="1:20" x14ac:dyDescent="0.2">
      <c r="A112" s="2">
        <v>341</v>
      </c>
      <c r="B112" s="2" t="s">
        <v>283</v>
      </c>
      <c r="C112" s="2" t="s">
        <v>284</v>
      </c>
      <c r="D112" s="2" t="s">
        <v>66</v>
      </c>
      <c r="E112" s="2" t="s">
        <v>20</v>
      </c>
      <c r="F112" s="2">
        <v>2017</v>
      </c>
      <c r="G112" s="2">
        <v>2024</v>
      </c>
      <c r="H112" s="2">
        <f>'mpi_dataset_summary_2017-2024'!$G112-'mpi_dataset_summary_2017-2024'!$F112+1</f>
        <v>8</v>
      </c>
      <c r="I112" s="2" t="s">
        <v>2113</v>
      </c>
      <c r="J112" s="2" t="s">
        <v>2113</v>
      </c>
      <c r="K112" s="2">
        <f>IF('mpi_dataset_summary_2017-2024'!$G112=2024,1,0)</f>
        <v>1</v>
      </c>
      <c r="L112" s="2">
        <f t="shared" si="2"/>
        <v>0</v>
      </c>
      <c r="M112" s="2">
        <v>1570</v>
      </c>
      <c r="N112" s="2">
        <f t="shared" si="3"/>
        <v>0.872</v>
      </c>
      <c r="O112" s="2">
        <v>54.680877801156001</v>
      </c>
      <c r="P112" s="2">
        <v>-110.13648033142</v>
      </c>
      <c r="Q112" s="2" t="s">
        <v>2108</v>
      </c>
      <c r="R112" s="3" t="s">
        <v>39</v>
      </c>
      <c r="S112" s="2" t="s">
        <v>22</v>
      </c>
      <c r="T112" s="2" t="s">
        <v>40</v>
      </c>
    </row>
    <row r="113" spans="1:20" x14ac:dyDescent="0.2">
      <c r="A113" s="2">
        <v>344</v>
      </c>
      <c r="B113" s="2" t="s">
        <v>159</v>
      </c>
      <c r="C113" s="2" t="s">
        <v>285</v>
      </c>
      <c r="D113" s="2" t="s">
        <v>161</v>
      </c>
      <c r="E113" s="2" t="s">
        <v>20</v>
      </c>
      <c r="F113" s="2">
        <v>2021</v>
      </c>
      <c r="G113" s="2">
        <v>2024</v>
      </c>
      <c r="H113" s="2">
        <f>'mpi_dataset_summary_2017-2024'!$G113-'mpi_dataset_summary_2017-2024'!$F113+1</f>
        <v>4</v>
      </c>
      <c r="I113" s="2" t="s">
        <v>2112</v>
      </c>
      <c r="J113" s="2" t="s">
        <v>2113</v>
      </c>
      <c r="K113" s="2">
        <f>IF('mpi_dataset_summary_2017-2024'!$G113=2024,1,0)</f>
        <v>1</v>
      </c>
      <c r="L113" s="2">
        <f t="shared" si="2"/>
        <v>0</v>
      </c>
      <c r="M113" s="2">
        <v>1300</v>
      </c>
      <c r="N113" s="2">
        <f t="shared" si="3"/>
        <v>0.84299999999999997</v>
      </c>
      <c r="O113" s="2">
        <v>48.882779999999997</v>
      </c>
      <c r="P113" s="2">
        <v>-91.349945000000005</v>
      </c>
      <c r="Q113" s="2" t="s">
        <v>2107</v>
      </c>
      <c r="R113" s="3" t="s">
        <v>41</v>
      </c>
      <c r="S113" s="2" t="s">
        <v>22</v>
      </c>
      <c r="T113" s="2" t="s">
        <v>42</v>
      </c>
    </row>
    <row r="114" spans="1:20" x14ac:dyDescent="0.2">
      <c r="A114" s="2">
        <v>345</v>
      </c>
      <c r="B114" s="2" t="s">
        <v>286</v>
      </c>
      <c r="C114" s="2" t="s">
        <v>287</v>
      </c>
      <c r="D114" s="2" t="s">
        <v>69</v>
      </c>
      <c r="E114" s="2" t="s">
        <v>20</v>
      </c>
      <c r="F114" s="2">
        <v>2017</v>
      </c>
      <c r="G114" s="2">
        <v>2022</v>
      </c>
      <c r="H114" s="2">
        <f>'mpi_dataset_summary_2017-2024'!$G114-'mpi_dataset_summary_2017-2024'!$F114+1</f>
        <v>6</v>
      </c>
      <c r="I114" s="2" t="s">
        <v>2112</v>
      </c>
      <c r="J114" s="2" t="s">
        <v>2110</v>
      </c>
      <c r="K114" s="2">
        <f>IF('mpi_dataset_summary_2017-2024'!$G114=2024,1,0)</f>
        <v>0</v>
      </c>
      <c r="L114" s="2">
        <f t="shared" si="2"/>
        <v>1</v>
      </c>
      <c r="M114" s="2">
        <v>230</v>
      </c>
      <c r="N114" s="2">
        <f t="shared" si="3"/>
        <v>0.52400000000000002</v>
      </c>
      <c r="O114" s="2">
        <v>49.301788999999999</v>
      </c>
      <c r="P114" s="2">
        <v>-121.789591</v>
      </c>
      <c r="Q114" s="2" t="s">
        <v>2108</v>
      </c>
      <c r="R114" s="3" t="s">
        <v>24</v>
      </c>
      <c r="S114" s="2" t="s">
        <v>25</v>
      </c>
      <c r="T114" s="2" t="s">
        <v>26</v>
      </c>
    </row>
    <row r="115" spans="1:20" x14ac:dyDescent="0.2">
      <c r="A115" s="2">
        <v>346</v>
      </c>
      <c r="B115" s="2" t="s">
        <v>288</v>
      </c>
      <c r="C115" s="2" t="s">
        <v>289</v>
      </c>
      <c r="D115" s="2" t="s">
        <v>69</v>
      </c>
      <c r="E115" s="2" t="s">
        <v>20</v>
      </c>
      <c r="F115" s="2">
        <v>2017</v>
      </c>
      <c r="G115" s="2">
        <v>2021</v>
      </c>
      <c r="H115" s="2">
        <f>'mpi_dataset_summary_2017-2024'!$G115-'mpi_dataset_summary_2017-2024'!$F115+1</f>
        <v>5</v>
      </c>
      <c r="I115" s="2" t="s">
        <v>2113</v>
      </c>
      <c r="J115" s="2" t="s">
        <v>2113</v>
      </c>
      <c r="K115" s="2">
        <f>IF('mpi_dataset_summary_2017-2024'!$G115=2024,1,0)</f>
        <v>0</v>
      </c>
      <c r="L115" s="2">
        <f t="shared" si="2"/>
        <v>0</v>
      </c>
      <c r="M115" s="2">
        <v>1300</v>
      </c>
      <c r="N115" s="2">
        <f t="shared" si="3"/>
        <v>0.84299999999999997</v>
      </c>
      <c r="O115" s="2">
        <v>54.262315000000001</v>
      </c>
      <c r="P115" s="2">
        <v>-122.627532</v>
      </c>
      <c r="Q115" s="2" t="s">
        <v>2108</v>
      </c>
      <c r="R115" s="3" t="s">
        <v>35</v>
      </c>
      <c r="S115" s="2" t="s">
        <v>22</v>
      </c>
      <c r="T115" s="2" t="s">
        <v>36</v>
      </c>
    </row>
    <row r="116" spans="1:20" x14ac:dyDescent="0.2">
      <c r="A116" s="2">
        <v>347</v>
      </c>
      <c r="B116" s="2" t="s">
        <v>290</v>
      </c>
      <c r="C116" s="2" t="s">
        <v>291</v>
      </c>
      <c r="D116" s="2" t="s">
        <v>69</v>
      </c>
      <c r="E116" s="2" t="s">
        <v>20</v>
      </c>
      <c r="F116" s="2">
        <v>2020</v>
      </c>
      <c r="G116" s="2">
        <v>2020</v>
      </c>
      <c r="H116" s="2">
        <f>'mpi_dataset_summary_2017-2024'!$G116-'mpi_dataset_summary_2017-2024'!$F116+1</f>
        <v>1</v>
      </c>
      <c r="I116" s="2" t="s">
        <v>2112</v>
      </c>
      <c r="J116" s="2" t="s">
        <v>2112</v>
      </c>
      <c r="K116" s="2">
        <f>IF('mpi_dataset_summary_2017-2024'!$G116=2024,1,0)</f>
        <v>0</v>
      </c>
      <c r="L116" s="2">
        <f t="shared" si="2"/>
        <v>0</v>
      </c>
      <c r="M116" s="2">
        <v>517</v>
      </c>
      <c r="N116" s="2">
        <f t="shared" si="3"/>
        <v>0.69399999999999995</v>
      </c>
      <c r="O116" s="2">
        <v>55.194000000000003</v>
      </c>
      <c r="P116" s="2">
        <v>-126.31399999999999</v>
      </c>
      <c r="Q116" s="2" t="s">
        <v>2107</v>
      </c>
      <c r="R116" s="3" t="s">
        <v>29</v>
      </c>
      <c r="S116" s="2" t="s">
        <v>22</v>
      </c>
      <c r="T116" s="2" t="s">
        <v>30</v>
      </c>
    </row>
    <row r="117" spans="1:20" x14ac:dyDescent="0.2">
      <c r="A117" s="2">
        <v>352</v>
      </c>
      <c r="B117" s="2" t="s">
        <v>292</v>
      </c>
      <c r="C117" s="2" t="s">
        <v>293</v>
      </c>
      <c r="D117" s="2" t="s">
        <v>66</v>
      </c>
      <c r="E117" s="2" t="s">
        <v>20</v>
      </c>
      <c r="F117" s="2">
        <v>2017</v>
      </c>
      <c r="G117" s="2">
        <v>2017</v>
      </c>
      <c r="H117" s="2">
        <f>'mpi_dataset_summary_2017-2024'!$G117-'mpi_dataset_summary_2017-2024'!$F117+1</f>
        <v>1</v>
      </c>
      <c r="I117" s="2" t="s">
        <v>2110</v>
      </c>
      <c r="J117" s="2" t="s">
        <v>2110</v>
      </c>
      <c r="K117" s="2">
        <f>IF('mpi_dataset_summary_2017-2024'!$G117=2024,1,0)</f>
        <v>0</v>
      </c>
      <c r="L117" s="2">
        <f t="shared" si="2"/>
        <v>1</v>
      </c>
      <c r="M117" s="2">
        <v>4558</v>
      </c>
      <c r="N117" s="2">
        <f t="shared" si="3"/>
        <v>0.94399999999999995</v>
      </c>
      <c r="O117" s="2">
        <v>56.8134023</v>
      </c>
      <c r="P117" s="2">
        <v>-112.1586774</v>
      </c>
      <c r="Q117" s="2" t="s">
        <v>2108</v>
      </c>
      <c r="R117" s="3" t="s">
        <v>27</v>
      </c>
      <c r="S117" s="2" t="s">
        <v>25</v>
      </c>
      <c r="T117" s="2" t="s">
        <v>28</v>
      </c>
    </row>
    <row r="118" spans="1:20" x14ac:dyDescent="0.2">
      <c r="A118" s="2">
        <v>360</v>
      </c>
      <c r="B118" s="2" t="s">
        <v>294</v>
      </c>
      <c r="C118" s="2" t="s">
        <v>295</v>
      </c>
      <c r="D118" s="2" t="s">
        <v>69</v>
      </c>
      <c r="E118" s="2" t="s">
        <v>20</v>
      </c>
      <c r="F118" s="2">
        <v>2017</v>
      </c>
      <c r="G118" s="2">
        <v>2018</v>
      </c>
      <c r="H118" s="2">
        <f>'mpi_dataset_summary_2017-2024'!$G118-'mpi_dataset_summary_2017-2024'!$F118+1</f>
        <v>2</v>
      </c>
      <c r="I118" s="2" t="s">
        <v>2111</v>
      </c>
      <c r="J118" s="2" t="s">
        <v>2111</v>
      </c>
      <c r="K118" s="2">
        <f>IF('mpi_dataset_summary_2017-2024'!$G118=2024,1,0)</f>
        <v>0</v>
      </c>
      <c r="L118" s="2">
        <f t="shared" si="2"/>
        <v>0</v>
      </c>
      <c r="M118" s="2">
        <v>115</v>
      </c>
      <c r="N118" s="2">
        <f t="shared" si="3"/>
        <v>0.38100000000000001</v>
      </c>
      <c r="O118" s="2">
        <v>49.138596999999997</v>
      </c>
      <c r="P118" s="2">
        <v>-124.782715</v>
      </c>
      <c r="Q118" s="2" t="s">
        <v>2107</v>
      </c>
      <c r="R118" s="3" t="s">
        <v>41</v>
      </c>
      <c r="S118" s="2" t="s">
        <v>22</v>
      </c>
      <c r="T118" s="2" t="s">
        <v>42</v>
      </c>
    </row>
    <row r="119" spans="1:20" x14ac:dyDescent="0.2">
      <c r="A119" s="2">
        <v>362</v>
      </c>
      <c r="B119" s="2" t="s">
        <v>296</v>
      </c>
      <c r="C119" s="2" t="s">
        <v>247</v>
      </c>
      <c r="D119" s="2" t="s">
        <v>110</v>
      </c>
      <c r="E119" s="2" t="s">
        <v>20</v>
      </c>
      <c r="F119" s="2">
        <v>2017</v>
      </c>
      <c r="G119" s="2">
        <v>2017</v>
      </c>
      <c r="H119" s="2">
        <f>'mpi_dataset_summary_2017-2024'!$G119-'mpi_dataset_summary_2017-2024'!$F119+1</f>
        <v>1</v>
      </c>
      <c r="I119" s="2" t="s">
        <v>2110</v>
      </c>
      <c r="J119" s="2" t="s">
        <v>2110</v>
      </c>
      <c r="K119" s="2">
        <f>IF('mpi_dataset_summary_2017-2024'!$G119=2024,1,0)</f>
        <v>0</v>
      </c>
      <c r="L119" s="2">
        <f t="shared" si="2"/>
        <v>1</v>
      </c>
      <c r="M119" s="2">
        <v>2800</v>
      </c>
      <c r="N119" s="2">
        <f t="shared" si="3"/>
        <v>0.91800000000000004</v>
      </c>
      <c r="O119" s="2">
        <v>50.471845000000002</v>
      </c>
      <c r="P119" s="2">
        <v>-101.543547</v>
      </c>
      <c r="Q119" s="2" t="s">
        <v>2107</v>
      </c>
      <c r="R119" s="3" t="s">
        <v>29</v>
      </c>
      <c r="S119" s="2" t="s">
        <v>22</v>
      </c>
      <c r="T119" s="2" t="s">
        <v>30</v>
      </c>
    </row>
    <row r="120" spans="1:20" x14ac:dyDescent="0.2">
      <c r="A120" s="2">
        <v>364</v>
      </c>
      <c r="B120" s="2" t="s">
        <v>67</v>
      </c>
      <c r="C120" s="2" t="s">
        <v>297</v>
      </c>
      <c r="D120" s="2" t="s">
        <v>69</v>
      </c>
      <c r="E120" s="2" t="s">
        <v>20</v>
      </c>
      <c r="F120" s="2">
        <v>2017</v>
      </c>
      <c r="G120" s="2">
        <v>2017</v>
      </c>
      <c r="H120" s="2">
        <f>'mpi_dataset_summary_2017-2024'!$G120-'mpi_dataset_summary_2017-2024'!$F120+1</f>
        <v>1</v>
      </c>
      <c r="I120" s="2" t="s">
        <v>2112</v>
      </c>
      <c r="J120" s="2" t="s">
        <v>2112</v>
      </c>
      <c r="K120" s="2">
        <f>IF('mpi_dataset_summary_2017-2024'!$G120=2024,1,0)</f>
        <v>0</v>
      </c>
      <c r="L120" s="2">
        <f t="shared" si="2"/>
        <v>0</v>
      </c>
      <c r="M120" s="2">
        <v>172</v>
      </c>
      <c r="N120" s="2">
        <f t="shared" si="3"/>
        <v>0.47</v>
      </c>
      <c r="O120" s="2">
        <v>49.535232000000001</v>
      </c>
      <c r="P120" s="2">
        <v>-114.91189300000001</v>
      </c>
      <c r="Q120" s="2" t="s">
        <v>2108</v>
      </c>
      <c r="R120" s="3" t="s">
        <v>24</v>
      </c>
      <c r="S120" s="2" t="s">
        <v>25</v>
      </c>
      <c r="T120" s="2" t="s">
        <v>26</v>
      </c>
    </row>
    <row r="121" spans="1:20" x14ac:dyDescent="0.2">
      <c r="A121" s="2">
        <v>368</v>
      </c>
      <c r="B121" s="2" t="s">
        <v>298</v>
      </c>
      <c r="C121" s="2" t="s">
        <v>299</v>
      </c>
      <c r="D121" s="2" t="s">
        <v>69</v>
      </c>
      <c r="E121" s="2" t="s">
        <v>20</v>
      </c>
      <c r="F121" s="2">
        <v>2017</v>
      </c>
      <c r="G121" s="2">
        <v>2017</v>
      </c>
      <c r="H121" s="2">
        <f>'mpi_dataset_summary_2017-2024'!$G121-'mpi_dataset_summary_2017-2024'!$F121+1</f>
        <v>1</v>
      </c>
      <c r="I121" s="2" t="s">
        <v>2110</v>
      </c>
      <c r="J121" s="2" t="s">
        <v>2110</v>
      </c>
      <c r="K121" s="2">
        <f>IF('mpi_dataset_summary_2017-2024'!$G121=2024,1,0)</f>
        <v>0</v>
      </c>
      <c r="L121" s="2">
        <f t="shared" si="2"/>
        <v>1</v>
      </c>
      <c r="M121" s="2">
        <v>1081.46</v>
      </c>
      <c r="N121" s="2">
        <f t="shared" si="3"/>
        <v>0.82099999999999995</v>
      </c>
      <c r="O121" s="2">
        <v>56.515000000000001</v>
      </c>
      <c r="P121" s="2">
        <v>-130.19999999999999</v>
      </c>
      <c r="Q121" s="2" t="s">
        <v>2107</v>
      </c>
      <c r="R121" s="3" t="s">
        <v>29</v>
      </c>
      <c r="S121" s="2" t="s">
        <v>22</v>
      </c>
      <c r="T121" s="2" t="s">
        <v>30</v>
      </c>
    </row>
    <row r="122" spans="1:20" x14ac:dyDescent="0.2">
      <c r="A122" s="2">
        <v>371</v>
      </c>
      <c r="B122" s="2" t="s">
        <v>300</v>
      </c>
      <c r="C122" s="2" t="s">
        <v>301</v>
      </c>
      <c r="D122" s="2" t="s">
        <v>89</v>
      </c>
      <c r="E122" s="2" t="s">
        <v>20</v>
      </c>
      <c r="F122" s="2">
        <v>2017</v>
      </c>
      <c r="G122" s="2">
        <v>2024</v>
      </c>
      <c r="H122" s="2">
        <f>'mpi_dataset_summary_2017-2024'!$G122-'mpi_dataset_summary_2017-2024'!$F122+1</f>
        <v>8</v>
      </c>
      <c r="I122" s="2" t="s">
        <v>2111</v>
      </c>
      <c r="J122" s="2" t="s">
        <v>2112</v>
      </c>
      <c r="K122" s="2">
        <f>IF('mpi_dataset_summary_2017-2024'!$G122=2024,1,0)</f>
        <v>1</v>
      </c>
      <c r="L122" s="2">
        <f t="shared" si="2"/>
        <v>0</v>
      </c>
      <c r="M122" s="2">
        <v>1631</v>
      </c>
      <c r="N122" s="2">
        <f t="shared" si="3"/>
        <v>0.88200000000000001</v>
      </c>
      <c r="O122" s="2">
        <v>56.325000000000003</v>
      </c>
      <c r="P122" s="2">
        <v>-64.174000000000007</v>
      </c>
      <c r="Q122" s="2" t="s">
        <v>2107</v>
      </c>
      <c r="R122" s="3" t="s">
        <v>41</v>
      </c>
      <c r="S122" s="2" t="s">
        <v>22</v>
      </c>
      <c r="T122" s="2" t="s">
        <v>42</v>
      </c>
    </row>
    <row r="123" spans="1:20" x14ac:dyDescent="0.2">
      <c r="A123" s="2">
        <v>376</v>
      </c>
      <c r="B123" s="2" t="s">
        <v>302</v>
      </c>
      <c r="C123" s="2" t="s">
        <v>303</v>
      </c>
      <c r="D123" s="2" t="s">
        <v>89</v>
      </c>
      <c r="E123" s="2" t="s">
        <v>20</v>
      </c>
      <c r="F123" s="2">
        <v>2017</v>
      </c>
      <c r="G123" s="2">
        <v>2024</v>
      </c>
      <c r="H123" s="2">
        <f>'mpi_dataset_summary_2017-2024'!$G123-'mpi_dataset_summary_2017-2024'!$F123+1</f>
        <v>8</v>
      </c>
      <c r="I123" s="2" t="s">
        <v>2112</v>
      </c>
      <c r="J123" s="2" t="s">
        <v>2113</v>
      </c>
      <c r="K123" s="2">
        <f>IF('mpi_dataset_summary_2017-2024'!$G123=2024,1,0)</f>
        <v>1</v>
      </c>
      <c r="L123" s="2">
        <f t="shared" si="2"/>
        <v>0</v>
      </c>
      <c r="M123" s="2">
        <v>1381</v>
      </c>
      <c r="N123" s="2">
        <f t="shared" si="3"/>
        <v>0.85499999999999998</v>
      </c>
      <c r="O123" s="2">
        <v>48.652999999999999</v>
      </c>
      <c r="P123" s="2">
        <v>-78.436000000000007</v>
      </c>
      <c r="Q123" s="2" t="s">
        <v>2107</v>
      </c>
      <c r="R123" s="3" t="s">
        <v>33</v>
      </c>
      <c r="S123" s="2" t="s">
        <v>25</v>
      </c>
      <c r="T123" s="2" t="s">
        <v>34</v>
      </c>
    </row>
    <row r="124" spans="1:20" x14ac:dyDescent="0.2">
      <c r="A124" s="2">
        <v>381</v>
      </c>
      <c r="B124" s="2" t="s">
        <v>304</v>
      </c>
      <c r="C124" s="2" t="s">
        <v>305</v>
      </c>
      <c r="D124" s="2" t="s">
        <v>69</v>
      </c>
      <c r="E124" s="2" t="s">
        <v>20</v>
      </c>
      <c r="F124" s="2">
        <v>2018</v>
      </c>
      <c r="G124" s="2">
        <v>2023</v>
      </c>
      <c r="H124" s="2">
        <f>'mpi_dataset_summary_2017-2024'!$G124-'mpi_dataset_summary_2017-2024'!$F124+1</f>
        <v>6</v>
      </c>
      <c r="I124" s="2" t="s">
        <v>2112</v>
      </c>
      <c r="J124" s="2" t="s">
        <v>2111</v>
      </c>
      <c r="K124" s="2">
        <f>IF('mpi_dataset_summary_2017-2024'!$G124=2024,1,0)</f>
        <v>0</v>
      </c>
      <c r="L124" s="2">
        <f t="shared" si="2"/>
        <v>0</v>
      </c>
      <c r="M124" s="2">
        <v>273</v>
      </c>
      <c r="N124" s="2">
        <f t="shared" si="3"/>
        <v>0.56100000000000005</v>
      </c>
      <c r="O124" s="2">
        <v>50.316699999999997</v>
      </c>
      <c r="P124" s="2">
        <v>-122.8</v>
      </c>
      <c r="Q124" s="2" t="s">
        <v>2108</v>
      </c>
      <c r="R124" s="3" t="s">
        <v>24</v>
      </c>
      <c r="S124" s="2" t="s">
        <v>25</v>
      </c>
      <c r="T124" s="2" t="s">
        <v>26</v>
      </c>
    </row>
    <row r="125" spans="1:20" x14ac:dyDescent="0.2">
      <c r="A125" s="2">
        <v>382</v>
      </c>
      <c r="B125" s="2" t="s">
        <v>306</v>
      </c>
      <c r="C125" s="2" t="s">
        <v>307</v>
      </c>
      <c r="D125" s="2" t="s">
        <v>161</v>
      </c>
      <c r="E125" s="2" t="s">
        <v>20</v>
      </c>
      <c r="F125" s="2">
        <v>2020</v>
      </c>
      <c r="G125" s="2">
        <v>2024</v>
      </c>
      <c r="H125" s="2">
        <f>'mpi_dataset_summary_2017-2024'!$G125-'mpi_dataset_summary_2017-2024'!$F125+1</f>
        <v>5</v>
      </c>
      <c r="I125" s="2" t="s">
        <v>2111</v>
      </c>
      <c r="J125" s="2" t="s">
        <v>2110</v>
      </c>
      <c r="K125" s="2">
        <f>IF('mpi_dataset_summary_2017-2024'!$G125=2024,1,0)</f>
        <v>1</v>
      </c>
      <c r="L125" s="2">
        <f t="shared" si="2"/>
        <v>1</v>
      </c>
      <c r="M125" s="2">
        <v>109.3</v>
      </c>
      <c r="N125" s="2">
        <f t="shared" si="3"/>
        <v>0.36899999999999999</v>
      </c>
      <c r="O125" s="2">
        <v>51.116</v>
      </c>
      <c r="P125" s="2">
        <v>-93.75</v>
      </c>
      <c r="Q125" s="2" t="s">
        <v>2107</v>
      </c>
      <c r="R125" s="3" t="s">
        <v>29</v>
      </c>
      <c r="S125" s="2" t="s">
        <v>22</v>
      </c>
      <c r="T125" s="2" t="s">
        <v>30</v>
      </c>
    </row>
    <row r="126" spans="1:20" x14ac:dyDescent="0.2">
      <c r="A126" s="2">
        <v>387</v>
      </c>
      <c r="B126" s="2" t="s">
        <v>308</v>
      </c>
      <c r="C126" s="2" t="s">
        <v>309</v>
      </c>
      <c r="D126" s="2" t="s">
        <v>69</v>
      </c>
      <c r="E126" s="2" t="s">
        <v>20</v>
      </c>
      <c r="F126" s="2">
        <v>2018</v>
      </c>
      <c r="G126" s="2">
        <v>2023</v>
      </c>
      <c r="H126" s="2">
        <f>'mpi_dataset_summary_2017-2024'!$G126-'mpi_dataset_summary_2017-2024'!$F126+1</f>
        <v>6</v>
      </c>
      <c r="I126" s="2" t="s">
        <v>2112</v>
      </c>
      <c r="J126" s="2" t="s">
        <v>2111</v>
      </c>
      <c r="K126" s="2">
        <f>IF('mpi_dataset_summary_2017-2024'!$G126=2024,1,0)</f>
        <v>0</v>
      </c>
      <c r="L126" s="2">
        <f t="shared" si="2"/>
        <v>0</v>
      </c>
      <c r="M126" s="2">
        <v>480</v>
      </c>
      <c r="N126" s="2">
        <f t="shared" si="3"/>
        <v>0.67100000000000004</v>
      </c>
      <c r="O126" s="2">
        <v>48.433186999999997</v>
      </c>
      <c r="P126" s="2">
        <v>-123.410481</v>
      </c>
      <c r="Q126" s="2" t="s">
        <v>2108</v>
      </c>
      <c r="R126" s="3" t="s">
        <v>35</v>
      </c>
      <c r="S126" s="2" t="s">
        <v>22</v>
      </c>
      <c r="T126" s="2" t="s">
        <v>45</v>
      </c>
    </row>
    <row r="127" spans="1:20" x14ac:dyDescent="0.2">
      <c r="A127" s="2">
        <v>389</v>
      </c>
      <c r="B127" s="2" t="s">
        <v>310</v>
      </c>
      <c r="C127" s="2" t="s">
        <v>311</v>
      </c>
      <c r="D127" s="2" t="s">
        <v>78</v>
      </c>
      <c r="E127" s="2" t="s">
        <v>20</v>
      </c>
      <c r="F127" s="2">
        <v>2017</v>
      </c>
      <c r="G127" s="2">
        <v>2024</v>
      </c>
      <c r="H127" s="2">
        <f>'mpi_dataset_summary_2017-2024'!$G127-'mpi_dataset_summary_2017-2024'!$F127+1</f>
        <v>8</v>
      </c>
      <c r="I127" s="2" t="s">
        <v>2112</v>
      </c>
      <c r="J127" s="2" t="s">
        <v>2110</v>
      </c>
      <c r="K127" s="2">
        <f>IF('mpi_dataset_summary_2017-2024'!$G127=2024,1,0)</f>
        <v>1</v>
      </c>
      <c r="L127" s="2">
        <f t="shared" si="2"/>
        <v>1</v>
      </c>
      <c r="M127" s="2">
        <v>610</v>
      </c>
      <c r="N127" s="2">
        <f t="shared" si="3"/>
        <v>0.72699999999999998</v>
      </c>
      <c r="O127" s="2">
        <v>65.897999999999996</v>
      </c>
      <c r="P127" s="2">
        <v>-107.40900000000001</v>
      </c>
      <c r="Q127" s="2" t="s">
        <v>2107</v>
      </c>
      <c r="R127" s="3" t="s">
        <v>29</v>
      </c>
      <c r="S127" s="2" t="s">
        <v>22</v>
      </c>
      <c r="T127" s="2" t="s">
        <v>30</v>
      </c>
    </row>
    <row r="128" spans="1:20" x14ac:dyDescent="0.2">
      <c r="A128" s="2">
        <v>390</v>
      </c>
      <c r="B128" s="2" t="s">
        <v>312</v>
      </c>
      <c r="C128" s="2" t="s">
        <v>313</v>
      </c>
      <c r="D128" s="2" t="s">
        <v>69</v>
      </c>
      <c r="E128" s="2" t="s">
        <v>20</v>
      </c>
      <c r="F128" s="2">
        <v>2017</v>
      </c>
      <c r="G128" s="2">
        <v>2024</v>
      </c>
      <c r="H128" s="2">
        <f>'mpi_dataset_summary_2017-2024'!$G128-'mpi_dataset_summary_2017-2024'!$F128+1</f>
        <v>8</v>
      </c>
      <c r="I128" s="2" t="s">
        <v>2113</v>
      </c>
      <c r="J128" s="2" t="s">
        <v>2113</v>
      </c>
      <c r="K128" s="2">
        <f>IF('mpi_dataset_summary_2017-2024'!$G128=2024,1,0)</f>
        <v>1</v>
      </c>
      <c r="L128" s="2">
        <f t="shared" si="2"/>
        <v>0</v>
      </c>
      <c r="M128" s="2">
        <v>8361.6</v>
      </c>
      <c r="N128" s="2">
        <f t="shared" si="3"/>
        <v>0.97199999999999998</v>
      </c>
      <c r="O128" s="2">
        <v>56.491</v>
      </c>
      <c r="P128" s="2">
        <v>-130.29300000000001</v>
      </c>
      <c r="Q128" s="2" t="s">
        <v>2107</v>
      </c>
      <c r="R128" s="3" t="s">
        <v>29</v>
      </c>
      <c r="S128" s="2" t="s">
        <v>22</v>
      </c>
      <c r="T128" s="2" t="s">
        <v>30</v>
      </c>
    </row>
    <row r="129" spans="1:20" x14ac:dyDescent="0.2">
      <c r="A129" s="2">
        <v>392</v>
      </c>
      <c r="B129" s="2" t="s">
        <v>314</v>
      </c>
      <c r="C129" s="2" t="s">
        <v>315</v>
      </c>
      <c r="D129" s="2" t="s">
        <v>69</v>
      </c>
      <c r="E129" s="2" t="s">
        <v>20</v>
      </c>
      <c r="F129" s="2">
        <v>2017</v>
      </c>
      <c r="G129" s="2">
        <v>2023</v>
      </c>
      <c r="H129" s="2">
        <f>'mpi_dataset_summary_2017-2024'!$G129-'mpi_dataset_summary_2017-2024'!$F129+1</f>
        <v>7</v>
      </c>
      <c r="I129" s="2" t="s">
        <v>2111</v>
      </c>
      <c r="J129" s="2" t="s">
        <v>2111</v>
      </c>
      <c r="K129" s="2">
        <f>IF('mpi_dataset_summary_2017-2024'!$G129=2024,1,0)</f>
        <v>0</v>
      </c>
      <c r="L129" s="2">
        <f t="shared" si="2"/>
        <v>0</v>
      </c>
      <c r="M129" s="2">
        <v>130</v>
      </c>
      <c r="N129" s="2">
        <f t="shared" si="3"/>
        <v>0.41199999999999998</v>
      </c>
      <c r="O129" s="2">
        <v>51.297221999999998</v>
      </c>
      <c r="P129" s="2">
        <v>-116.966944</v>
      </c>
      <c r="Q129" s="2" t="s">
        <v>2108</v>
      </c>
      <c r="R129" s="3" t="s">
        <v>24</v>
      </c>
      <c r="S129" s="2" t="s">
        <v>25</v>
      </c>
      <c r="T129" s="2" t="s">
        <v>26</v>
      </c>
    </row>
    <row r="130" spans="1:20" x14ac:dyDescent="0.2">
      <c r="A130" s="2">
        <v>397</v>
      </c>
      <c r="B130" s="2" t="s">
        <v>316</v>
      </c>
      <c r="C130" s="2" t="s">
        <v>317</v>
      </c>
      <c r="D130" s="2" t="s">
        <v>69</v>
      </c>
      <c r="E130" s="2" t="s">
        <v>20</v>
      </c>
      <c r="F130" s="2">
        <v>2017</v>
      </c>
      <c r="G130" s="2">
        <v>2024</v>
      </c>
      <c r="H130" s="2">
        <f>'mpi_dataset_summary_2017-2024'!$G130-'mpi_dataset_summary_2017-2024'!$F130+1</f>
        <v>8</v>
      </c>
      <c r="I130" s="2" t="s">
        <v>2113</v>
      </c>
      <c r="J130" s="2" t="s">
        <v>2110</v>
      </c>
      <c r="K130" s="2">
        <f>IF('mpi_dataset_summary_2017-2024'!$G130=2024,1,0)</f>
        <v>1</v>
      </c>
      <c r="L130" s="2">
        <f t="shared" ref="L130:L193" si="4">IF(J130="Under Construction",1,0)</f>
        <v>1</v>
      </c>
      <c r="M130" s="2">
        <v>47900</v>
      </c>
      <c r="N130" s="2">
        <f t="shared" ref="N130:N193" si="5">_xlfn.PERCENTRANK.INC($M$2:$M$4056,M130)</f>
        <v>1</v>
      </c>
      <c r="O130" s="2">
        <v>54.081950999999997</v>
      </c>
      <c r="P130" s="2">
        <v>-128.638058</v>
      </c>
      <c r="Q130" s="2" t="s">
        <v>2108</v>
      </c>
      <c r="R130" s="3" t="s">
        <v>37</v>
      </c>
      <c r="S130" s="2" t="s">
        <v>22</v>
      </c>
      <c r="T130" s="2" t="s">
        <v>38</v>
      </c>
    </row>
    <row r="131" spans="1:20" x14ac:dyDescent="0.2">
      <c r="A131" s="2">
        <v>399</v>
      </c>
      <c r="B131" s="2" t="s">
        <v>119</v>
      </c>
      <c r="C131" s="2" t="s">
        <v>318</v>
      </c>
      <c r="D131" s="2" t="s">
        <v>66</v>
      </c>
      <c r="E131" s="2" t="s">
        <v>20</v>
      </c>
      <c r="F131" s="2">
        <v>2017</v>
      </c>
      <c r="G131" s="2">
        <v>2024</v>
      </c>
      <c r="H131" s="2">
        <f>'mpi_dataset_summary_2017-2024'!$G131-'mpi_dataset_summary_2017-2024'!$F131+1</f>
        <v>8</v>
      </c>
      <c r="I131" s="2" t="s">
        <v>2113</v>
      </c>
      <c r="J131" s="2" t="s">
        <v>2113</v>
      </c>
      <c r="K131" s="2">
        <f>IF('mpi_dataset_summary_2017-2024'!$G131=2024,1,0)</f>
        <v>1</v>
      </c>
      <c r="L131" s="2">
        <f t="shared" si="4"/>
        <v>0</v>
      </c>
      <c r="M131" s="2">
        <v>12000</v>
      </c>
      <c r="N131" s="2">
        <f t="shared" si="5"/>
        <v>0.98099999999999998</v>
      </c>
      <c r="O131" s="2">
        <v>57.224497100000001</v>
      </c>
      <c r="P131" s="2">
        <v>-111.3676809</v>
      </c>
      <c r="Q131" s="2" t="s">
        <v>2108</v>
      </c>
      <c r="R131" s="3" t="s">
        <v>41</v>
      </c>
      <c r="S131" s="2" t="s">
        <v>25</v>
      </c>
      <c r="T131" s="2" t="s">
        <v>46</v>
      </c>
    </row>
    <row r="132" spans="1:20" x14ac:dyDescent="0.2">
      <c r="A132" s="2">
        <v>401</v>
      </c>
      <c r="B132" s="2" t="s">
        <v>319</v>
      </c>
      <c r="C132" s="2" t="s">
        <v>320</v>
      </c>
      <c r="D132" s="2" t="s">
        <v>185</v>
      </c>
      <c r="E132" s="2" t="s">
        <v>20</v>
      </c>
      <c r="F132" s="2">
        <v>2017</v>
      </c>
      <c r="G132" s="2">
        <v>2017</v>
      </c>
      <c r="H132" s="2">
        <f>'mpi_dataset_summary_2017-2024'!$G132-'mpi_dataset_summary_2017-2024'!$F132+1</f>
        <v>1</v>
      </c>
      <c r="I132" s="2" t="s">
        <v>2110</v>
      </c>
      <c r="J132" s="2" t="s">
        <v>2110</v>
      </c>
      <c r="K132" s="2">
        <f>IF('mpi_dataset_summary_2017-2024'!$G132=2024,1,0)</f>
        <v>0</v>
      </c>
      <c r="L132" s="2">
        <f t="shared" si="4"/>
        <v>1</v>
      </c>
      <c r="M132" s="2">
        <v>1000</v>
      </c>
      <c r="N132" s="2">
        <f t="shared" si="5"/>
        <v>0.80500000000000005</v>
      </c>
      <c r="O132" s="2">
        <v>42.333329999999997</v>
      </c>
      <c r="P132" s="2">
        <v>-64</v>
      </c>
      <c r="Q132" s="2" t="s">
        <v>2108</v>
      </c>
      <c r="R132" s="3" t="s">
        <v>39</v>
      </c>
      <c r="S132" s="2" t="s">
        <v>22</v>
      </c>
      <c r="T132" s="2" t="s">
        <v>40</v>
      </c>
    </row>
    <row r="133" spans="1:20" x14ac:dyDescent="0.2">
      <c r="A133" s="2">
        <v>402</v>
      </c>
      <c r="B133" s="2" t="s">
        <v>321</v>
      </c>
      <c r="C133" s="2" t="s">
        <v>322</v>
      </c>
      <c r="D133" s="2" t="s">
        <v>83</v>
      </c>
      <c r="E133" s="2" t="s">
        <v>20</v>
      </c>
      <c r="F133" s="2">
        <v>2017</v>
      </c>
      <c r="G133" s="2">
        <v>2019</v>
      </c>
      <c r="H133" s="2">
        <f>'mpi_dataset_summary_2017-2024'!$G133-'mpi_dataset_summary_2017-2024'!$F133+1</f>
        <v>3</v>
      </c>
      <c r="I133" s="2" t="s">
        <v>2111</v>
      </c>
      <c r="J133" s="2" t="s">
        <v>2111</v>
      </c>
      <c r="K133" s="2">
        <f>IF('mpi_dataset_summary_2017-2024'!$G133=2024,1,0)</f>
        <v>0</v>
      </c>
      <c r="L133" s="2">
        <f t="shared" si="4"/>
        <v>0</v>
      </c>
      <c r="M133" s="2">
        <v>127</v>
      </c>
      <c r="N133" s="2">
        <f t="shared" si="5"/>
        <v>0.41</v>
      </c>
      <c r="O133" s="2">
        <v>48.829017999999998</v>
      </c>
      <c r="P133" s="2">
        <v>-56.855964999999998</v>
      </c>
      <c r="Q133" s="2" t="s">
        <v>2107</v>
      </c>
      <c r="R133" s="3" t="s">
        <v>33</v>
      </c>
      <c r="S133" s="2" t="s">
        <v>25</v>
      </c>
      <c r="T133" s="2" t="s">
        <v>34</v>
      </c>
    </row>
    <row r="134" spans="1:20" x14ac:dyDescent="0.2">
      <c r="A134" s="2">
        <v>403</v>
      </c>
      <c r="B134" s="2" t="s">
        <v>323</v>
      </c>
      <c r="C134" s="2" t="s">
        <v>324</v>
      </c>
      <c r="D134" s="2" t="s">
        <v>110</v>
      </c>
      <c r="E134" s="2" t="s">
        <v>20</v>
      </c>
      <c r="F134" s="2">
        <v>2017</v>
      </c>
      <c r="G134" s="2">
        <v>2022</v>
      </c>
      <c r="H134" s="2">
        <f>'mpi_dataset_summary_2017-2024'!$G134-'mpi_dataset_summary_2017-2024'!$F134+1</f>
        <v>6</v>
      </c>
      <c r="I134" s="2" t="s">
        <v>2112</v>
      </c>
      <c r="J134" s="2" t="s">
        <v>2113</v>
      </c>
      <c r="K134" s="2">
        <f>IF('mpi_dataset_summary_2017-2024'!$G134=2024,1,0)</f>
        <v>0</v>
      </c>
      <c r="L134" s="2">
        <f t="shared" si="4"/>
        <v>0</v>
      </c>
      <c r="M134" s="2">
        <v>1918</v>
      </c>
      <c r="N134" s="2">
        <f t="shared" si="5"/>
        <v>0.89200000000000002</v>
      </c>
      <c r="O134" s="2">
        <v>53.259050000000002</v>
      </c>
      <c r="P134" s="2">
        <v>-104.801528</v>
      </c>
      <c r="Q134" s="2" t="s">
        <v>2107</v>
      </c>
      <c r="R134" s="3" t="s">
        <v>29</v>
      </c>
      <c r="S134" s="2" t="s">
        <v>22</v>
      </c>
      <c r="T134" s="2" t="s">
        <v>30</v>
      </c>
    </row>
    <row r="135" spans="1:20" x14ac:dyDescent="0.2">
      <c r="A135" s="2">
        <v>404</v>
      </c>
      <c r="B135" s="2" t="s">
        <v>325</v>
      </c>
      <c r="C135" s="2" t="s">
        <v>326</v>
      </c>
      <c r="D135" s="2" t="s">
        <v>69</v>
      </c>
      <c r="E135" s="2" t="s">
        <v>20</v>
      </c>
      <c r="F135" s="2">
        <v>2021</v>
      </c>
      <c r="G135" s="2">
        <v>2024</v>
      </c>
      <c r="H135" s="2">
        <f>'mpi_dataset_summary_2017-2024'!$G135-'mpi_dataset_summary_2017-2024'!$F135+1</f>
        <v>4</v>
      </c>
      <c r="I135" s="2" t="s">
        <v>2112</v>
      </c>
      <c r="J135" s="2" t="s">
        <v>2112</v>
      </c>
      <c r="K135" s="2">
        <f>IF('mpi_dataset_summary_2017-2024'!$G135=2024,1,0)</f>
        <v>1</v>
      </c>
      <c r="L135" s="2">
        <f t="shared" si="4"/>
        <v>0</v>
      </c>
      <c r="M135" s="2">
        <v>756</v>
      </c>
      <c r="N135" s="2">
        <f t="shared" si="5"/>
        <v>0.76300000000000001</v>
      </c>
      <c r="O135" s="2">
        <v>52.585112000000002</v>
      </c>
      <c r="P135" s="2">
        <v>-121.462784</v>
      </c>
      <c r="Q135" s="2" t="s">
        <v>2107</v>
      </c>
      <c r="R135" s="3" t="s">
        <v>29</v>
      </c>
      <c r="S135" s="2" t="s">
        <v>22</v>
      </c>
      <c r="T135" s="2" t="s">
        <v>30</v>
      </c>
    </row>
    <row r="136" spans="1:20" x14ac:dyDescent="0.2">
      <c r="A136" s="2">
        <v>405</v>
      </c>
      <c r="B136" s="2" t="s">
        <v>327</v>
      </c>
      <c r="C136" s="2" t="s">
        <v>328</v>
      </c>
      <c r="D136" s="2" t="s">
        <v>69</v>
      </c>
      <c r="E136" s="2" t="s">
        <v>20</v>
      </c>
      <c r="F136" s="2">
        <v>2017</v>
      </c>
      <c r="G136" s="2">
        <v>2023</v>
      </c>
      <c r="H136" s="2">
        <f>'mpi_dataset_summary_2017-2024'!$G136-'mpi_dataset_summary_2017-2024'!$F136+1</f>
        <v>7</v>
      </c>
      <c r="I136" s="2" t="s">
        <v>2111</v>
      </c>
      <c r="J136" s="2" t="s">
        <v>2112</v>
      </c>
      <c r="K136" s="2">
        <f>IF('mpi_dataset_summary_2017-2024'!$G136=2024,1,0)</f>
        <v>0</v>
      </c>
      <c r="L136" s="2">
        <f t="shared" si="4"/>
        <v>0</v>
      </c>
      <c r="M136" s="2">
        <v>216</v>
      </c>
      <c r="N136" s="2">
        <f t="shared" si="5"/>
        <v>0.51500000000000001</v>
      </c>
      <c r="O136" s="2">
        <v>56.656944000000003</v>
      </c>
      <c r="P136" s="2">
        <v>-131.07055600000001</v>
      </c>
      <c r="Q136" s="2" t="s">
        <v>2108</v>
      </c>
      <c r="R136" s="3" t="s">
        <v>24</v>
      </c>
      <c r="S136" s="2" t="s">
        <v>25</v>
      </c>
      <c r="T136" s="2" t="s">
        <v>26</v>
      </c>
    </row>
    <row r="137" spans="1:20" x14ac:dyDescent="0.2">
      <c r="A137" s="2">
        <v>406</v>
      </c>
      <c r="B137" s="2" t="s">
        <v>327</v>
      </c>
      <c r="C137" s="2" t="s">
        <v>329</v>
      </c>
      <c r="D137" s="2" t="s">
        <v>69</v>
      </c>
      <c r="E137" s="2" t="s">
        <v>20</v>
      </c>
      <c r="F137" s="2">
        <v>2017</v>
      </c>
      <c r="G137" s="2">
        <v>2023</v>
      </c>
      <c r="H137" s="2">
        <f>'mpi_dataset_summary_2017-2024'!$G137-'mpi_dataset_summary_2017-2024'!$F137+1</f>
        <v>7</v>
      </c>
      <c r="I137" s="2" t="s">
        <v>2112</v>
      </c>
      <c r="J137" s="2" t="s">
        <v>2111</v>
      </c>
      <c r="K137" s="2">
        <f>IF('mpi_dataset_summary_2017-2024'!$G137=2024,1,0)</f>
        <v>0</v>
      </c>
      <c r="L137" s="2">
        <f t="shared" si="4"/>
        <v>0</v>
      </c>
      <c r="M137" s="2">
        <v>257.60000000000002</v>
      </c>
      <c r="N137" s="2">
        <f t="shared" si="5"/>
        <v>0.55200000000000005</v>
      </c>
      <c r="O137" s="2">
        <v>56.770788000000003</v>
      </c>
      <c r="P137" s="2">
        <v>-130.924072</v>
      </c>
      <c r="Q137" s="2" t="s">
        <v>2107</v>
      </c>
      <c r="R137" s="3" t="s">
        <v>29</v>
      </c>
      <c r="S137" s="2" t="s">
        <v>22</v>
      </c>
      <c r="T137" s="2" t="s">
        <v>30</v>
      </c>
    </row>
    <row r="138" spans="1:20" x14ac:dyDescent="0.2">
      <c r="A138" s="2">
        <v>409</v>
      </c>
      <c r="B138" s="2" t="s">
        <v>330</v>
      </c>
      <c r="C138" s="2" t="s">
        <v>331</v>
      </c>
      <c r="D138" s="2" t="s">
        <v>66</v>
      </c>
      <c r="E138" s="2" t="s">
        <v>20</v>
      </c>
      <c r="F138" s="2">
        <v>2018</v>
      </c>
      <c r="G138" s="2">
        <v>2018</v>
      </c>
      <c r="H138" s="2">
        <f>'mpi_dataset_summary_2017-2024'!$G138-'mpi_dataset_summary_2017-2024'!$F138+1</f>
        <v>1</v>
      </c>
      <c r="I138" s="2" t="s">
        <v>2113</v>
      </c>
      <c r="J138" s="2" t="s">
        <v>2113</v>
      </c>
      <c r="K138" s="2">
        <f>IF('mpi_dataset_summary_2017-2024'!$G138=2024,1,0)</f>
        <v>0</v>
      </c>
      <c r="L138" s="2">
        <f t="shared" si="4"/>
        <v>0</v>
      </c>
      <c r="M138" s="2">
        <v>15</v>
      </c>
      <c r="N138" s="2">
        <f t="shared" si="5"/>
        <v>7.2999999999999995E-2</v>
      </c>
      <c r="O138" s="2">
        <v>56.668267499999999</v>
      </c>
      <c r="P138" s="2">
        <v>-115.3113151</v>
      </c>
      <c r="Q138" s="2" t="s">
        <v>2108</v>
      </c>
      <c r="R138" s="3" t="s">
        <v>41</v>
      </c>
      <c r="S138" s="2" t="s">
        <v>25</v>
      </c>
      <c r="T138" s="2" t="s">
        <v>46</v>
      </c>
    </row>
    <row r="139" spans="1:20" x14ac:dyDescent="0.2">
      <c r="A139" s="2">
        <v>411</v>
      </c>
      <c r="B139" s="2" t="s">
        <v>332</v>
      </c>
      <c r="C139" s="2" t="s">
        <v>333</v>
      </c>
      <c r="D139" s="2" t="s">
        <v>258</v>
      </c>
      <c r="E139" s="2" t="s">
        <v>20</v>
      </c>
      <c r="F139" s="2">
        <v>2020</v>
      </c>
      <c r="G139" s="2">
        <v>2020</v>
      </c>
      <c r="H139" s="2">
        <f>'mpi_dataset_summary_2017-2024'!$G139-'mpi_dataset_summary_2017-2024'!$F139+1</f>
        <v>1</v>
      </c>
      <c r="I139" s="2" t="s">
        <v>2111</v>
      </c>
      <c r="J139" s="2" t="s">
        <v>2111</v>
      </c>
      <c r="K139" s="2">
        <f>IF('mpi_dataset_summary_2017-2024'!$G139=2024,1,0)</f>
        <v>0</v>
      </c>
      <c r="L139" s="2">
        <f t="shared" si="4"/>
        <v>0</v>
      </c>
      <c r="M139" s="2">
        <v>168</v>
      </c>
      <c r="N139" s="2">
        <f t="shared" si="5"/>
        <v>0.46400000000000002</v>
      </c>
      <c r="O139" s="2">
        <v>47.87</v>
      </c>
      <c r="P139" s="2">
        <v>-66.069999999999993</v>
      </c>
      <c r="Q139" s="2" t="s">
        <v>2107</v>
      </c>
      <c r="R139" s="3" t="s">
        <v>41</v>
      </c>
      <c r="S139" s="2" t="s">
        <v>22</v>
      </c>
      <c r="T139" s="2" t="s">
        <v>42</v>
      </c>
    </row>
    <row r="140" spans="1:20" x14ac:dyDescent="0.2">
      <c r="A140" s="2">
        <v>413</v>
      </c>
      <c r="B140" s="2" t="s">
        <v>334</v>
      </c>
      <c r="C140" s="2" t="s">
        <v>326</v>
      </c>
      <c r="D140" s="2" t="s">
        <v>69</v>
      </c>
      <c r="E140" s="2" t="s">
        <v>20</v>
      </c>
      <c r="F140" s="2">
        <v>2020</v>
      </c>
      <c r="G140" s="2">
        <v>2024</v>
      </c>
      <c r="H140" s="2">
        <f>'mpi_dataset_summary_2017-2024'!$G140-'mpi_dataset_summary_2017-2024'!$F140+1</f>
        <v>5</v>
      </c>
      <c r="I140" s="2" t="s">
        <v>2112</v>
      </c>
      <c r="J140" s="2" t="s">
        <v>2112</v>
      </c>
      <c r="K140" s="2">
        <f>IF('mpi_dataset_summary_2017-2024'!$G140=2024,1,0)</f>
        <v>1</v>
      </c>
      <c r="L140" s="2">
        <f t="shared" si="4"/>
        <v>0</v>
      </c>
      <c r="M140" s="2">
        <v>756</v>
      </c>
      <c r="N140" s="2">
        <f t="shared" si="5"/>
        <v>0.76300000000000001</v>
      </c>
      <c r="O140" s="2">
        <v>52.591999999999999</v>
      </c>
      <c r="P140" s="2">
        <v>-121.465</v>
      </c>
      <c r="Q140" s="2" t="s">
        <v>2107</v>
      </c>
      <c r="R140" s="3" t="s">
        <v>29</v>
      </c>
      <c r="S140" s="2" t="s">
        <v>22</v>
      </c>
      <c r="T140" s="2" t="s">
        <v>30</v>
      </c>
    </row>
    <row r="141" spans="1:20" x14ac:dyDescent="0.2">
      <c r="A141" s="2">
        <v>415</v>
      </c>
      <c r="B141" s="2" t="s">
        <v>263</v>
      </c>
      <c r="C141" s="2" t="s">
        <v>335</v>
      </c>
      <c r="D141" s="2" t="s">
        <v>69</v>
      </c>
      <c r="E141" s="2" t="s">
        <v>20</v>
      </c>
      <c r="F141" s="2">
        <v>2017</v>
      </c>
      <c r="G141" s="2">
        <v>2019</v>
      </c>
      <c r="H141" s="2">
        <f>'mpi_dataset_summary_2017-2024'!$G141-'mpi_dataset_summary_2017-2024'!$F141+1</f>
        <v>3</v>
      </c>
      <c r="I141" s="2" t="s">
        <v>2110</v>
      </c>
      <c r="J141" s="2" t="s">
        <v>2110</v>
      </c>
      <c r="K141" s="2">
        <f>IF('mpi_dataset_summary_2017-2024'!$G141=2024,1,0)</f>
        <v>0</v>
      </c>
      <c r="L141" s="2">
        <f t="shared" si="4"/>
        <v>1</v>
      </c>
      <c r="M141" s="2">
        <v>210</v>
      </c>
      <c r="N141" s="2">
        <f t="shared" si="5"/>
        <v>0.51200000000000001</v>
      </c>
      <c r="O141" s="2">
        <v>49.564414999999997</v>
      </c>
      <c r="P141" s="2">
        <v>-123.75</v>
      </c>
      <c r="Q141" s="2" t="s">
        <v>2108</v>
      </c>
      <c r="R141" s="3" t="s">
        <v>24</v>
      </c>
      <c r="S141" s="2" t="s">
        <v>25</v>
      </c>
      <c r="T141" s="2" t="s">
        <v>26</v>
      </c>
    </row>
    <row r="142" spans="1:20" x14ac:dyDescent="0.2">
      <c r="A142" s="2">
        <v>417</v>
      </c>
      <c r="B142" s="2" t="s">
        <v>336</v>
      </c>
      <c r="C142" s="2" t="s">
        <v>337</v>
      </c>
      <c r="D142" s="2" t="s">
        <v>161</v>
      </c>
      <c r="E142" s="2" t="s">
        <v>20</v>
      </c>
      <c r="F142" s="2">
        <v>2020</v>
      </c>
      <c r="G142" s="2">
        <v>2024</v>
      </c>
      <c r="H142" s="2">
        <f>'mpi_dataset_summary_2017-2024'!$G142-'mpi_dataset_summary_2017-2024'!$F142+1</f>
        <v>5</v>
      </c>
      <c r="I142" s="2" t="s">
        <v>2112</v>
      </c>
      <c r="J142" s="2" t="s">
        <v>2113</v>
      </c>
      <c r="K142" s="2">
        <f>IF('mpi_dataset_summary_2017-2024'!$G142=2024,1,0)</f>
        <v>1</v>
      </c>
      <c r="L142" s="2">
        <f t="shared" si="4"/>
        <v>0</v>
      </c>
      <c r="M142" s="2">
        <v>897.9</v>
      </c>
      <c r="N142" s="2">
        <f t="shared" si="5"/>
        <v>0.79300000000000004</v>
      </c>
      <c r="O142" s="2">
        <v>48.781999999999996</v>
      </c>
      <c r="P142" s="2">
        <v>-86.319000000000003</v>
      </c>
      <c r="Q142" s="2" t="s">
        <v>2107</v>
      </c>
      <c r="R142" s="3" t="s">
        <v>41</v>
      </c>
      <c r="S142" s="2" t="s">
        <v>22</v>
      </c>
      <c r="T142" s="2" t="s">
        <v>42</v>
      </c>
    </row>
    <row r="143" spans="1:20" x14ac:dyDescent="0.2">
      <c r="A143" s="2">
        <v>418</v>
      </c>
      <c r="B143" s="2" t="s">
        <v>338</v>
      </c>
      <c r="C143" s="2" t="s">
        <v>339</v>
      </c>
      <c r="D143" s="2" t="s">
        <v>66</v>
      </c>
      <c r="E143" s="2" t="s">
        <v>20</v>
      </c>
      <c r="F143" s="2">
        <v>2017</v>
      </c>
      <c r="G143" s="2">
        <v>2019</v>
      </c>
      <c r="H143" s="2">
        <f>'mpi_dataset_summary_2017-2024'!$G143-'mpi_dataset_summary_2017-2024'!$F143+1</f>
        <v>3</v>
      </c>
      <c r="I143" s="2" t="s">
        <v>2111</v>
      </c>
      <c r="J143" s="2" t="s">
        <v>2111</v>
      </c>
      <c r="K143" s="2">
        <f>IF('mpi_dataset_summary_2017-2024'!$G143=2024,1,0)</f>
        <v>0</v>
      </c>
      <c r="L143" s="2">
        <f t="shared" si="4"/>
        <v>0</v>
      </c>
      <c r="M143" s="2">
        <v>200</v>
      </c>
      <c r="N143" s="2">
        <f t="shared" si="5"/>
        <v>0.49099999999999999</v>
      </c>
      <c r="O143" s="2">
        <v>56.550102500000001</v>
      </c>
      <c r="P143" s="2">
        <v>-116.8434125</v>
      </c>
      <c r="Q143" s="2" t="s">
        <v>2108</v>
      </c>
      <c r="R143" s="3" t="s">
        <v>39</v>
      </c>
      <c r="S143" s="2" t="s">
        <v>22</v>
      </c>
      <c r="T143" s="2" t="s">
        <v>40</v>
      </c>
    </row>
    <row r="144" spans="1:20" x14ac:dyDescent="0.2">
      <c r="A144" s="2">
        <v>421</v>
      </c>
      <c r="B144" s="2" t="s">
        <v>340</v>
      </c>
      <c r="C144" s="2" t="s">
        <v>341</v>
      </c>
      <c r="D144" s="2" t="s">
        <v>66</v>
      </c>
      <c r="E144" s="2" t="s">
        <v>20</v>
      </c>
      <c r="F144" s="2">
        <v>2017</v>
      </c>
      <c r="G144" s="2">
        <v>2017</v>
      </c>
      <c r="H144" s="2">
        <f>'mpi_dataset_summary_2017-2024'!$G144-'mpi_dataset_summary_2017-2024'!$F144+1</f>
        <v>1</v>
      </c>
      <c r="I144" s="2" t="s">
        <v>2110</v>
      </c>
      <c r="J144" s="2" t="s">
        <v>2110</v>
      </c>
      <c r="K144" s="2">
        <f>IF('mpi_dataset_summary_2017-2024'!$G144=2024,1,0)</f>
        <v>0</v>
      </c>
      <c r="L144" s="2">
        <f t="shared" si="4"/>
        <v>1</v>
      </c>
      <c r="M144" s="2">
        <v>17000</v>
      </c>
      <c r="N144" s="2">
        <f t="shared" si="5"/>
        <v>0.99099999999999999</v>
      </c>
      <c r="O144" s="2">
        <v>57.39</v>
      </c>
      <c r="P144" s="2">
        <v>-111.5754</v>
      </c>
      <c r="Q144" s="2" t="s">
        <v>2108</v>
      </c>
      <c r="R144" s="3" t="s">
        <v>24</v>
      </c>
      <c r="S144" s="2" t="s">
        <v>25</v>
      </c>
      <c r="T144" s="2" t="s">
        <v>26</v>
      </c>
    </row>
    <row r="145" spans="1:20" x14ac:dyDescent="0.2">
      <c r="A145" s="2">
        <v>422</v>
      </c>
      <c r="B145" s="2" t="s">
        <v>342</v>
      </c>
      <c r="C145" s="2" t="s">
        <v>343</v>
      </c>
      <c r="D145" s="2" t="s">
        <v>66</v>
      </c>
      <c r="E145" s="2" t="s">
        <v>20</v>
      </c>
      <c r="F145" s="2">
        <v>2020</v>
      </c>
      <c r="G145" s="2">
        <v>2024</v>
      </c>
      <c r="H145" s="2">
        <f>'mpi_dataset_summary_2017-2024'!$G145-'mpi_dataset_summary_2017-2024'!$F145+1</f>
        <v>5</v>
      </c>
      <c r="I145" s="2" t="s">
        <v>2112</v>
      </c>
      <c r="J145" s="2" t="s">
        <v>2111</v>
      </c>
      <c r="K145" s="2">
        <f>IF('mpi_dataset_summary_2017-2024'!$G145=2024,1,0)</f>
        <v>1</v>
      </c>
      <c r="L145" s="2">
        <f t="shared" si="4"/>
        <v>0</v>
      </c>
      <c r="M145" s="2">
        <v>6200</v>
      </c>
      <c r="N145" s="2">
        <f t="shared" si="5"/>
        <v>0.96</v>
      </c>
      <c r="O145" s="2">
        <v>56.940620052266603</v>
      </c>
      <c r="P145" s="2">
        <v>-111.048345565795</v>
      </c>
      <c r="Q145" s="2" t="s">
        <v>2108</v>
      </c>
      <c r="R145" s="3" t="s">
        <v>24</v>
      </c>
      <c r="S145" s="2" t="s">
        <v>25</v>
      </c>
      <c r="T145" s="2" t="s">
        <v>26</v>
      </c>
    </row>
    <row r="146" spans="1:20" x14ac:dyDescent="0.2">
      <c r="A146" s="2">
        <v>423</v>
      </c>
      <c r="B146" s="2" t="s">
        <v>342</v>
      </c>
      <c r="C146" s="2" t="s">
        <v>344</v>
      </c>
      <c r="D146" s="2" t="s">
        <v>66</v>
      </c>
      <c r="E146" s="2" t="s">
        <v>20</v>
      </c>
      <c r="F146" s="2">
        <v>2017</v>
      </c>
      <c r="G146" s="2">
        <v>2023</v>
      </c>
      <c r="H146" s="2">
        <f>'mpi_dataset_summary_2017-2024'!$G146-'mpi_dataset_summary_2017-2024'!$F146+1</f>
        <v>7</v>
      </c>
      <c r="I146" s="2" t="s">
        <v>2113</v>
      </c>
      <c r="J146" s="2" t="s">
        <v>2113</v>
      </c>
      <c r="K146" s="2">
        <f>IF('mpi_dataset_summary_2017-2024'!$G146=2024,1,0)</f>
        <v>0</v>
      </c>
      <c r="L146" s="2">
        <f t="shared" si="4"/>
        <v>0</v>
      </c>
      <c r="M146" s="2">
        <v>4588</v>
      </c>
      <c r="N146" s="2">
        <f t="shared" si="5"/>
        <v>0.94499999999999995</v>
      </c>
      <c r="O146" s="2">
        <v>57.217500000000001</v>
      </c>
      <c r="P146" s="2">
        <v>-110.895</v>
      </c>
      <c r="Q146" s="2" t="s">
        <v>2108</v>
      </c>
      <c r="R146" s="3" t="s">
        <v>24</v>
      </c>
      <c r="S146" s="2" t="s">
        <v>25</v>
      </c>
      <c r="T146" s="2" t="s">
        <v>26</v>
      </c>
    </row>
    <row r="147" spans="1:20" x14ac:dyDescent="0.2">
      <c r="A147" s="2">
        <v>425</v>
      </c>
      <c r="B147" s="2" t="s">
        <v>345</v>
      </c>
      <c r="C147" s="2" t="s">
        <v>346</v>
      </c>
      <c r="D147" s="2" t="s">
        <v>83</v>
      </c>
      <c r="E147" s="2" t="s">
        <v>20</v>
      </c>
      <c r="F147" s="2">
        <v>2018</v>
      </c>
      <c r="G147" s="2">
        <v>2023</v>
      </c>
      <c r="H147" s="2">
        <f>'mpi_dataset_summary_2017-2024'!$G147-'mpi_dataset_summary_2017-2024'!$F147+1</f>
        <v>6</v>
      </c>
      <c r="I147" s="2" t="s">
        <v>2112</v>
      </c>
      <c r="J147" s="2" t="s">
        <v>2110</v>
      </c>
      <c r="K147" s="2">
        <f>IF('mpi_dataset_summary_2017-2024'!$G147=2024,1,0)</f>
        <v>0</v>
      </c>
      <c r="L147" s="2">
        <f t="shared" si="4"/>
        <v>1</v>
      </c>
      <c r="M147" s="2">
        <v>680</v>
      </c>
      <c r="N147" s="2">
        <f t="shared" si="5"/>
        <v>0.74</v>
      </c>
      <c r="O147" s="2">
        <v>46.724800000000002</v>
      </c>
      <c r="P147" s="2">
        <v>-48.471679999999999</v>
      </c>
      <c r="Q147" s="2" t="s">
        <v>2108</v>
      </c>
      <c r="R147" s="3" t="s">
        <v>41</v>
      </c>
      <c r="S147" s="2" t="s">
        <v>25</v>
      </c>
      <c r="T147" s="2" t="s">
        <v>46</v>
      </c>
    </row>
    <row r="148" spans="1:20" x14ac:dyDescent="0.2">
      <c r="A148" s="2">
        <v>426</v>
      </c>
      <c r="B148" s="2" t="s">
        <v>347</v>
      </c>
      <c r="C148" s="2" t="s">
        <v>348</v>
      </c>
      <c r="D148" s="2" t="s">
        <v>66</v>
      </c>
      <c r="E148" s="2" t="s">
        <v>20</v>
      </c>
      <c r="F148" s="2">
        <v>2017</v>
      </c>
      <c r="G148" s="2">
        <v>2022</v>
      </c>
      <c r="H148" s="2">
        <f>'mpi_dataset_summary_2017-2024'!$G148-'mpi_dataset_summary_2017-2024'!$F148+1</f>
        <v>6</v>
      </c>
      <c r="I148" s="2" t="s">
        <v>2112</v>
      </c>
      <c r="J148" s="2" t="s">
        <v>2112</v>
      </c>
      <c r="K148" s="2">
        <f>IF('mpi_dataset_summary_2017-2024'!$G148=2024,1,0)</f>
        <v>0</v>
      </c>
      <c r="L148" s="2">
        <f t="shared" si="4"/>
        <v>0</v>
      </c>
      <c r="M148" s="2">
        <v>1671</v>
      </c>
      <c r="N148" s="2">
        <f t="shared" si="5"/>
        <v>0.88400000000000001</v>
      </c>
      <c r="O148" s="2">
        <v>57.313507299999998</v>
      </c>
      <c r="P148" s="2">
        <v>-112.8673361</v>
      </c>
      <c r="Q148" s="2" t="s">
        <v>2108</v>
      </c>
      <c r="R148" s="3" t="s">
        <v>39</v>
      </c>
      <c r="S148" s="2" t="s">
        <v>22</v>
      </c>
      <c r="T148" s="2" t="s">
        <v>40</v>
      </c>
    </row>
    <row r="149" spans="1:20" x14ac:dyDescent="0.2">
      <c r="A149" s="2">
        <v>427</v>
      </c>
      <c r="B149" s="2" t="s">
        <v>349</v>
      </c>
      <c r="C149" s="2" t="s">
        <v>350</v>
      </c>
      <c r="D149" s="2" t="s">
        <v>66</v>
      </c>
      <c r="E149" s="2" t="s">
        <v>20</v>
      </c>
      <c r="F149" s="2">
        <v>2017</v>
      </c>
      <c r="G149" s="2">
        <v>2024</v>
      </c>
      <c r="H149" s="2">
        <f>'mpi_dataset_summary_2017-2024'!$G149-'mpi_dataset_summary_2017-2024'!$F149+1</f>
        <v>8</v>
      </c>
      <c r="I149" s="2" t="s">
        <v>2113</v>
      </c>
      <c r="J149" s="2" t="s">
        <v>2113</v>
      </c>
      <c r="K149" s="2">
        <f>IF('mpi_dataset_summary_2017-2024'!$G149=2024,1,0)</f>
        <v>1</v>
      </c>
      <c r="L149" s="2">
        <f t="shared" si="4"/>
        <v>0</v>
      </c>
      <c r="M149" s="2">
        <v>1753</v>
      </c>
      <c r="N149" s="2">
        <f t="shared" si="5"/>
        <v>0.88800000000000001</v>
      </c>
      <c r="O149" s="2">
        <v>56.833314899999998</v>
      </c>
      <c r="P149" s="2">
        <v>-112.7867833</v>
      </c>
      <c r="Q149" s="2" t="s">
        <v>2108</v>
      </c>
      <c r="R149" s="3" t="s">
        <v>27</v>
      </c>
      <c r="S149" s="2" t="s">
        <v>25</v>
      </c>
      <c r="T149" s="2" t="s">
        <v>28</v>
      </c>
    </row>
    <row r="150" spans="1:20" x14ac:dyDescent="0.2">
      <c r="A150" s="2">
        <v>429</v>
      </c>
      <c r="B150" s="2" t="s">
        <v>349</v>
      </c>
      <c r="C150" s="2" t="s">
        <v>351</v>
      </c>
      <c r="D150" s="2" t="s">
        <v>66</v>
      </c>
      <c r="E150" s="2" t="s">
        <v>20</v>
      </c>
      <c r="F150" s="2">
        <v>2017</v>
      </c>
      <c r="G150" s="2">
        <v>2024</v>
      </c>
      <c r="H150" s="2">
        <f>'mpi_dataset_summary_2017-2024'!$G150-'mpi_dataset_summary_2017-2024'!$F150+1</f>
        <v>8</v>
      </c>
      <c r="I150" s="2" t="s">
        <v>2111</v>
      </c>
      <c r="J150" s="2" t="s">
        <v>2111</v>
      </c>
      <c r="K150" s="2">
        <f>IF('mpi_dataset_summary_2017-2024'!$G150=2024,1,0)</f>
        <v>1</v>
      </c>
      <c r="L150" s="2">
        <f t="shared" si="4"/>
        <v>0</v>
      </c>
      <c r="M150" s="2">
        <v>2950</v>
      </c>
      <c r="N150" s="2">
        <f t="shared" si="5"/>
        <v>0.92</v>
      </c>
      <c r="O150" s="2">
        <v>57.202491000000002</v>
      </c>
      <c r="P150" s="2">
        <v>-112.7292377</v>
      </c>
      <c r="Q150" s="2" t="s">
        <v>2108</v>
      </c>
      <c r="R150" s="3" t="s">
        <v>39</v>
      </c>
      <c r="S150" s="2" t="s">
        <v>22</v>
      </c>
      <c r="T150" s="2" t="s">
        <v>40</v>
      </c>
    </row>
    <row r="151" spans="1:20" x14ac:dyDescent="0.2">
      <c r="A151" s="2">
        <v>430</v>
      </c>
      <c r="B151" s="2" t="s">
        <v>352</v>
      </c>
      <c r="C151" s="2" t="s">
        <v>353</v>
      </c>
      <c r="D151" s="2" t="s">
        <v>161</v>
      </c>
      <c r="E151" s="2" t="s">
        <v>20</v>
      </c>
      <c r="F151" s="2">
        <v>2017</v>
      </c>
      <c r="G151" s="2">
        <v>2020</v>
      </c>
      <c r="H151" s="2">
        <f>'mpi_dataset_summary_2017-2024'!$G151-'mpi_dataset_summary_2017-2024'!$F151+1</f>
        <v>4</v>
      </c>
      <c r="I151" s="2" t="s">
        <v>2111</v>
      </c>
      <c r="J151" s="2" t="s">
        <v>2111</v>
      </c>
      <c r="K151" s="2">
        <f>IF('mpi_dataset_summary_2017-2024'!$G151=2024,1,0)</f>
        <v>0</v>
      </c>
      <c r="L151" s="2">
        <f t="shared" si="4"/>
        <v>0</v>
      </c>
      <c r="M151" s="2">
        <v>70</v>
      </c>
      <c r="N151" s="2">
        <f t="shared" si="5"/>
        <v>0.27600000000000002</v>
      </c>
      <c r="O151" s="2">
        <v>48.758333</v>
      </c>
      <c r="P151" s="2">
        <v>-91.613332999999997</v>
      </c>
      <c r="Q151" s="2" t="s">
        <v>2109</v>
      </c>
      <c r="R151" s="3" t="s">
        <v>51</v>
      </c>
      <c r="S151" s="2" t="s">
        <v>22</v>
      </c>
      <c r="T151" s="2" t="s">
        <v>52</v>
      </c>
    </row>
    <row r="152" spans="1:20" x14ac:dyDescent="0.2">
      <c r="A152" s="2">
        <v>435</v>
      </c>
      <c r="B152" s="2" t="s">
        <v>354</v>
      </c>
      <c r="C152" s="2" t="s">
        <v>355</v>
      </c>
      <c r="D152" s="2" t="s">
        <v>66</v>
      </c>
      <c r="E152" s="2" t="s">
        <v>20</v>
      </c>
      <c r="F152" s="2">
        <v>2017</v>
      </c>
      <c r="G152" s="2">
        <v>2018</v>
      </c>
      <c r="H152" s="2">
        <f>'mpi_dataset_summary_2017-2024'!$G152-'mpi_dataset_summary_2017-2024'!$F152+1</f>
        <v>2</v>
      </c>
      <c r="I152" s="2" t="s">
        <v>2111</v>
      </c>
      <c r="J152" s="2" t="s">
        <v>2111</v>
      </c>
      <c r="K152" s="2">
        <f>IF('mpi_dataset_summary_2017-2024'!$G152=2024,1,0)</f>
        <v>0</v>
      </c>
      <c r="L152" s="2">
        <f t="shared" si="4"/>
        <v>0</v>
      </c>
      <c r="M152" s="2">
        <v>5500</v>
      </c>
      <c r="N152" s="2">
        <f t="shared" si="5"/>
        <v>0.95599999999999996</v>
      </c>
      <c r="O152" s="2">
        <v>57.298900000000003</v>
      </c>
      <c r="P152" s="2">
        <v>-111.5033</v>
      </c>
      <c r="Q152" s="2" t="s">
        <v>2108</v>
      </c>
      <c r="R152" s="3" t="s">
        <v>41</v>
      </c>
      <c r="S152" s="2" t="s">
        <v>25</v>
      </c>
      <c r="T152" s="2" t="s">
        <v>46</v>
      </c>
    </row>
    <row r="153" spans="1:20" x14ac:dyDescent="0.2">
      <c r="A153" s="2">
        <v>436</v>
      </c>
      <c r="B153" s="2" t="s">
        <v>356</v>
      </c>
      <c r="C153" s="2" t="s">
        <v>357</v>
      </c>
      <c r="D153" s="2" t="s">
        <v>69</v>
      </c>
      <c r="E153" s="2" t="s">
        <v>20</v>
      </c>
      <c r="F153" s="2">
        <v>2017</v>
      </c>
      <c r="G153" s="2">
        <v>2023</v>
      </c>
      <c r="H153" s="2">
        <f>'mpi_dataset_summary_2017-2024'!$G153-'mpi_dataset_summary_2017-2024'!$F153+1</f>
        <v>7</v>
      </c>
      <c r="I153" s="2" t="s">
        <v>2111</v>
      </c>
      <c r="J153" s="2" t="s">
        <v>2111</v>
      </c>
      <c r="K153" s="2">
        <f>IF('mpi_dataset_summary_2017-2024'!$G153=2024,1,0)</f>
        <v>0</v>
      </c>
      <c r="L153" s="2">
        <f t="shared" si="4"/>
        <v>0</v>
      </c>
      <c r="M153" s="2">
        <v>360</v>
      </c>
      <c r="N153" s="2">
        <f t="shared" si="5"/>
        <v>0.621</v>
      </c>
      <c r="O153" s="2">
        <v>56.002960000000002</v>
      </c>
      <c r="P153" s="2">
        <v>-129.17765299999999</v>
      </c>
      <c r="Q153" s="2" t="s">
        <v>2108</v>
      </c>
      <c r="R153" s="3" t="s">
        <v>44</v>
      </c>
      <c r="S153" s="2" t="s">
        <v>25</v>
      </c>
      <c r="T153" s="2" t="s">
        <v>45</v>
      </c>
    </row>
    <row r="154" spans="1:20" x14ac:dyDescent="0.2">
      <c r="A154" s="2">
        <v>439</v>
      </c>
      <c r="B154" s="2" t="s">
        <v>358</v>
      </c>
      <c r="C154" s="2" t="s">
        <v>359</v>
      </c>
      <c r="D154" s="2" t="s">
        <v>126</v>
      </c>
      <c r="E154" s="2" t="s">
        <v>20</v>
      </c>
      <c r="F154" s="2">
        <v>2021</v>
      </c>
      <c r="G154" s="2">
        <v>2024</v>
      </c>
      <c r="H154" s="2">
        <f>'mpi_dataset_summary_2017-2024'!$G154-'mpi_dataset_summary_2017-2024'!$F154+1</f>
        <v>4</v>
      </c>
      <c r="I154" s="2" t="s">
        <v>2112</v>
      </c>
      <c r="J154" s="2" t="s">
        <v>2112</v>
      </c>
      <c r="K154" s="2">
        <f>IF('mpi_dataset_summary_2017-2024'!$G154=2024,1,0)</f>
        <v>1</v>
      </c>
      <c r="L154" s="2">
        <f t="shared" si="4"/>
        <v>0</v>
      </c>
      <c r="M154" s="2">
        <v>653.29999999999995</v>
      </c>
      <c r="N154" s="2">
        <f t="shared" si="5"/>
        <v>0.73499999999999999</v>
      </c>
      <c r="O154" s="2">
        <v>60.853999999999999</v>
      </c>
      <c r="P154" s="2">
        <v>-114.42400000000001</v>
      </c>
      <c r="Q154" s="2" t="s">
        <v>2107</v>
      </c>
      <c r="R154" s="3" t="s">
        <v>41</v>
      </c>
      <c r="S154" s="2" t="s">
        <v>22</v>
      </c>
      <c r="T154" s="2" t="s">
        <v>42</v>
      </c>
    </row>
    <row r="155" spans="1:20" x14ac:dyDescent="0.2">
      <c r="A155" s="2">
        <v>440</v>
      </c>
      <c r="B155" s="2" t="s">
        <v>360</v>
      </c>
      <c r="C155" s="2" t="s">
        <v>361</v>
      </c>
      <c r="D155" s="2" t="s">
        <v>69</v>
      </c>
      <c r="E155" s="2" t="s">
        <v>20</v>
      </c>
      <c r="F155" s="2">
        <v>2020</v>
      </c>
      <c r="G155" s="2">
        <v>2020</v>
      </c>
      <c r="H155" s="2">
        <f>'mpi_dataset_summary_2017-2024'!$G155-'mpi_dataset_summary_2017-2024'!$F155+1</f>
        <v>1</v>
      </c>
      <c r="I155" s="2" t="s">
        <v>2112</v>
      </c>
      <c r="J155" s="2" t="s">
        <v>2112</v>
      </c>
      <c r="K155" s="2">
        <f>IF('mpi_dataset_summary_2017-2024'!$G155=2024,1,0)</f>
        <v>0</v>
      </c>
      <c r="L155" s="2">
        <f t="shared" si="4"/>
        <v>0</v>
      </c>
      <c r="M155" s="2">
        <v>1000</v>
      </c>
      <c r="N155" s="2">
        <f t="shared" si="5"/>
        <v>0.80500000000000005</v>
      </c>
      <c r="O155" s="2">
        <v>51.463000000000001</v>
      </c>
      <c r="P155" s="2">
        <v>-123.624</v>
      </c>
      <c r="Q155" s="2" t="s">
        <v>2107</v>
      </c>
      <c r="R155" s="3" t="s">
        <v>41</v>
      </c>
      <c r="S155" s="2" t="s">
        <v>22</v>
      </c>
      <c r="T155" s="2" t="s">
        <v>42</v>
      </c>
    </row>
    <row r="156" spans="1:20" x14ac:dyDescent="0.2">
      <c r="A156" s="2">
        <v>441</v>
      </c>
      <c r="B156" s="2" t="s">
        <v>360</v>
      </c>
      <c r="C156" s="2" t="s">
        <v>362</v>
      </c>
      <c r="D156" s="2" t="s">
        <v>69</v>
      </c>
      <c r="E156" s="2" t="s">
        <v>20</v>
      </c>
      <c r="F156" s="2">
        <v>2020</v>
      </c>
      <c r="G156" s="2">
        <v>2024</v>
      </c>
      <c r="H156" s="2">
        <f>'mpi_dataset_summary_2017-2024'!$G156-'mpi_dataset_summary_2017-2024'!$F156+1</f>
        <v>5</v>
      </c>
      <c r="I156" s="2" t="s">
        <v>2112</v>
      </c>
      <c r="J156" s="2" t="s">
        <v>2111</v>
      </c>
      <c r="K156" s="2">
        <f>IF('mpi_dataset_summary_2017-2024'!$G156=2024,1,0)</f>
        <v>1</v>
      </c>
      <c r="L156" s="2">
        <f t="shared" si="4"/>
        <v>0</v>
      </c>
      <c r="M156" s="2">
        <v>50</v>
      </c>
      <c r="N156" s="2">
        <f t="shared" si="5"/>
        <v>0.214</v>
      </c>
      <c r="O156" s="2">
        <v>53.514063999999998</v>
      </c>
      <c r="P156" s="2">
        <v>-132.39786799999999</v>
      </c>
      <c r="Q156" s="2" t="s">
        <v>2107</v>
      </c>
      <c r="R156" s="3" t="s">
        <v>29</v>
      </c>
      <c r="S156" s="2" t="s">
        <v>22</v>
      </c>
      <c r="T156" s="2" t="s">
        <v>30</v>
      </c>
    </row>
    <row r="157" spans="1:20" x14ac:dyDescent="0.2">
      <c r="A157" s="2">
        <v>442</v>
      </c>
      <c r="B157" s="2" t="s">
        <v>363</v>
      </c>
      <c r="C157" s="2" t="s">
        <v>364</v>
      </c>
      <c r="D157" s="2" t="s">
        <v>69</v>
      </c>
      <c r="E157" s="2" t="s">
        <v>20</v>
      </c>
      <c r="F157" s="2">
        <v>2023</v>
      </c>
      <c r="G157" s="2">
        <v>2024</v>
      </c>
      <c r="H157" s="2">
        <f>'mpi_dataset_summary_2017-2024'!$G157-'mpi_dataset_summary_2017-2024'!$F157+1</f>
        <v>2</v>
      </c>
      <c r="I157" s="2" t="s">
        <v>2112</v>
      </c>
      <c r="J157" s="2" t="s">
        <v>2112</v>
      </c>
      <c r="K157" s="2">
        <f>IF('mpi_dataset_summary_2017-2024'!$G157=2024,1,0)</f>
        <v>1</v>
      </c>
      <c r="L157" s="2">
        <f t="shared" si="4"/>
        <v>0</v>
      </c>
      <c r="M157" s="2">
        <v>741</v>
      </c>
      <c r="N157" s="2">
        <f t="shared" si="5"/>
        <v>0.755</v>
      </c>
      <c r="O157" s="2">
        <v>50.470725999999999</v>
      </c>
      <c r="P157" s="2">
        <v>-121.01857</v>
      </c>
      <c r="Q157" s="2" t="s">
        <v>2107</v>
      </c>
      <c r="R157" s="3" t="s">
        <v>31</v>
      </c>
      <c r="S157" s="2" t="s">
        <v>22</v>
      </c>
      <c r="T157" s="2" t="s">
        <v>32</v>
      </c>
    </row>
    <row r="158" spans="1:20" x14ac:dyDescent="0.2">
      <c r="A158" s="2">
        <v>443</v>
      </c>
      <c r="B158" s="2" t="s">
        <v>365</v>
      </c>
      <c r="C158" s="2" t="s">
        <v>366</v>
      </c>
      <c r="D158" s="2" t="s">
        <v>69</v>
      </c>
      <c r="E158" s="2" t="s">
        <v>20</v>
      </c>
      <c r="F158" s="2">
        <v>2017</v>
      </c>
      <c r="G158" s="2">
        <v>2024</v>
      </c>
      <c r="H158" s="2">
        <f>'mpi_dataset_summary_2017-2024'!$G158-'mpi_dataset_summary_2017-2024'!$F158+1</f>
        <v>8</v>
      </c>
      <c r="I158" s="2" t="s">
        <v>2112</v>
      </c>
      <c r="J158" s="2" t="s">
        <v>2112</v>
      </c>
      <c r="K158" s="2">
        <f>IF('mpi_dataset_summary_2017-2024'!$G158=2024,1,0)</f>
        <v>1</v>
      </c>
      <c r="L158" s="2">
        <f t="shared" si="4"/>
        <v>0</v>
      </c>
      <c r="M158" s="2">
        <v>140</v>
      </c>
      <c r="N158" s="2">
        <f t="shared" si="5"/>
        <v>0.42599999999999999</v>
      </c>
      <c r="O158" s="2">
        <v>49.884790000000002</v>
      </c>
      <c r="P158" s="2">
        <v>-114.852031</v>
      </c>
      <c r="Q158" s="2" t="s">
        <v>2107</v>
      </c>
      <c r="R158" s="3" t="s">
        <v>21</v>
      </c>
      <c r="S158" s="2" t="s">
        <v>22</v>
      </c>
      <c r="T158" s="2" t="s">
        <v>23</v>
      </c>
    </row>
    <row r="159" spans="1:20" x14ac:dyDescent="0.2">
      <c r="A159" s="2">
        <v>444</v>
      </c>
      <c r="B159" s="2" t="s">
        <v>367</v>
      </c>
      <c r="C159" s="2" t="s">
        <v>368</v>
      </c>
      <c r="D159" s="2" t="s">
        <v>69</v>
      </c>
      <c r="E159" s="2" t="s">
        <v>20</v>
      </c>
      <c r="F159" s="2">
        <v>2024</v>
      </c>
      <c r="G159" s="2">
        <v>2024</v>
      </c>
      <c r="H159" s="2">
        <f>'mpi_dataset_summary_2017-2024'!$G159-'mpi_dataset_summary_2017-2024'!$F159+1</f>
        <v>1</v>
      </c>
      <c r="I159" s="2" t="s">
        <v>2112</v>
      </c>
      <c r="J159" s="2" t="s">
        <v>2112</v>
      </c>
      <c r="K159" s="2">
        <f>IF('mpi_dataset_summary_2017-2024'!$G159=2024,1,0)</f>
        <v>1</v>
      </c>
      <c r="L159" s="2">
        <f t="shared" si="4"/>
        <v>0</v>
      </c>
      <c r="M159" s="2">
        <v>500</v>
      </c>
      <c r="N159" s="2">
        <f t="shared" si="5"/>
        <v>0.67800000000000005</v>
      </c>
      <c r="O159" s="2">
        <v>54.986668999999999</v>
      </c>
      <c r="P159" s="2">
        <v>-121.09759</v>
      </c>
      <c r="Q159" s="2" t="s">
        <v>2107</v>
      </c>
      <c r="R159" s="3" t="s">
        <v>29</v>
      </c>
      <c r="S159" s="2" t="s">
        <v>22</v>
      </c>
      <c r="T159" s="2" t="s">
        <v>30</v>
      </c>
    </row>
    <row r="160" spans="1:20" x14ac:dyDescent="0.2">
      <c r="A160" s="2">
        <v>445</v>
      </c>
      <c r="B160" s="2" t="s">
        <v>363</v>
      </c>
      <c r="C160" s="2" t="s">
        <v>369</v>
      </c>
      <c r="D160" s="2" t="s">
        <v>66</v>
      </c>
      <c r="E160" s="2" t="s">
        <v>20</v>
      </c>
      <c r="F160" s="2">
        <v>2017</v>
      </c>
      <c r="G160" s="2">
        <v>2019</v>
      </c>
      <c r="H160" s="2">
        <f>'mpi_dataset_summary_2017-2024'!$G160-'mpi_dataset_summary_2017-2024'!$F160+1</f>
        <v>3</v>
      </c>
      <c r="I160" s="2" t="s">
        <v>2112</v>
      </c>
      <c r="J160" s="2" t="s">
        <v>2112</v>
      </c>
      <c r="K160" s="2">
        <f>IF('mpi_dataset_summary_2017-2024'!$G160=2024,1,0)</f>
        <v>0</v>
      </c>
      <c r="L160" s="2">
        <f t="shared" si="4"/>
        <v>0</v>
      </c>
      <c r="M160" s="2">
        <v>20600</v>
      </c>
      <c r="N160" s="2">
        <f t="shared" si="5"/>
        <v>0.99299999999999999</v>
      </c>
      <c r="O160" s="2">
        <v>57.672949972813903</v>
      </c>
      <c r="P160" s="2">
        <v>-111.59706115722599</v>
      </c>
      <c r="Q160" s="2" t="s">
        <v>2108</v>
      </c>
      <c r="R160" s="3" t="s">
        <v>41</v>
      </c>
      <c r="S160" s="2" t="s">
        <v>25</v>
      </c>
      <c r="T160" s="2" t="s">
        <v>46</v>
      </c>
    </row>
    <row r="161" spans="1:20" x14ac:dyDescent="0.2">
      <c r="A161" s="2">
        <v>460</v>
      </c>
      <c r="B161" s="2" t="s">
        <v>370</v>
      </c>
      <c r="C161" s="2" t="s">
        <v>371</v>
      </c>
      <c r="D161" s="2" t="s">
        <v>126</v>
      </c>
      <c r="E161" s="2" t="s">
        <v>20</v>
      </c>
      <c r="F161" s="2">
        <v>2020</v>
      </c>
      <c r="G161" s="2">
        <v>2024</v>
      </c>
      <c r="H161" s="2">
        <f>'mpi_dataset_summary_2017-2024'!$G161-'mpi_dataset_summary_2017-2024'!$F161+1</f>
        <v>5</v>
      </c>
      <c r="I161" s="2" t="s">
        <v>2112</v>
      </c>
      <c r="J161" s="2" t="s">
        <v>2112</v>
      </c>
      <c r="K161" s="2">
        <f>IF('mpi_dataset_summary_2017-2024'!$G161=2024,1,0)</f>
        <v>1</v>
      </c>
      <c r="L161" s="2">
        <f t="shared" si="4"/>
        <v>0</v>
      </c>
      <c r="M161" s="2">
        <v>193</v>
      </c>
      <c r="N161" s="2">
        <f t="shared" si="5"/>
        <v>0.48399999999999999</v>
      </c>
      <c r="O161" s="2">
        <v>63.182000000000002</v>
      </c>
      <c r="P161" s="2">
        <v>-113.90900000000001</v>
      </c>
      <c r="Q161" s="2" t="s">
        <v>2107</v>
      </c>
      <c r="R161" s="3" t="s">
        <v>29</v>
      </c>
      <c r="S161" s="2" t="s">
        <v>22</v>
      </c>
      <c r="T161" s="2" t="s">
        <v>30</v>
      </c>
    </row>
    <row r="162" spans="1:20" x14ac:dyDescent="0.2">
      <c r="A162" s="2">
        <v>467</v>
      </c>
      <c r="B162" s="2" t="s">
        <v>372</v>
      </c>
      <c r="C162" s="2" t="s">
        <v>373</v>
      </c>
      <c r="D162" s="2" t="s">
        <v>161</v>
      </c>
      <c r="E162" s="2" t="s">
        <v>20</v>
      </c>
      <c r="F162" s="2">
        <v>2018</v>
      </c>
      <c r="G162" s="2">
        <v>2023</v>
      </c>
      <c r="H162" s="2">
        <f>'mpi_dataset_summary_2017-2024'!$G162-'mpi_dataset_summary_2017-2024'!$F162+1</f>
        <v>6</v>
      </c>
      <c r="I162" s="2" t="s">
        <v>2111</v>
      </c>
      <c r="J162" s="2" t="s">
        <v>2110</v>
      </c>
      <c r="K162" s="2">
        <f>IF('mpi_dataset_summary_2017-2024'!$G162=2024,1,0)</f>
        <v>0</v>
      </c>
      <c r="L162" s="2">
        <f t="shared" si="4"/>
        <v>1</v>
      </c>
      <c r="M162" s="2">
        <v>760</v>
      </c>
      <c r="N162" s="2">
        <f t="shared" si="5"/>
        <v>0.76500000000000001</v>
      </c>
      <c r="O162" s="2">
        <v>46.549416999999998</v>
      </c>
      <c r="P162" s="2">
        <v>-81.007689999999997</v>
      </c>
      <c r="Q162" s="2" t="s">
        <v>2107</v>
      </c>
      <c r="R162" s="3" t="s">
        <v>31</v>
      </c>
      <c r="S162" s="2" t="s">
        <v>22</v>
      </c>
      <c r="T162" s="2" t="s">
        <v>32</v>
      </c>
    </row>
    <row r="163" spans="1:20" x14ac:dyDescent="0.2">
      <c r="A163" s="2">
        <v>473</v>
      </c>
      <c r="B163" s="2" t="s">
        <v>374</v>
      </c>
      <c r="C163" s="2" t="s">
        <v>375</v>
      </c>
      <c r="D163" s="2" t="s">
        <v>66</v>
      </c>
      <c r="E163" s="2" t="s">
        <v>20</v>
      </c>
      <c r="F163" s="2">
        <v>2020</v>
      </c>
      <c r="G163" s="2">
        <v>2022</v>
      </c>
      <c r="H163" s="2">
        <f>'mpi_dataset_summary_2017-2024'!$G163-'mpi_dataset_summary_2017-2024'!$F163+1</f>
        <v>3</v>
      </c>
      <c r="I163" s="2" t="s">
        <v>2112</v>
      </c>
      <c r="J163" s="2" t="s">
        <v>2112</v>
      </c>
      <c r="K163" s="2">
        <f>IF('mpi_dataset_summary_2017-2024'!$G163=2024,1,0)</f>
        <v>0</v>
      </c>
      <c r="L163" s="2">
        <f t="shared" si="4"/>
        <v>0</v>
      </c>
      <c r="M163" s="2">
        <v>0</v>
      </c>
      <c r="N163" s="2">
        <f t="shared" si="5"/>
        <v>0</v>
      </c>
      <c r="O163" s="2">
        <v>56.571589000000003</v>
      </c>
      <c r="P163" s="2">
        <v>-111.228436</v>
      </c>
      <c r="Q163" s="2" t="s">
        <v>2108</v>
      </c>
      <c r="R163" s="3" t="s">
        <v>39</v>
      </c>
      <c r="S163" s="2" t="s">
        <v>22</v>
      </c>
      <c r="T163" s="2" t="s">
        <v>40</v>
      </c>
    </row>
    <row r="164" spans="1:20" x14ac:dyDescent="0.2">
      <c r="A164" s="2">
        <v>474</v>
      </c>
      <c r="B164" s="2" t="s">
        <v>376</v>
      </c>
      <c r="C164" s="2" t="s">
        <v>377</v>
      </c>
      <c r="D164" s="2" t="s">
        <v>258</v>
      </c>
      <c r="E164" s="2" t="s">
        <v>20</v>
      </c>
      <c r="F164" s="2">
        <v>2017</v>
      </c>
      <c r="G164" s="2">
        <v>2017</v>
      </c>
      <c r="H164" s="2">
        <f>'mpi_dataset_summary_2017-2024'!$G164-'mpi_dataset_summary_2017-2024'!$F164+1</f>
        <v>1</v>
      </c>
      <c r="I164" s="2" t="s">
        <v>2110</v>
      </c>
      <c r="J164" s="2" t="s">
        <v>2110</v>
      </c>
      <c r="K164" s="2">
        <f>IF('mpi_dataset_summary_2017-2024'!$G164=2024,1,0)</f>
        <v>0</v>
      </c>
      <c r="L164" s="2">
        <f t="shared" si="4"/>
        <v>1</v>
      </c>
      <c r="M164" s="2">
        <v>250</v>
      </c>
      <c r="N164" s="2">
        <f t="shared" si="5"/>
        <v>0.53500000000000003</v>
      </c>
      <c r="O164" s="2" t="s">
        <v>2114</v>
      </c>
      <c r="P164" s="2" t="s">
        <v>2114</v>
      </c>
      <c r="Q164" s="2" t="s">
        <v>2108</v>
      </c>
      <c r="R164" s="3" t="s">
        <v>24</v>
      </c>
      <c r="S164" s="2" t="s">
        <v>25</v>
      </c>
      <c r="T164" s="2" t="s">
        <v>26</v>
      </c>
    </row>
    <row r="165" spans="1:20" x14ac:dyDescent="0.2">
      <c r="A165" s="2">
        <v>477</v>
      </c>
      <c r="B165" s="2" t="s">
        <v>378</v>
      </c>
      <c r="C165" s="2" t="s">
        <v>379</v>
      </c>
      <c r="D165" s="2" t="s">
        <v>380</v>
      </c>
      <c r="E165" s="2" t="s">
        <v>20</v>
      </c>
      <c r="F165" s="2">
        <v>2017</v>
      </c>
      <c r="G165" s="2">
        <v>2020</v>
      </c>
      <c r="H165" s="2">
        <f>'mpi_dataset_summary_2017-2024'!$G165-'mpi_dataset_summary_2017-2024'!$F165+1</f>
        <v>4</v>
      </c>
      <c r="I165" s="2" t="s">
        <v>2113</v>
      </c>
      <c r="J165" s="2" t="s">
        <v>2110</v>
      </c>
      <c r="K165" s="2">
        <f>IF('mpi_dataset_summary_2017-2024'!$G165=2024,1,0)</f>
        <v>0</v>
      </c>
      <c r="L165" s="2">
        <f t="shared" si="4"/>
        <v>1</v>
      </c>
      <c r="M165" s="2">
        <v>487</v>
      </c>
      <c r="N165" s="2">
        <f t="shared" si="5"/>
        <v>0.67600000000000005</v>
      </c>
      <c r="O165" s="2">
        <v>64.02</v>
      </c>
      <c r="P165" s="2">
        <v>-135.81800000000001</v>
      </c>
      <c r="Q165" s="2" t="s">
        <v>2107</v>
      </c>
      <c r="R165" s="3" t="s">
        <v>29</v>
      </c>
      <c r="S165" s="2" t="s">
        <v>22</v>
      </c>
      <c r="T165" s="2" t="s">
        <v>30</v>
      </c>
    </row>
    <row r="166" spans="1:20" x14ac:dyDescent="0.2">
      <c r="A166" s="2">
        <v>478</v>
      </c>
      <c r="B166" s="2" t="s">
        <v>381</v>
      </c>
      <c r="C166" s="2" t="s">
        <v>382</v>
      </c>
      <c r="D166" s="2" t="s">
        <v>86</v>
      </c>
      <c r="E166" s="2" t="s">
        <v>20</v>
      </c>
      <c r="F166" s="2">
        <v>2017</v>
      </c>
      <c r="G166" s="2">
        <v>2017</v>
      </c>
      <c r="H166" s="2">
        <f>'mpi_dataset_summary_2017-2024'!$G166-'mpi_dataset_summary_2017-2024'!$F166+1</f>
        <v>1</v>
      </c>
      <c r="I166" s="2" t="s">
        <v>2111</v>
      </c>
      <c r="J166" s="2" t="s">
        <v>2111</v>
      </c>
      <c r="K166" s="2">
        <f>IF('mpi_dataset_summary_2017-2024'!$G166=2024,1,0)</f>
        <v>0</v>
      </c>
      <c r="L166" s="2">
        <f t="shared" si="4"/>
        <v>0</v>
      </c>
      <c r="M166" s="2">
        <v>558</v>
      </c>
      <c r="N166" s="2">
        <f t="shared" si="5"/>
        <v>0.70399999999999996</v>
      </c>
      <c r="O166" s="2">
        <v>54.09</v>
      </c>
      <c r="P166" s="2">
        <v>-99.192999999999998</v>
      </c>
      <c r="Q166" s="2" t="s">
        <v>2107</v>
      </c>
      <c r="R166" s="3" t="s">
        <v>33</v>
      </c>
      <c r="S166" s="2" t="s">
        <v>25</v>
      </c>
      <c r="T166" s="2" t="s">
        <v>34</v>
      </c>
    </row>
    <row r="167" spans="1:20" x14ac:dyDescent="0.2">
      <c r="A167" s="2">
        <v>481</v>
      </c>
      <c r="B167" s="2" t="s">
        <v>383</v>
      </c>
      <c r="C167" s="2" t="s">
        <v>384</v>
      </c>
      <c r="D167" s="2" t="s">
        <v>69</v>
      </c>
      <c r="E167" s="2" t="s">
        <v>20</v>
      </c>
      <c r="F167" s="2">
        <v>2017</v>
      </c>
      <c r="G167" s="2">
        <v>2018</v>
      </c>
      <c r="H167" s="2">
        <f>'mpi_dataset_summary_2017-2024'!$G167-'mpi_dataset_summary_2017-2024'!$F167+1</f>
        <v>2</v>
      </c>
      <c r="I167" s="2" t="s">
        <v>2110</v>
      </c>
      <c r="J167" s="2" t="s">
        <v>2110</v>
      </c>
      <c r="K167" s="2">
        <f>IF('mpi_dataset_summary_2017-2024'!$G167=2024,1,0)</f>
        <v>0</v>
      </c>
      <c r="L167" s="2">
        <f t="shared" si="4"/>
        <v>1</v>
      </c>
      <c r="M167" s="2">
        <v>235</v>
      </c>
      <c r="N167" s="2">
        <f t="shared" si="5"/>
        <v>0.52700000000000002</v>
      </c>
      <c r="O167" s="2">
        <v>54.444476999999999</v>
      </c>
      <c r="P167" s="2">
        <v>-124.26106799999999</v>
      </c>
      <c r="Q167" s="2" t="s">
        <v>2108</v>
      </c>
      <c r="R167" s="3" t="s">
        <v>24</v>
      </c>
      <c r="S167" s="2" t="s">
        <v>25</v>
      </c>
      <c r="T167" s="2" t="s">
        <v>26</v>
      </c>
    </row>
    <row r="168" spans="1:20" x14ac:dyDescent="0.2">
      <c r="A168" s="2">
        <v>482</v>
      </c>
      <c r="B168" s="2" t="s">
        <v>385</v>
      </c>
      <c r="C168" s="2" t="s">
        <v>386</v>
      </c>
      <c r="D168" s="2" t="s">
        <v>69</v>
      </c>
      <c r="E168" s="2" t="s">
        <v>20</v>
      </c>
      <c r="F168" s="2">
        <v>2017</v>
      </c>
      <c r="G168" s="2">
        <v>2018</v>
      </c>
      <c r="H168" s="2">
        <f>'mpi_dataset_summary_2017-2024'!$G168-'mpi_dataset_summary_2017-2024'!$F168+1</f>
        <v>2</v>
      </c>
      <c r="I168" s="2" t="s">
        <v>2110</v>
      </c>
      <c r="J168" s="2" t="s">
        <v>2110</v>
      </c>
      <c r="K168" s="2">
        <f>IF('mpi_dataset_summary_2017-2024'!$G168=2024,1,0)</f>
        <v>0</v>
      </c>
      <c r="L168" s="2">
        <f t="shared" si="4"/>
        <v>1</v>
      </c>
      <c r="M168" s="2">
        <v>235</v>
      </c>
      <c r="N168" s="2">
        <f t="shared" si="5"/>
        <v>0.52700000000000002</v>
      </c>
      <c r="O168" s="2">
        <v>50.100760999999999</v>
      </c>
      <c r="P168" s="2">
        <v>-120.793746</v>
      </c>
      <c r="Q168" s="2" t="s">
        <v>2108</v>
      </c>
      <c r="R168" s="3" t="s">
        <v>24</v>
      </c>
      <c r="S168" s="2" t="s">
        <v>25</v>
      </c>
      <c r="T168" s="2" t="s">
        <v>26</v>
      </c>
    </row>
    <row r="169" spans="1:20" x14ac:dyDescent="0.2">
      <c r="A169" s="2">
        <v>484</v>
      </c>
      <c r="B169" s="2" t="s">
        <v>387</v>
      </c>
      <c r="C169" s="2" t="s">
        <v>388</v>
      </c>
      <c r="D169" s="2" t="s">
        <v>69</v>
      </c>
      <c r="E169" s="2" t="s">
        <v>20</v>
      </c>
      <c r="F169" s="2">
        <v>2020</v>
      </c>
      <c r="G169" s="2">
        <v>2021</v>
      </c>
      <c r="H169" s="2">
        <f>'mpi_dataset_summary_2017-2024'!$G169-'mpi_dataset_summary_2017-2024'!$F169+1</f>
        <v>2</v>
      </c>
      <c r="I169" s="2" t="s">
        <v>2112</v>
      </c>
      <c r="J169" s="2" t="s">
        <v>2112</v>
      </c>
      <c r="K169" s="2">
        <f>IF('mpi_dataset_summary_2017-2024'!$G169=2024,1,0)</f>
        <v>0</v>
      </c>
      <c r="L169" s="2">
        <f t="shared" si="4"/>
        <v>0</v>
      </c>
      <c r="M169" s="2">
        <v>100</v>
      </c>
      <c r="N169" s="2">
        <f t="shared" si="5"/>
        <v>0.34300000000000003</v>
      </c>
      <c r="O169" s="2">
        <v>54.711928999999998</v>
      </c>
      <c r="P169" s="2">
        <v>-120.959473</v>
      </c>
      <c r="Q169" s="2" t="s">
        <v>2107</v>
      </c>
      <c r="R169" s="3" t="s">
        <v>21</v>
      </c>
      <c r="S169" s="2" t="s">
        <v>22</v>
      </c>
      <c r="T169" s="2" t="s">
        <v>23</v>
      </c>
    </row>
    <row r="170" spans="1:20" x14ac:dyDescent="0.2">
      <c r="A170" s="2">
        <v>485</v>
      </c>
      <c r="B170" s="2" t="s">
        <v>387</v>
      </c>
      <c r="C170" s="2" t="s">
        <v>389</v>
      </c>
      <c r="D170" s="2" t="s">
        <v>69</v>
      </c>
      <c r="E170" s="2" t="s">
        <v>20</v>
      </c>
      <c r="F170" s="2">
        <v>2020</v>
      </c>
      <c r="G170" s="2">
        <v>2024</v>
      </c>
      <c r="H170" s="2">
        <f>'mpi_dataset_summary_2017-2024'!$G170-'mpi_dataset_summary_2017-2024'!$F170+1</f>
        <v>5</v>
      </c>
      <c r="I170" s="2" t="s">
        <v>2112</v>
      </c>
      <c r="J170" s="2" t="s">
        <v>2113</v>
      </c>
      <c r="K170" s="2">
        <f>IF('mpi_dataset_summary_2017-2024'!$G170=2024,1,0)</f>
        <v>1</v>
      </c>
      <c r="L170" s="2">
        <f t="shared" si="4"/>
        <v>0</v>
      </c>
      <c r="M170" s="2">
        <v>55</v>
      </c>
      <c r="N170" s="2">
        <f t="shared" si="5"/>
        <v>0.24199999999999999</v>
      </c>
      <c r="O170" s="2">
        <v>55.266598000000002</v>
      </c>
      <c r="P170" s="2">
        <v>-120.871582</v>
      </c>
      <c r="Q170" s="2" t="s">
        <v>2107</v>
      </c>
      <c r="R170" s="3" t="s">
        <v>21</v>
      </c>
      <c r="S170" s="2" t="s">
        <v>22</v>
      </c>
      <c r="T170" s="2" t="s">
        <v>23</v>
      </c>
    </row>
    <row r="171" spans="1:20" x14ac:dyDescent="0.2">
      <c r="A171" s="2">
        <v>488</v>
      </c>
      <c r="B171" s="2" t="s">
        <v>390</v>
      </c>
      <c r="C171" s="2" t="s">
        <v>391</v>
      </c>
      <c r="D171" s="2" t="s">
        <v>380</v>
      </c>
      <c r="E171" s="2" t="s">
        <v>20</v>
      </c>
      <c r="F171" s="2">
        <v>2017</v>
      </c>
      <c r="G171" s="2">
        <v>2024</v>
      </c>
      <c r="H171" s="2">
        <f>'mpi_dataset_summary_2017-2024'!$G171-'mpi_dataset_summary_2017-2024'!$F171+1</f>
        <v>8</v>
      </c>
      <c r="I171" s="2" t="s">
        <v>2112</v>
      </c>
      <c r="J171" s="2" t="s">
        <v>2111</v>
      </c>
      <c r="K171" s="2">
        <f>IF('mpi_dataset_summary_2017-2024'!$G171=2024,1,0)</f>
        <v>1</v>
      </c>
      <c r="L171" s="2">
        <f t="shared" si="4"/>
        <v>0</v>
      </c>
      <c r="M171" s="2">
        <v>3617</v>
      </c>
      <c r="N171" s="2">
        <f t="shared" si="5"/>
        <v>0.93300000000000005</v>
      </c>
      <c r="O171" s="2">
        <v>62.738999999999997</v>
      </c>
      <c r="P171" s="2">
        <v>-138.82300000000001</v>
      </c>
      <c r="Q171" s="2" t="s">
        <v>2107</v>
      </c>
      <c r="R171" s="3" t="s">
        <v>29</v>
      </c>
      <c r="S171" s="2" t="s">
        <v>22</v>
      </c>
      <c r="T171" s="2" t="s">
        <v>30</v>
      </c>
    </row>
    <row r="172" spans="1:20" x14ac:dyDescent="0.2">
      <c r="A172" s="2">
        <v>489</v>
      </c>
      <c r="B172" s="2" t="s">
        <v>392</v>
      </c>
      <c r="C172" s="2" t="s">
        <v>393</v>
      </c>
      <c r="D172" s="2" t="s">
        <v>69</v>
      </c>
      <c r="E172" s="2" t="s">
        <v>20</v>
      </c>
      <c r="F172" s="2">
        <v>2017</v>
      </c>
      <c r="G172" s="2">
        <v>2017</v>
      </c>
      <c r="H172" s="2">
        <f>'mpi_dataset_summary_2017-2024'!$G172-'mpi_dataset_summary_2017-2024'!$F172+1</f>
        <v>1</v>
      </c>
      <c r="I172" s="2" t="s">
        <v>2111</v>
      </c>
      <c r="J172" s="2" t="s">
        <v>2111</v>
      </c>
      <c r="K172" s="2">
        <f>IF('mpi_dataset_summary_2017-2024'!$G172=2024,1,0)</f>
        <v>0</v>
      </c>
      <c r="L172" s="2">
        <f t="shared" si="4"/>
        <v>0</v>
      </c>
      <c r="M172" s="2">
        <v>400</v>
      </c>
      <c r="N172" s="2">
        <f t="shared" si="5"/>
        <v>0.63500000000000001</v>
      </c>
      <c r="O172" s="2">
        <v>50.527332000000001</v>
      </c>
      <c r="P172" s="2">
        <v>-123.108114</v>
      </c>
      <c r="Q172" s="2" t="s">
        <v>2108</v>
      </c>
      <c r="R172" s="3" t="s">
        <v>24</v>
      </c>
      <c r="S172" s="2" t="s">
        <v>25</v>
      </c>
      <c r="T172" s="2" t="s">
        <v>26</v>
      </c>
    </row>
    <row r="173" spans="1:20" x14ac:dyDescent="0.2">
      <c r="A173" s="2">
        <v>490</v>
      </c>
      <c r="B173" s="2" t="s">
        <v>394</v>
      </c>
      <c r="C173" s="2" t="s">
        <v>395</v>
      </c>
      <c r="D173" s="2" t="s">
        <v>110</v>
      </c>
      <c r="E173" s="2" t="s">
        <v>20</v>
      </c>
      <c r="F173" s="2">
        <v>2017</v>
      </c>
      <c r="G173" s="2">
        <v>2023</v>
      </c>
      <c r="H173" s="2">
        <f>'mpi_dataset_summary_2017-2024'!$G173-'mpi_dataset_summary_2017-2024'!$F173+1</f>
        <v>7</v>
      </c>
      <c r="I173" s="2" t="s">
        <v>2113</v>
      </c>
      <c r="J173" s="2" t="s">
        <v>2110</v>
      </c>
      <c r="K173" s="2">
        <f>IF('mpi_dataset_summary_2017-2024'!$G173=2024,1,0)</f>
        <v>0</v>
      </c>
      <c r="L173" s="2">
        <f t="shared" si="4"/>
        <v>1</v>
      </c>
      <c r="M173" s="2">
        <v>149</v>
      </c>
      <c r="N173" s="2">
        <f t="shared" si="5"/>
        <v>0.44</v>
      </c>
      <c r="O173" s="2">
        <v>50.118000000000002</v>
      </c>
      <c r="P173" s="2">
        <v>-104.471</v>
      </c>
      <c r="Q173" s="2" t="s">
        <v>2107</v>
      </c>
      <c r="R173" s="3" t="s">
        <v>33</v>
      </c>
      <c r="S173" s="2" t="s">
        <v>25</v>
      </c>
      <c r="T173" s="2" t="s">
        <v>34</v>
      </c>
    </row>
    <row r="174" spans="1:20" x14ac:dyDescent="0.2">
      <c r="A174" s="2">
        <v>492</v>
      </c>
      <c r="B174" s="2" t="s">
        <v>396</v>
      </c>
      <c r="C174" s="2" t="s">
        <v>397</v>
      </c>
      <c r="D174" s="2" t="s">
        <v>69</v>
      </c>
      <c r="E174" s="2" t="s">
        <v>20</v>
      </c>
      <c r="F174" s="2">
        <v>2017</v>
      </c>
      <c r="G174" s="2">
        <v>2017</v>
      </c>
      <c r="H174" s="2">
        <f>'mpi_dataset_summary_2017-2024'!$G174-'mpi_dataset_summary_2017-2024'!$F174+1</f>
        <v>1</v>
      </c>
      <c r="I174" s="2" t="s">
        <v>2112</v>
      </c>
      <c r="J174" s="2" t="s">
        <v>2112</v>
      </c>
      <c r="K174" s="2">
        <f>IF('mpi_dataset_summary_2017-2024'!$G174=2024,1,0)</f>
        <v>0</v>
      </c>
      <c r="L174" s="2">
        <f t="shared" si="4"/>
        <v>0</v>
      </c>
      <c r="M174" s="2">
        <v>200</v>
      </c>
      <c r="N174" s="2">
        <f t="shared" si="5"/>
        <v>0.49099999999999999</v>
      </c>
      <c r="O174" s="2">
        <v>55.692287</v>
      </c>
      <c r="P174" s="2">
        <v>-121.790415</v>
      </c>
      <c r="Q174" s="2" t="s">
        <v>2108</v>
      </c>
      <c r="R174" s="3" t="s">
        <v>24</v>
      </c>
      <c r="S174" s="2" t="s">
        <v>25</v>
      </c>
      <c r="T174" s="2" t="s">
        <v>26</v>
      </c>
    </row>
    <row r="175" spans="1:20" x14ac:dyDescent="0.2">
      <c r="A175" s="2">
        <v>499</v>
      </c>
      <c r="B175" s="2" t="s">
        <v>360</v>
      </c>
      <c r="C175" s="2" t="s">
        <v>398</v>
      </c>
      <c r="D175" s="2" t="s">
        <v>69</v>
      </c>
      <c r="E175" s="2" t="s">
        <v>20</v>
      </c>
      <c r="F175" s="2">
        <v>2020</v>
      </c>
      <c r="G175" s="2">
        <v>2022</v>
      </c>
      <c r="H175" s="2">
        <f>'mpi_dataset_summary_2017-2024'!$G175-'mpi_dataset_summary_2017-2024'!$F175+1</f>
        <v>3</v>
      </c>
      <c r="I175" s="2" t="s">
        <v>2112</v>
      </c>
      <c r="J175" s="2" t="s">
        <v>2111</v>
      </c>
      <c r="K175" s="2">
        <f>IF('mpi_dataset_summary_2017-2024'!$G175=2024,1,0)</f>
        <v>0</v>
      </c>
      <c r="L175" s="2">
        <f t="shared" si="4"/>
        <v>0</v>
      </c>
      <c r="M175" s="2">
        <v>1347</v>
      </c>
      <c r="N175" s="2">
        <f t="shared" si="5"/>
        <v>0.85299999999999998</v>
      </c>
      <c r="O175" s="2">
        <v>51.518999999999998</v>
      </c>
      <c r="P175" s="2">
        <v>-119.81699999999999</v>
      </c>
      <c r="Q175" s="2" t="s">
        <v>2107</v>
      </c>
      <c r="R175" s="3" t="s">
        <v>41</v>
      </c>
      <c r="S175" s="2" t="s">
        <v>22</v>
      </c>
      <c r="T175" s="2" t="s">
        <v>42</v>
      </c>
    </row>
    <row r="176" spans="1:20" x14ac:dyDescent="0.2">
      <c r="A176" s="2">
        <v>503</v>
      </c>
      <c r="B176" s="2" t="s">
        <v>399</v>
      </c>
      <c r="C176" s="2" t="s">
        <v>400</v>
      </c>
      <c r="D176" s="2" t="s">
        <v>89</v>
      </c>
      <c r="E176" s="2" t="s">
        <v>20</v>
      </c>
      <c r="F176" s="2">
        <v>2017</v>
      </c>
      <c r="G176" s="2">
        <v>2019</v>
      </c>
      <c r="H176" s="2">
        <f>'mpi_dataset_summary_2017-2024'!$G176-'mpi_dataset_summary_2017-2024'!$F176+1</f>
        <v>3</v>
      </c>
      <c r="I176" s="2" t="s">
        <v>2110</v>
      </c>
      <c r="J176" s="2" t="s">
        <v>2110</v>
      </c>
      <c r="K176" s="2">
        <f>IF('mpi_dataset_summary_2017-2024'!$G176=2024,1,0)</f>
        <v>0</v>
      </c>
      <c r="L176" s="2">
        <f t="shared" si="4"/>
        <v>1</v>
      </c>
      <c r="M176" s="2">
        <v>73</v>
      </c>
      <c r="N176" s="2">
        <f t="shared" si="5"/>
        <v>0.28599999999999998</v>
      </c>
      <c r="O176" s="2">
        <v>46.693725000000001</v>
      </c>
      <c r="P176" s="2">
        <v>-71.945134999999993</v>
      </c>
      <c r="Q176" s="2" t="s">
        <v>2107</v>
      </c>
      <c r="R176" s="3" t="s">
        <v>41</v>
      </c>
      <c r="S176" s="2" t="s">
        <v>22</v>
      </c>
      <c r="T176" s="2" t="s">
        <v>42</v>
      </c>
    </row>
    <row r="177" spans="1:20" x14ac:dyDescent="0.2">
      <c r="A177" s="2">
        <v>515</v>
      </c>
      <c r="B177" s="2" t="s">
        <v>401</v>
      </c>
      <c r="C177" s="2" t="s">
        <v>402</v>
      </c>
      <c r="D177" s="2" t="s">
        <v>66</v>
      </c>
      <c r="E177" s="2" t="s">
        <v>20</v>
      </c>
      <c r="F177" s="2">
        <v>2019</v>
      </c>
      <c r="G177" s="2">
        <v>2024</v>
      </c>
      <c r="H177" s="2">
        <f>'mpi_dataset_summary_2017-2024'!$G177-'mpi_dataset_summary_2017-2024'!$F177+1</f>
        <v>6</v>
      </c>
      <c r="I177" s="2" t="s">
        <v>2112</v>
      </c>
      <c r="J177" s="2" t="s">
        <v>2112</v>
      </c>
      <c r="K177" s="2">
        <f>IF('mpi_dataset_summary_2017-2024'!$G177=2024,1,0)</f>
        <v>1</v>
      </c>
      <c r="L177" s="2">
        <f t="shared" si="4"/>
        <v>0</v>
      </c>
      <c r="M177" s="2">
        <v>615</v>
      </c>
      <c r="N177" s="2">
        <f t="shared" si="5"/>
        <v>0.73</v>
      </c>
      <c r="O177" s="2">
        <v>57.100499999999997</v>
      </c>
      <c r="P177" s="2">
        <v>-113.2251</v>
      </c>
      <c r="Q177" s="2" t="s">
        <v>2108</v>
      </c>
      <c r="R177" s="3" t="s">
        <v>39</v>
      </c>
      <c r="S177" s="2" t="s">
        <v>22</v>
      </c>
      <c r="T177" s="2" t="s">
        <v>40</v>
      </c>
    </row>
    <row r="178" spans="1:20" x14ac:dyDescent="0.2">
      <c r="A178" s="2">
        <v>516</v>
      </c>
      <c r="B178" s="2" t="s">
        <v>403</v>
      </c>
      <c r="C178" s="2" t="s">
        <v>404</v>
      </c>
      <c r="D178" s="2" t="s">
        <v>69</v>
      </c>
      <c r="E178" s="2" t="s">
        <v>20</v>
      </c>
      <c r="F178" s="2">
        <v>2017</v>
      </c>
      <c r="G178" s="2">
        <v>2024</v>
      </c>
      <c r="H178" s="2">
        <f>'mpi_dataset_summary_2017-2024'!$G178-'mpi_dataset_summary_2017-2024'!$F178+1</f>
        <v>8</v>
      </c>
      <c r="I178" s="2" t="s">
        <v>2112</v>
      </c>
      <c r="J178" s="2" t="s">
        <v>2110</v>
      </c>
      <c r="K178" s="2">
        <f>IF('mpi_dataset_summary_2017-2024'!$G178=2024,1,0)</f>
        <v>1</v>
      </c>
      <c r="L178" s="2">
        <f t="shared" si="4"/>
        <v>1</v>
      </c>
      <c r="M178" s="2">
        <v>708</v>
      </c>
      <c r="N178" s="2">
        <f t="shared" si="5"/>
        <v>0.75</v>
      </c>
      <c r="O178" s="2">
        <v>56.976604999999999</v>
      </c>
      <c r="P178" s="2">
        <v>-126.761678</v>
      </c>
      <c r="Q178" s="2" t="s">
        <v>2107</v>
      </c>
      <c r="R178" s="3" t="s">
        <v>29</v>
      </c>
      <c r="S178" s="2" t="s">
        <v>22</v>
      </c>
      <c r="T178" s="2" t="s">
        <v>30</v>
      </c>
    </row>
    <row r="179" spans="1:20" x14ac:dyDescent="0.2">
      <c r="A179" s="2">
        <v>519</v>
      </c>
      <c r="B179" s="2" t="s">
        <v>104</v>
      </c>
      <c r="C179" s="2" t="s">
        <v>405</v>
      </c>
      <c r="D179" s="2" t="s">
        <v>69</v>
      </c>
      <c r="E179" s="2" t="s">
        <v>43</v>
      </c>
      <c r="F179" s="2">
        <v>2017</v>
      </c>
      <c r="G179" s="2">
        <v>2019</v>
      </c>
      <c r="H179" s="2">
        <f>'mpi_dataset_summary_2017-2024'!$G179-'mpi_dataset_summary_2017-2024'!$F179+1</f>
        <v>3</v>
      </c>
      <c r="I179" s="2" t="s">
        <v>2110</v>
      </c>
      <c r="J179" s="2" t="s">
        <v>2110</v>
      </c>
      <c r="K179" s="2">
        <f>IF('mpi_dataset_summary_2017-2024'!$G179=2024,1,0)</f>
        <v>0</v>
      </c>
      <c r="L179" s="2">
        <f t="shared" si="4"/>
        <v>1</v>
      </c>
      <c r="M179" s="2">
        <v>94</v>
      </c>
      <c r="N179" s="2">
        <f t="shared" si="5"/>
        <v>0.33400000000000002</v>
      </c>
      <c r="O179" s="2">
        <v>49.159256999999997</v>
      </c>
      <c r="P179" s="2">
        <v>-122.82165500000001</v>
      </c>
      <c r="Q179" s="2" t="s">
        <v>2108</v>
      </c>
      <c r="R179" s="3" t="s">
        <v>35</v>
      </c>
      <c r="S179" s="2" t="s">
        <v>22</v>
      </c>
      <c r="T179" s="2" t="s">
        <v>36</v>
      </c>
    </row>
    <row r="180" spans="1:20" x14ac:dyDescent="0.2">
      <c r="A180" s="2">
        <v>521</v>
      </c>
      <c r="B180" s="2" t="s">
        <v>406</v>
      </c>
      <c r="C180" s="2" t="s">
        <v>320</v>
      </c>
      <c r="D180" s="2" t="s">
        <v>185</v>
      </c>
      <c r="E180" s="2" t="s">
        <v>20</v>
      </c>
      <c r="F180" s="2">
        <v>2017</v>
      </c>
      <c r="G180" s="2">
        <v>2018</v>
      </c>
      <c r="H180" s="2">
        <f>'mpi_dataset_summary_2017-2024'!$G180-'mpi_dataset_summary_2017-2024'!$F180+1</f>
        <v>2</v>
      </c>
      <c r="I180" s="2" t="s">
        <v>2110</v>
      </c>
      <c r="J180" s="2" t="s">
        <v>2110</v>
      </c>
      <c r="K180" s="2">
        <f>IF('mpi_dataset_summary_2017-2024'!$G180=2024,1,0)</f>
        <v>0</v>
      </c>
      <c r="L180" s="2">
        <f t="shared" si="4"/>
        <v>1</v>
      </c>
      <c r="M180" s="2">
        <v>1050</v>
      </c>
      <c r="N180" s="2">
        <f t="shared" si="5"/>
        <v>0.81699999999999995</v>
      </c>
      <c r="O180" s="2">
        <v>42.972499999999997</v>
      </c>
      <c r="P180" s="2">
        <v>-62.215575999999999</v>
      </c>
      <c r="Q180" s="2" t="s">
        <v>2108</v>
      </c>
      <c r="R180" s="3" t="s">
        <v>39</v>
      </c>
      <c r="S180" s="2" t="s">
        <v>22</v>
      </c>
      <c r="T180" s="2" t="s">
        <v>40</v>
      </c>
    </row>
    <row r="181" spans="1:20" x14ac:dyDescent="0.2">
      <c r="A181" s="2">
        <v>522</v>
      </c>
      <c r="B181" s="2" t="s">
        <v>407</v>
      </c>
      <c r="C181" s="2" t="s">
        <v>408</v>
      </c>
      <c r="D181" s="2" t="s">
        <v>69</v>
      </c>
      <c r="E181" s="2" t="s">
        <v>20</v>
      </c>
      <c r="F181" s="2">
        <v>2017</v>
      </c>
      <c r="G181" s="2">
        <v>2024</v>
      </c>
      <c r="H181" s="2">
        <f>'mpi_dataset_summary_2017-2024'!$G181-'mpi_dataset_summary_2017-2024'!$F181+1</f>
        <v>8</v>
      </c>
      <c r="I181" s="2" t="s">
        <v>2112</v>
      </c>
      <c r="J181" s="2" t="s">
        <v>2113</v>
      </c>
      <c r="K181" s="2">
        <f>IF('mpi_dataset_summary_2017-2024'!$G181=2024,1,0)</f>
        <v>1</v>
      </c>
      <c r="L181" s="2">
        <f t="shared" si="4"/>
        <v>0</v>
      </c>
      <c r="M181" s="2">
        <v>60</v>
      </c>
      <c r="N181" s="2">
        <f t="shared" si="5"/>
        <v>0.254</v>
      </c>
      <c r="O181" s="2">
        <v>49.468116000000002</v>
      </c>
      <c r="P181" s="2">
        <v>-123.338801</v>
      </c>
      <c r="Q181" s="2" t="s">
        <v>2107</v>
      </c>
      <c r="R181" s="3" t="s">
        <v>41</v>
      </c>
      <c r="S181" s="2" t="s">
        <v>22</v>
      </c>
      <c r="T181" s="2" t="s">
        <v>42</v>
      </c>
    </row>
    <row r="182" spans="1:20" x14ac:dyDescent="0.2">
      <c r="A182" s="2">
        <v>524</v>
      </c>
      <c r="B182" s="2" t="s">
        <v>121</v>
      </c>
      <c r="C182" s="2" t="s">
        <v>409</v>
      </c>
      <c r="D182" s="2" t="s">
        <v>66</v>
      </c>
      <c r="E182" s="2" t="s">
        <v>20</v>
      </c>
      <c r="F182" s="2">
        <v>2017</v>
      </c>
      <c r="G182" s="2">
        <v>2019</v>
      </c>
      <c r="H182" s="2">
        <f>'mpi_dataset_summary_2017-2024'!$G182-'mpi_dataset_summary_2017-2024'!$F182+1</f>
        <v>3</v>
      </c>
      <c r="I182" s="2" t="s">
        <v>2113</v>
      </c>
      <c r="J182" s="2" t="s">
        <v>2110</v>
      </c>
      <c r="K182" s="2">
        <f>IF('mpi_dataset_summary_2017-2024'!$G182=2024,1,0)</f>
        <v>0</v>
      </c>
      <c r="L182" s="2">
        <f t="shared" si="4"/>
        <v>1</v>
      </c>
      <c r="M182" s="2">
        <v>3333</v>
      </c>
      <c r="N182" s="2">
        <f t="shared" si="5"/>
        <v>0.92800000000000005</v>
      </c>
      <c r="O182" s="2">
        <v>55.347889000000002</v>
      </c>
      <c r="P182" s="2">
        <v>-111.038132</v>
      </c>
      <c r="Q182" s="2" t="s">
        <v>2108</v>
      </c>
      <c r="R182" s="3" t="s">
        <v>39</v>
      </c>
      <c r="S182" s="2" t="s">
        <v>22</v>
      </c>
      <c r="T182" s="2" t="s">
        <v>40</v>
      </c>
    </row>
    <row r="183" spans="1:20" x14ac:dyDescent="0.2">
      <c r="A183" s="2">
        <v>528</v>
      </c>
      <c r="B183" s="2" t="s">
        <v>410</v>
      </c>
      <c r="C183" s="2" t="s">
        <v>411</v>
      </c>
      <c r="D183" s="2" t="s">
        <v>69</v>
      </c>
      <c r="E183" s="2" t="s">
        <v>20</v>
      </c>
      <c r="F183" s="2">
        <v>2020</v>
      </c>
      <c r="G183" s="2">
        <v>2023</v>
      </c>
      <c r="H183" s="2">
        <f>'mpi_dataset_summary_2017-2024'!$G183-'mpi_dataset_summary_2017-2024'!$F183+1</f>
        <v>4</v>
      </c>
      <c r="I183" s="2" t="s">
        <v>2112</v>
      </c>
      <c r="J183" s="2" t="s">
        <v>2112</v>
      </c>
      <c r="K183" s="2">
        <f>IF('mpi_dataset_summary_2017-2024'!$G183=2024,1,0)</f>
        <v>0</v>
      </c>
      <c r="L183" s="2">
        <f t="shared" si="4"/>
        <v>0</v>
      </c>
      <c r="M183" s="2">
        <v>301</v>
      </c>
      <c r="N183" s="2">
        <f t="shared" si="5"/>
        <v>0.58199999999999996</v>
      </c>
      <c r="O183" s="2">
        <v>55.983772999999999</v>
      </c>
      <c r="P183" s="2">
        <v>-122.39888500000001</v>
      </c>
      <c r="Q183" s="2" t="s">
        <v>2107</v>
      </c>
      <c r="R183" s="3" t="s">
        <v>21</v>
      </c>
      <c r="S183" s="2" t="s">
        <v>22</v>
      </c>
      <c r="T183" s="2" t="s">
        <v>23</v>
      </c>
    </row>
    <row r="184" spans="1:20" x14ac:dyDescent="0.2">
      <c r="A184" s="2">
        <v>529</v>
      </c>
      <c r="B184" s="2" t="s">
        <v>412</v>
      </c>
      <c r="C184" s="2" t="s">
        <v>413</v>
      </c>
      <c r="D184" s="2" t="s">
        <v>66</v>
      </c>
      <c r="E184" s="2" t="s">
        <v>20</v>
      </c>
      <c r="F184" s="2">
        <v>2019</v>
      </c>
      <c r="G184" s="2">
        <v>2023</v>
      </c>
      <c r="H184" s="2">
        <f>'mpi_dataset_summary_2017-2024'!$G184-'mpi_dataset_summary_2017-2024'!$F184+1</f>
        <v>5</v>
      </c>
      <c r="I184" s="2" t="s">
        <v>2113</v>
      </c>
      <c r="J184" s="2" t="s">
        <v>2113</v>
      </c>
      <c r="K184" s="2">
        <f>IF('mpi_dataset_summary_2017-2024'!$G184=2024,1,0)</f>
        <v>0</v>
      </c>
      <c r="L184" s="2">
        <f t="shared" si="4"/>
        <v>0</v>
      </c>
      <c r="M184" s="2">
        <v>452</v>
      </c>
      <c r="N184" s="2">
        <f t="shared" si="5"/>
        <v>0.66300000000000003</v>
      </c>
      <c r="O184" s="2">
        <v>56.042900000000003</v>
      </c>
      <c r="P184" s="2">
        <v>-113.6742</v>
      </c>
      <c r="Q184" s="2" t="s">
        <v>2108</v>
      </c>
      <c r="R184" s="3" t="s">
        <v>24</v>
      </c>
      <c r="S184" s="2" t="s">
        <v>25</v>
      </c>
      <c r="T184" s="2" t="s">
        <v>26</v>
      </c>
    </row>
    <row r="185" spans="1:20" x14ac:dyDescent="0.2">
      <c r="A185" s="2">
        <v>530</v>
      </c>
      <c r="B185" s="2" t="s">
        <v>414</v>
      </c>
      <c r="C185" s="2" t="s">
        <v>415</v>
      </c>
      <c r="D185" s="2" t="s">
        <v>69</v>
      </c>
      <c r="E185" s="2" t="s">
        <v>20</v>
      </c>
      <c r="F185" s="2">
        <v>2019</v>
      </c>
      <c r="G185" s="2">
        <v>2024</v>
      </c>
      <c r="H185" s="2">
        <f>'mpi_dataset_summary_2017-2024'!$G185-'mpi_dataset_summary_2017-2024'!$F185+1</f>
        <v>6</v>
      </c>
      <c r="I185" s="2" t="s">
        <v>2112</v>
      </c>
      <c r="J185" s="2" t="s">
        <v>2112</v>
      </c>
      <c r="K185" s="2">
        <f>IF('mpi_dataset_summary_2017-2024'!$G185=2024,1,0)</f>
        <v>1</v>
      </c>
      <c r="L185" s="2">
        <f t="shared" si="4"/>
        <v>0</v>
      </c>
      <c r="M185" s="2">
        <v>480</v>
      </c>
      <c r="N185" s="2">
        <f t="shared" si="5"/>
        <v>0.67100000000000004</v>
      </c>
      <c r="O185" s="2">
        <v>50.182600000000001</v>
      </c>
      <c r="P185" s="2">
        <v>-114.9877</v>
      </c>
      <c r="Q185" s="2" t="s">
        <v>2107</v>
      </c>
      <c r="R185" s="3" t="s">
        <v>21</v>
      </c>
      <c r="S185" s="2" t="s">
        <v>22</v>
      </c>
      <c r="T185" s="2" t="s">
        <v>23</v>
      </c>
    </row>
    <row r="186" spans="1:20" x14ac:dyDescent="0.2">
      <c r="A186" s="2">
        <v>531</v>
      </c>
      <c r="B186" s="2" t="s">
        <v>416</v>
      </c>
      <c r="C186" s="2" t="s">
        <v>417</v>
      </c>
      <c r="D186" s="2" t="s">
        <v>69</v>
      </c>
      <c r="E186" s="2" t="s">
        <v>43</v>
      </c>
      <c r="F186" s="2">
        <v>2017</v>
      </c>
      <c r="G186" s="2">
        <v>2018</v>
      </c>
      <c r="H186" s="2">
        <f>'mpi_dataset_summary_2017-2024'!$G186-'mpi_dataset_summary_2017-2024'!$F186+1</f>
        <v>2</v>
      </c>
      <c r="I186" s="2" t="s">
        <v>2110</v>
      </c>
      <c r="J186" s="2" t="s">
        <v>2110</v>
      </c>
      <c r="K186" s="2">
        <f>IF('mpi_dataset_summary_2017-2024'!$G186=2024,1,0)</f>
        <v>0</v>
      </c>
      <c r="L186" s="2">
        <f t="shared" si="4"/>
        <v>1</v>
      </c>
      <c r="M186" s="2">
        <v>65</v>
      </c>
      <c r="N186" s="2">
        <f t="shared" si="5"/>
        <v>0.26400000000000001</v>
      </c>
      <c r="O186" s="2">
        <v>49.180691000000003</v>
      </c>
      <c r="P186" s="2">
        <v>-122.68675500000001</v>
      </c>
      <c r="Q186" s="2" t="s">
        <v>2108</v>
      </c>
      <c r="R186" s="3" t="s">
        <v>44</v>
      </c>
      <c r="S186" s="2" t="s">
        <v>25</v>
      </c>
      <c r="T186" s="2" t="s">
        <v>45</v>
      </c>
    </row>
    <row r="187" spans="1:20" x14ac:dyDescent="0.2">
      <c r="A187" s="2">
        <v>533</v>
      </c>
      <c r="B187" s="2" t="s">
        <v>418</v>
      </c>
      <c r="C187" s="2" t="s">
        <v>419</v>
      </c>
      <c r="D187" s="2" t="s">
        <v>380</v>
      </c>
      <c r="E187" s="2" t="s">
        <v>20</v>
      </c>
      <c r="F187" s="2">
        <v>2017</v>
      </c>
      <c r="G187" s="2">
        <v>2024</v>
      </c>
      <c r="H187" s="2">
        <f>'mpi_dataset_summary_2017-2024'!$G187-'mpi_dataset_summary_2017-2024'!$F187+1</f>
        <v>8</v>
      </c>
      <c r="I187" s="2" t="s">
        <v>2111</v>
      </c>
      <c r="J187" s="2" t="s">
        <v>2111</v>
      </c>
      <c r="K187" s="2">
        <f>IF('mpi_dataset_summary_2017-2024'!$G187=2024,1,0)</f>
        <v>1</v>
      </c>
      <c r="L187" s="2">
        <f t="shared" si="4"/>
        <v>0</v>
      </c>
      <c r="M187" s="2">
        <v>321</v>
      </c>
      <c r="N187" s="2">
        <f t="shared" si="5"/>
        <v>0.58899999999999997</v>
      </c>
      <c r="O187" s="2">
        <v>62.343000000000004</v>
      </c>
      <c r="P187" s="2">
        <v>-136.69900000000001</v>
      </c>
      <c r="Q187" s="2" t="s">
        <v>2107</v>
      </c>
      <c r="R187" s="3" t="s">
        <v>31</v>
      </c>
      <c r="S187" s="2" t="s">
        <v>22</v>
      </c>
      <c r="T187" s="2" t="s">
        <v>32</v>
      </c>
    </row>
    <row r="188" spans="1:20" x14ac:dyDescent="0.2">
      <c r="A188" s="2">
        <v>536</v>
      </c>
      <c r="B188" s="2" t="s">
        <v>420</v>
      </c>
      <c r="C188" s="2" t="s">
        <v>421</v>
      </c>
      <c r="D188" s="2" t="s">
        <v>69</v>
      </c>
      <c r="E188" s="2" t="s">
        <v>20</v>
      </c>
      <c r="F188" s="2">
        <v>2017</v>
      </c>
      <c r="G188" s="2">
        <v>2024</v>
      </c>
      <c r="H188" s="2">
        <f>'mpi_dataset_summary_2017-2024'!$G188-'mpi_dataset_summary_2017-2024'!$F188+1</f>
        <v>8</v>
      </c>
      <c r="I188" s="2" t="s">
        <v>2111</v>
      </c>
      <c r="J188" s="2" t="s">
        <v>2112</v>
      </c>
      <c r="K188" s="2">
        <f>IF('mpi_dataset_summary_2017-2024'!$G188=2024,1,0)</f>
        <v>1</v>
      </c>
      <c r="L188" s="2">
        <f t="shared" si="4"/>
        <v>0</v>
      </c>
      <c r="M188" s="2">
        <v>140</v>
      </c>
      <c r="N188" s="2">
        <f t="shared" si="5"/>
        <v>0.42599999999999999</v>
      </c>
      <c r="O188" s="2">
        <v>53.342917</v>
      </c>
      <c r="P188" s="2">
        <v>-120.26760400000001</v>
      </c>
      <c r="Q188" s="2" t="s">
        <v>2108</v>
      </c>
      <c r="R188" s="3" t="s">
        <v>27</v>
      </c>
      <c r="S188" s="2" t="s">
        <v>25</v>
      </c>
      <c r="T188" s="2" t="s">
        <v>28</v>
      </c>
    </row>
    <row r="189" spans="1:20" x14ac:dyDescent="0.2">
      <c r="A189" s="2">
        <v>538</v>
      </c>
      <c r="B189" s="2" t="s">
        <v>422</v>
      </c>
      <c r="C189" s="2" t="s">
        <v>423</v>
      </c>
      <c r="D189" s="2" t="s">
        <v>110</v>
      </c>
      <c r="E189" s="2" t="s">
        <v>43</v>
      </c>
      <c r="F189" s="2">
        <v>2017</v>
      </c>
      <c r="G189" s="2">
        <v>2017</v>
      </c>
      <c r="H189" s="2">
        <f>'mpi_dataset_summary_2017-2024'!$G189-'mpi_dataset_summary_2017-2024'!$F189+1</f>
        <v>1</v>
      </c>
      <c r="I189" s="2" t="s">
        <v>2113</v>
      </c>
      <c r="J189" s="2" t="s">
        <v>2113</v>
      </c>
      <c r="K189" s="2">
        <f>IF('mpi_dataset_summary_2017-2024'!$G189=2024,1,0)</f>
        <v>0</v>
      </c>
      <c r="L189" s="2">
        <f t="shared" si="4"/>
        <v>0</v>
      </c>
      <c r="M189" s="2">
        <v>630</v>
      </c>
      <c r="N189" s="2">
        <f t="shared" si="5"/>
        <v>0.73099999999999998</v>
      </c>
      <c r="O189" s="2">
        <v>59.175927999999999</v>
      </c>
      <c r="P189" s="2">
        <v>-105.557327</v>
      </c>
      <c r="Q189" s="2" t="s">
        <v>2108</v>
      </c>
      <c r="R189" s="3" t="s">
        <v>24</v>
      </c>
      <c r="S189" s="2" t="s">
        <v>25</v>
      </c>
      <c r="T189" s="2" t="s">
        <v>26</v>
      </c>
    </row>
    <row r="190" spans="1:20" x14ac:dyDescent="0.2">
      <c r="A190" s="2">
        <v>540</v>
      </c>
      <c r="B190" s="2" t="s">
        <v>424</v>
      </c>
      <c r="C190" s="2" t="s">
        <v>425</v>
      </c>
      <c r="D190" s="2" t="s">
        <v>169</v>
      </c>
      <c r="E190" s="2" t="s">
        <v>20</v>
      </c>
      <c r="F190" s="2">
        <v>2017</v>
      </c>
      <c r="G190" s="2">
        <v>2017</v>
      </c>
      <c r="H190" s="2">
        <f>'mpi_dataset_summary_2017-2024'!$G190-'mpi_dataset_summary_2017-2024'!$F190+1</f>
        <v>1</v>
      </c>
      <c r="I190" s="2" t="s">
        <v>2113</v>
      </c>
      <c r="J190" s="2" t="s">
        <v>2113</v>
      </c>
      <c r="K190" s="2">
        <f>IF('mpi_dataset_summary_2017-2024'!$G190=2024,1,0)</f>
        <v>0</v>
      </c>
      <c r="L190" s="2">
        <f t="shared" si="4"/>
        <v>0</v>
      </c>
      <c r="M190" s="2">
        <v>6500</v>
      </c>
      <c r="N190" s="2">
        <f t="shared" si="5"/>
        <v>0.96199999999999997</v>
      </c>
      <c r="O190" s="2">
        <v>53.804699999999997</v>
      </c>
      <c r="P190" s="2">
        <v>-112.9263</v>
      </c>
      <c r="Q190" s="2" t="s">
        <v>2108</v>
      </c>
      <c r="R190" s="3" t="s">
        <v>35</v>
      </c>
      <c r="S190" s="2" t="s">
        <v>22</v>
      </c>
      <c r="T190" s="2" t="s">
        <v>36</v>
      </c>
    </row>
    <row r="191" spans="1:20" x14ac:dyDescent="0.2">
      <c r="A191" s="2">
        <v>542</v>
      </c>
      <c r="B191" s="2" t="s">
        <v>426</v>
      </c>
      <c r="C191" s="2" t="s">
        <v>427</v>
      </c>
      <c r="D191" s="2" t="s">
        <v>110</v>
      </c>
      <c r="E191" s="2" t="s">
        <v>20</v>
      </c>
      <c r="F191" s="2">
        <v>2017</v>
      </c>
      <c r="G191" s="2">
        <v>2021</v>
      </c>
      <c r="H191" s="2">
        <f>'mpi_dataset_summary_2017-2024'!$G191-'mpi_dataset_summary_2017-2024'!$F191+1</f>
        <v>5</v>
      </c>
      <c r="I191" s="2" t="s">
        <v>2112</v>
      </c>
      <c r="J191" s="2" t="s">
        <v>2112</v>
      </c>
      <c r="K191" s="2">
        <f>IF('mpi_dataset_summary_2017-2024'!$G191=2024,1,0)</f>
        <v>0</v>
      </c>
      <c r="L191" s="2">
        <f t="shared" si="4"/>
        <v>0</v>
      </c>
      <c r="M191" s="2">
        <v>4031</v>
      </c>
      <c r="N191" s="2">
        <f t="shared" si="5"/>
        <v>0.94</v>
      </c>
      <c r="O191" s="2">
        <v>51.460852000000003</v>
      </c>
      <c r="P191" s="2">
        <v>-104.09545900000001</v>
      </c>
      <c r="Q191" s="2" t="s">
        <v>2107</v>
      </c>
      <c r="R191" s="3" t="s">
        <v>29</v>
      </c>
      <c r="S191" s="2" t="s">
        <v>22</v>
      </c>
      <c r="T191" s="2" t="s">
        <v>30</v>
      </c>
    </row>
    <row r="192" spans="1:20" x14ac:dyDescent="0.2">
      <c r="A192" s="2">
        <v>545</v>
      </c>
      <c r="B192" s="2" t="s">
        <v>428</v>
      </c>
      <c r="C192" s="2" t="s">
        <v>429</v>
      </c>
      <c r="D192" s="2" t="s">
        <v>69</v>
      </c>
      <c r="E192" s="2" t="s">
        <v>43</v>
      </c>
      <c r="F192" s="2">
        <v>2019</v>
      </c>
      <c r="G192" s="2">
        <v>2024</v>
      </c>
      <c r="H192" s="2">
        <f>'mpi_dataset_summary_2017-2024'!$G192-'mpi_dataset_summary_2017-2024'!$F192+1</f>
        <v>6</v>
      </c>
      <c r="I192" s="2" t="s">
        <v>2112</v>
      </c>
      <c r="J192" s="2" t="s">
        <v>2112</v>
      </c>
      <c r="K192" s="2">
        <f>IF('mpi_dataset_summary_2017-2024'!$G192=2024,1,0)</f>
        <v>1</v>
      </c>
      <c r="L192" s="2">
        <f t="shared" si="4"/>
        <v>0</v>
      </c>
      <c r="M192" s="2">
        <v>200</v>
      </c>
      <c r="N192" s="2">
        <f t="shared" si="5"/>
        <v>0.49099999999999999</v>
      </c>
      <c r="O192" s="2">
        <v>53.346899999999998</v>
      </c>
      <c r="P192" s="2">
        <v>-119.84059999999999</v>
      </c>
      <c r="Q192" s="2" t="s">
        <v>2108</v>
      </c>
      <c r="R192" s="3" t="s">
        <v>24</v>
      </c>
      <c r="S192" s="2" t="s">
        <v>25</v>
      </c>
      <c r="T192" s="2" t="s">
        <v>26</v>
      </c>
    </row>
    <row r="193" spans="1:20" x14ac:dyDescent="0.2">
      <c r="A193" s="2">
        <v>546</v>
      </c>
      <c r="B193" s="2" t="s">
        <v>430</v>
      </c>
      <c r="C193" s="2" t="s">
        <v>431</v>
      </c>
      <c r="D193" s="2" t="s">
        <v>69</v>
      </c>
      <c r="E193" s="2" t="s">
        <v>20</v>
      </c>
      <c r="F193" s="2">
        <v>2020</v>
      </c>
      <c r="G193" s="2">
        <v>2024</v>
      </c>
      <c r="H193" s="2">
        <f>'mpi_dataset_summary_2017-2024'!$G193-'mpi_dataset_summary_2017-2024'!$F193+1</f>
        <v>5</v>
      </c>
      <c r="I193" s="2" t="s">
        <v>2110</v>
      </c>
      <c r="J193" s="2" t="s">
        <v>2110</v>
      </c>
      <c r="K193" s="2">
        <f>IF('mpi_dataset_summary_2017-2024'!$G193=2024,1,0)</f>
        <v>1</v>
      </c>
      <c r="L193" s="2">
        <f t="shared" si="4"/>
        <v>1</v>
      </c>
      <c r="M193" s="2">
        <v>201</v>
      </c>
      <c r="N193" s="2">
        <f t="shared" si="5"/>
        <v>0.51100000000000001</v>
      </c>
      <c r="O193" s="2">
        <v>53.679881999999999</v>
      </c>
      <c r="P193" s="2">
        <v>-127.177575</v>
      </c>
      <c r="Q193" s="2" t="s">
        <v>2107</v>
      </c>
      <c r="R193" s="3" t="s">
        <v>29</v>
      </c>
      <c r="S193" s="2" t="s">
        <v>22</v>
      </c>
      <c r="T193" s="2" t="s">
        <v>30</v>
      </c>
    </row>
    <row r="194" spans="1:20" x14ac:dyDescent="0.2">
      <c r="A194" s="2">
        <v>547</v>
      </c>
      <c r="B194" s="2" t="s">
        <v>214</v>
      </c>
      <c r="C194" s="2" t="s">
        <v>432</v>
      </c>
      <c r="D194" s="2" t="s">
        <v>89</v>
      </c>
      <c r="E194" s="2" t="s">
        <v>43</v>
      </c>
      <c r="F194" s="2">
        <v>2017</v>
      </c>
      <c r="G194" s="2">
        <v>2024</v>
      </c>
      <c r="H194" s="2">
        <f>'mpi_dataset_summary_2017-2024'!$G194-'mpi_dataset_summary_2017-2024'!$F194+1</f>
        <v>8</v>
      </c>
      <c r="I194" s="2" t="s">
        <v>2110</v>
      </c>
      <c r="J194" s="2" t="s">
        <v>2110</v>
      </c>
      <c r="K194" s="2">
        <f>IF('mpi_dataset_summary_2017-2024'!$G194=2024,1,0)</f>
        <v>1</v>
      </c>
      <c r="L194" s="2">
        <f t="shared" ref="L194:L257" si="6">IF(J194="Under Construction",1,0)</f>
        <v>1</v>
      </c>
      <c r="M194" s="2">
        <v>1300</v>
      </c>
      <c r="N194" s="2">
        <f t="shared" ref="N194:N257" si="7">_xlfn.PERCENTRANK.INC($M$2:$M$4056,M194)</f>
        <v>0.84299999999999997</v>
      </c>
      <c r="O194" s="2">
        <v>50.488936000000002</v>
      </c>
      <c r="P194" s="2">
        <v>-63.127848</v>
      </c>
      <c r="Q194" s="2" t="s">
        <v>2108</v>
      </c>
      <c r="R194" s="3" t="s">
        <v>24</v>
      </c>
      <c r="S194" s="2" t="s">
        <v>25</v>
      </c>
      <c r="T194" s="2" t="s">
        <v>26</v>
      </c>
    </row>
    <row r="195" spans="1:20" x14ac:dyDescent="0.2">
      <c r="A195" s="2">
        <v>560</v>
      </c>
      <c r="B195" s="2" t="s">
        <v>433</v>
      </c>
      <c r="C195" s="2" t="s">
        <v>434</v>
      </c>
      <c r="D195" s="2" t="s">
        <v>66</v>
      </c>
      <c r="E195" s="2" t="s">
        <v>20</v>
      </c>
      <c r="F195" s="2">
        <v>2017</v>
      </c>
      <c r="G195" s="2">
        <v>2017</v>
      </c>
      <c r="H195" s="2">
        <f>'mpi_dataset_summary_2017-2024'!$G195-'mpi_dataset_summary_2017-2024'!$F195+1</f>
        <v>1</v>
      </c>
      <c r="I195" s="2" t="s">
        <v>2110</v>
      </c>
      <c r="J195" s="2" t="s">
        <v>2110</v>
      </c>
      <c r="K195" s="2">
        <f>IF('mpi_dataset_summary_2017-2024'!$G195=2024,1,0)</f>
        <v>0</v>
      </c>
      <c r="L195" s="2">
        <f t="shared" si="6"/>
        <v>1</v>
      </c>
      <c r="M195" s="2">
        <v>210</v>
      </c>
      <c r="N195" s="2">
        <f t="shared" si="7"/>
        <v>0.51200000000000001</v>
      </c>
      <c r="O195" s="2">
        <v>52.639620000000001</v>
      </c>
      <c r="P195" s="2">
        <v>-114.24408</v>
      </c>
      <c r="Q195" s="2" t="s">
        <v>2108</v>
      </c>
      <c r="R195" s="3" t="s">
        <v>37</v>
      </c>
      <c r="S195" s="2" t="s">
        <v>22</v>
      </c>
      <c r="T195" s="2" t="s">
        <v>38</v>
      </c>
    </row>
    <row r="196" spans="1:20" x14ac:dyDescent="0.2">
      <c r="A196" s="2">
        <v>564</v>
      </c>
      <c r="B196" s="2" t="s">
        <v>374</v>
      </c>
      <c r="C196" s="2" t="s">
        <v>435</v>
      </c>
      <c r="D196" s="2" t="s">
        <v>66</v>
      </c>
      <c r="E196" s="2" t="s">
        <v>20</v>
      </c>
      <c r="F196" s="2">
        <v>2023</v>
      </c>
      <c r="G196" s="2">
        <v>2023</v>
      </c>
      <c r="H196" s="2">
        <f>'mpi_dataset_summary_2017-2024'!$G196-'mpi_dataset_summary_2017-2024'!$F196+1</f>
        <v>1</v>
      </c>
      <c r="I196" s="2" t="s">
        <v>2111</v>
      </c>
      <c r="J196" s="2" t="s">
        <v>2111</v>
      </c>
      <c r="K196" s="2">
        <f>IF('mpi_dataset_summary_2017-2024'!$G196=2024,1,0)</f>
        <v>0</v>
      </c>
      <c r="L196" s="2">
        <f t="shared" si="6"/>
        <v>0</v>
      </c>
      <c r="M196" s="2">
        <v>510</v>
      </c>
      <c r="N196" s="2">
        <f t="shared" si="7"/>
        <v>0.69299999999999995</v>
      </c>
      <c r="O196" s="2">
        <v>56.833948999999997</v>
      </c>
      <c r="P196" s="2">
        <v>-112.19238300000001</v>
      </c>
      <c r="Q196" s="2" t="s">
        <v>2108</v>
      </c>
      <c r="R196" s="3" t="s">
        <v>39</v>
      </c>
      <c r="S196" s="2" t="s">
        <v>22</v>
      </c>
      <c r="T196" s="2" t="s">
        <v>40</v>
      </c>
    </row>
    <row r="197" spans="1:20" x14ac:dyDescent="0.2">
      <c r="A197" s="2">
        <v>565</v>
      </c>
      <c r="B197" s="2" t="s">
        <v>436</v>
      </c>
      <c r="C197" s="2" t="s">
        <v>437</v>
      </c>
      <c r="D197" s="2" t="s">
        <v>89</v>
      </c>
      <c r="E197" s="2" t="s">
        <v>20</v>
      </c>
      <c r="F197" s="2">
        <v>2017</v>
      </c>
      <c r="G197" s="2">
        <v>2017</v>
      </c>
      <c r="H197" s="2">
        <f>'mpi_dataset_summary_2017-2024'!$G197-'mpi_dataset_summary_2017-2024'!$F197+1</f>
        <v>1</v>
      </c>
      <c r="I197" s="2" t="s">
        <v>2111</v>
      </c>
      <c r="J197" s="2" t="s">
        <v>2111</v>
      </c>
      <c r="K197" s="2">
        <f>IF('mpi_dataset_summary_2017-2024'!$G197=2024,1,0)</f>
        <v>0</v>
      </c>
      <c r="L197" s="2">
        <f t="shared" si="6"/>
        <v>0</v>
      </c>
      <c r="M197" s="2">
        <v>374</v>
      </c>
      <c r="N197" s="2">
        <f t="shared" si="7"/>
        <v>0.625</v>
      </c>
      <c r="O197" s="2">
        <v>46.819327999999999</v>
      </c>
      <c r="P197" s="2">
        <v>-78.500061000000002</v>
      </c>
      <c r="Q197" s="2" t="s">
        <v>2107</v>
      </c>
      <c r="R197" s="3" t="s">
        <v>41</v>
      </c>
      <c r="S197" s="2" t="s">
        <v>22</v>
      </c>
      <c r="T197" s="2" t="s">
        <v>42</v>
      </c>
    </row>
    <row r="198" spans="1:20" x14ac:dyDescent="0.2">
      <c r="A198" s="2">
        <v>566</v>
      </c>
      <c r="B198" s="2" t="s">
        <v>438</v>
      </c>
      <c r="C198" s="2" t="s">
        <v>439</v>
      </c>
      <c r="D198" s="2" t="s">
        <v>66</v>
      </c>
      <c r="E198" s="2" t="s">
        <v>20</v>
      </c>
      <c r="F198" s="2">
        <v>2017</v>
      </c>
      <c r="G198" s="2">
        <v>2024</v>
      </c>
      <c r="H198" s="2">
        <f>'mpi_dataset_summary_2017-2024'!$G198-'mpi_dataset_summary_2017-2024'!$F198+1</f>
        <v>8</v>
      </c>
      <c r="I198" s="2" t="s">
        <v>2113</v>
      </c>
      <c r="J198" s="2" t="s">
        <v>2113</v>
      </c>
      <c r="K198" s="2">
        <f>IF('mpi_dataset_summary_2017-2024'!$G198=2024,1,0)</f>
        <v>1</v>
      </c>
      <c r="L198" s="2">
        <f t="shared" si="6"/>
        <v>0</v>
      </c>
      <c r="M198" s="2">
        <v>5000</v>
      </c>
      <c r="N198" s="2">
        <f t="shared" si="7"/>
        <v>0.94699999999999995</v>
      </c>
      <c r="O198" s="2">
        <v>56.034458999999998</v>
      </c>
      <c r="P198" s="2">
        <v>-110.720215</v>
      </c>
      <c r="Q198" s="2" t="s">
        <v>2108</v>
      </c>
      <c r="R198" s="3" t="s">
        <v>24</v>
      </c>
      <c r="S198" s="2" t="s">
        <v>25</v>
      </c>
      <c r="T198" s="2" t="s">
        <v>26</v>
      </c>
    </row>
    <row r="199" spans="1:20" x14ac:dyDescent="0.2">
      <c r="A199" s="2">
        <v>573</v>
      </c>
      <c r="B199" s="2" t="s">
        <v>250</v>
      </c>
      <c r="C199" s="2" t="s">
        <v>440</v>
      </c>
      <c r="D199" s="2" t="s">
        <v>83</v>
      </c>
      <c r="E199" s="2" t="s">
        <v>20</v>
      </c>
      <c r="F199" s="2">
        <v>2017</v>
      </c>
      <c r="G199" s="2">
        <v>2020</v>
      </c>
      <c r="H199" s="2">
        <f>'mpi_dataset_summary_2017-2024'!$G199-'mpi_dataset_summary_2017-2024'!$F199+1</f>
        <v>4</v>
      </c>
      <c r="I199" s="2" t="s">
        <v>2110</v>
      </c>
      <c r="J199" s="2" t="s">
        <v>2110</v>
      </c>
      <c r="K199" s="2">
        <f>IF('mpi_dataset_summary_2017-2024'!$G199=2024,1,0)</f>
        <v>0</v>
      </c>
      <c r="L199" s="2">
        <f t="shared" si="6"/>
        <v>1</v>
      </c>
      <c r="M199" s="2">
        <v>3723</v>
      </c>
      <c r="N199" s="2">
        <f t="shared" si="7"/>
        <v>0.93400000000000005</v>
      </c>
      <c r="O199" s="2">
        <v>53.314467</v>
      </c>
      <c r="P199" s="2">
        <v>-60.744231999999997</v>
      </c>
      <c r="Q199" s="2" t="s">
        <v>2108</v>
      </c>
      <c r="R199" s="3" t="s">
        <v>35</v>
      </c>
      <c r="S199" s="2" t="s">
        <v>22</v>
      </c>
      <c r="T199" s="2" t="s">
        <v>36</v>
      </c>
    </row>
    <row r="200" spans="1:20" x14ac:dyDescent="0.2">
      <c r="A200" s="2">
        <v>574</v>
      </c>
      <c r="B200" s="2" t="s">
        <v>441</v>
      </c>
      <c r="C200" s="2" t="s">
        <v>442</v>
      </c>
      <c r="D200" s="2" t="s">
        <v>66</v>
      </c>
      <c r="E200" s="2" t="s">
        <v>20</v>
      </c>
      <c r="F200" s="2">
        <v>2017</v>
      </c>
      <c r="G200" s="2">
        <v>2021</v>
      </c>
      <c r="H200" s="2">
        <f>'mpi_dataset_summary_2017-2024'!$G200-'mpi_dataset_summary_2017-2024'!$F200+1</f>
        <v>5</v>
      </c>
      <c r="I200" s="2" t="s">
        <v>2113</v>
      </c>
      <c r="J200" s="2" t="s">
        <v>2113</v>
      </c>
      <c r="K200" s="2">
        <f>IF('mpi_dataset_summary_2017-2024'!$G200=2024,1,0)</f>
        <v>0</v>
      </c>
      <c r="L200" s="2">
        <f t="shared" si="6"/>
        <v>0</v>
      </c>
      <c r="M200" s="2">
        <v>410</v>
      </c>
      <c r="N200" s="2">
        <f t="shared" si="7"/>
        <v>0.64700000000000002</v>
      </c>
      <c r="O200" s="2">
        <v>49.959172000000002</v>
      </c>
      <c r="P200" s="2">
        <v>-110.272522</v>
      </c>
      <c r="Q200" s="2" t="s">
        <v>2108</v>
      </c>
      <c r="R200" s="3" t="s">
        <v>24</v>
      </c>
      <c r="S200" s="2" t="s">
        <v>25</v>
      </c>
      <c r="T200" s="2" t="s">
        <v>26</v>
      </c>
    </row>
    <row r="201" spans="1:20" x14ac:dyDescent="0.2">
      <c r="A201" s="2">
        <v>575</v>
      </c>
      <c r="B201" s="2" t="s">
        <v>443</v>
      </c>
      <c r="C201" s="2" t="s">
        <v>444</v>
      </c>
      <c r="D201" s="2" t="s">
        <v>69</v>
      </c>
      <c r="E201" s="2" t="s">
        <v>20</v>
      </c>
      <c r="F201" s="2">
        <v>2017</v>
      </c>
      <c r="G201" s="2">
        <v>2024</v>
      </c>
      <c r="H201" s="2">
        <f>'mpi_dataset_summary_2017-2024'!$G201-'mpi_dataset_summary_2017-2024'!$F201+1</f>
        <v>8</v>
      </c>
      <c r="I201" s="2" t="s">
        <v>2112</v>
      </c>
      <c r="J201" s="2" t="s">
        <v>2110</v>
      </c>
      <c r="K201" s="2">
        <f>IF('mpi_dataset_summary_2017-2024'!$G201=2024,1,0)</f>
        <v>1</v>
      </c>
      <c r="L201" s="2">
        <f t="shared" si="6"/>
        <v>1</v>
      </c>
      <c r="M201" s="2">
        <v>2188</v>
      </c>
      <c r="N201" s="2">
        <f t="shared" si="7"/>
        <v>0.90300000000000002</v>
      </c>
      <c r="O201" s="2">
        <v>53.194923000000003</v>
      </c>
      <c r="P201" s="2">
        <v>-124.85451999999999</v>
      </c>
      <c r="Q201" s="2" t="s">
        <v>2107</v>
      </c>
      <c r="R201" s="3" t="s">
        <v>29</v>
      </c>
      <c r="S201" s="2" t="s">
        <v>22</v>
      </c>
      <c r="T201" s="2" t="s">
        <v>30</v>
      </c>
    </row>
    <row r="202" spans="1:20" x14ac:dyDescent="0.2">
      <c r="A202" s="2">
        <v>577</v>
      </c>
      <c r="B202" s="2" t="s">
        <v>445</v>
      </c>
      <c r="C202" s="2" t="s">
        <v>446</v>
      </c>
      <c r="D202" s="2" t="s">
        <v>66</v>
      </c>
      <c r="E202" s="2" t="s">
        <v>20</v>
      </c>
      <c r="F202" s="2">
        <v>2017</v>
      </c>
      <c r="G202" s="2">
        <v>2018</v>
      </c>
      <c r="H202" s="2">
        <f>'mpi_dataset_summary_2017-2024'!$G202-'mpi_dataset_summary_2017-2024'!$F202+1</f>
        <v>2</v>
      </c>
      <c r="I202" s="2" t="s">
        <v>2110</v>
      </c>
      <c r="J202" s="2" t="s">
        <v>2110</v>
      </c>
      <c r="K202" s="2">
        <f>IF('mpi_dataset_summary_2017-2024'!$G202=2024,1,0)</f>
        <v>0</v>
      </c>
      <c r="L202" s="2">
        <f t="shared" si="6"/>
        <v>1</v>
      </c>
      <c r="M202" s="2">
        <v>9700</v>
      </c>
      <c r="N202" s="2">
        <f t="shared" si="7"/>
        <v>0.97499999999999998</v>
      </c>
      <c r="O202" s="2">
        <v>53.949001312255902</v>
      </c>
      <c r="P202" s="2">
        <v>-113.10700225830099</v>
      </c>
      <c r="Q202" s="2" t="s">
        <v>2108</v>
      </c>
      <c r="R202" s="3" t="s">
        <v>39</v>
      </c>
      <c r="S202" s="2" t="s">
        <v>22</v>
      </c>
      <c r="T202" s="2" t="s">
        <v>40</v>
      </c>
    </row>
    <row r="203" spans="1:20" x14ac:dyDescent="0.2">
      <c r="A203" s="2">
        <v>578</v>
      </c>
      <c r="B203" s="2" t="s">
        <v>447</v>
      </c>
      <c r="C203" s="2" t="s">
        <v>448</v>
      </c>
      <c r="D203" s="2" t="s">
        <v>66</v>
      </c>
      <c r="E203" s="2" t="s">
        <v>20</v>
      </c>
      <c r="F203" s="2">
        <v>2017</v>
      </c>
      <c r="G203" s="2">
        <v>2019</v>
      </c>
      <c r="H203" s="2">
        <f>'mpi_dataset_summary_2017-2024'!$G203-'mpi_dataset_summary_2017-2024'!$F203+1</f>
        <v>3</v>
      </c>
      <c r="I203" s="2" t="s">
        <v>2113</v>
      </c>
      <c r="J203" s="2" t="s">
        <v>2113</v>
      </c>
      <c r="K203" s="2">
        <f>IF('mpi_dataset_summary_2017-2024'!$G203=2024,1,0)</f>
        <v>0</v>
      </c>
      <c r="L203" s="2">
        <f t="shared" si="6"/>
        <v>0</v>
      </c>
      <c r="M203" s="2">
        <v>65</v>
      </c>
      <c r="N203" s="2">
        <f t="shared" si="7"/>
        <v>0.26400000000000001</v>
      </c>
      <c r="O203" s="2">
        <v>57.052309000000001</v>
      </c>
      <c r="P203" s="2">
        <v>-111.068344</v>
      </c>
      <c r="Q203" s="2" t="s">
        <v>2108</v>
      </c>
      <c r="R203" s="3" t="s">
        <v>24</v>
      </c>
      <c r="S203" s="2" t="s">
        <v>25</v>
      </c>
      <c r="T203" s="2" t="s">
        <v>26</v>
      </c>
    </row>
    <row r="204" spans="1:20" x14ac:dyDescent="0.2">
      <c r="A204" s="2">
        <v>582</v>
      </c>
      <c r="B204" s="2" t="s">
        <v>449</v>
      </c>
      <c r="C204" s="2" t="s">
        <v>450</v>
      </c>
      <c r="D204" s="2" t="s">
        <v>185</v>
      </c>
      <c r="E204" s="2" t="s">
        <v>20</v>
      </c>
      <c r="F204" s="2">
        <v>2017</v>
      </c>
      <c r="G204" s="2">
        <v>2020</v>
      </c>
      <c r="H204" s="2">
        <f>'mpi_dataset_summary_2017-2024'!$G204-'mpi_dataset_summary_2017-2024'!$F204+1</f>
        <v>4</v>
      </c>
      <c r="I204" s="2" t="s">
        <v>2113</v>
      </c>
      <c r="J204" s="2" t="s">
        <v>2113</v>
      </c>
      <c r="K204" s="2">
        <f>IF('mpi_dataset_summary_2017-2024'!$G204=2024,1,0)</f>
        <v>0</v>
      </c>
      <c r="L204" s="2">
        <f t="shared" si="6"/>
        <v>0</v>
      </c>
      <c r="M204" s="2">
        <v>8320</v>
      </c>
      <c r="N204" s="2">
        <f t="shared" si="7"/>
        <v>0.97099999999999997</v>
      </c>
      <c r="O204" s="2">
        <v>45.172477000000001</v>
      </c>
      <c r="P204" s="2">
        <v>-61.617508000000001</v>
      </c>
      <c r="Q204" s="2" t="s">
        <v>2108</v>
      </c>
      <c r="R204" s="3" t="s">
        <v>37</v>
      </c>
      <c r="S204" s="2" t="s">
        <v>22</v>
      </c>
      <c r="T204" s="2" t="s">
        <v>38</v>
      </c>
    </row>
    <row r="205" spans="1:20" x14ac:dyDescent="0.2">
      <c r="A205" s="2">
        <v>583</v>
      </c>
      <c r="B205" s="2" t="s">
        <v>451</v>
      </c>
      <c r="C205" s="2" t="s">
        <v>452</v>
      </c>
      <c r="D205" s="2" t="s">
        <v>380</v>
      </c>
      <c r="E205" s="2" t="s">
        <v>20</v>
      </c>
      <c r="F205" s="2">
        <v>2017</v>
      </c>
      <c r="G205" s="2">
        <v>2019</v>
      </c>
      <c r="H205" s="2">
        <f>'mpi_dataset_summary_2017-2024'!$G205-'mpi_dataset_summary_2017-2024'!$F205+1</f>
        <v>3</v>
      </c>
      <c r="I205" s="2" t="s">
        <v>2111</v>
      </c>
      <c r="J205" s="2" t="s">
        <v>2111</v>
      </c>
      <c r="K205" s="2">
        <f>IF('mpi_dataset_summary_2017-2024'!$G205=2024,1,0)</f>
        <v>0</v>
      </c>
      <c r="L205" s="2">
        <f t="shared" si="6"/>
        <v>0</v>
      </c>
      <c r="M205" s="2">
        <v>586.20000000000005</v>
      </c>
      <c r="N205" s="2">
        <f t="shared" si="7"/>
        <v>0.71</v>
      </c>
      <c r="O205" s="2">
        <v>61.465000000000003</v>
      </c>
      <c r="P205" s="2">
        <v>-139.53800000000001</v>
      </c>
      <c r="Q205" s="2" t="s">
        <v>2107</v>
      </c>
      <c r="R205" s="3" t="s">
        <v>41</v>
      </c>
      <c r="S205" s="2" t="s">
        <v>22</v>
      </c>
      <c r="T205" s="2" t="s">
        <v>42</v>
      </c>
    </row>
    <row r="206" spans="1:20" x14ac:dyDescent="0.2">
      <c r="A206" s="2">
        <v>584</v>
      </c>
      <c r="B206" s="2" t="s">
        <v>453</v>
      </c>
      <c r="C206" s="2" t="s">
        <v>454</v>
      </c>
      <c r="D206" s="2" t="s">
        <v>69</v>
      </c>
      <c r="E206" s="2" t="s">
        <v>20</v>
      </c>
      <c r="F206" s="2">
        <v>2017</v>
      </c>
      <c r="G206" s="2">
        <v>2024</v>
      </c>
      <c r="H206" s="2">
        <f>'mpi_dataset_summary_2017-2024'!$G206-'mpi_dataset_summary_2017-2024'!$F206+1</f>
        <v>8</v>
      </c>
      <c r="I206" s="2" t="s">
        <v>2113</v>
      </c>
      <c r="J206" s="2" t="s">
        <v>2112</v>
      </c>
      <c r="K206" s="2">
        <f>IF('mpi_dataset_summary_2017-2024'!$G206=2024,1,0)</f>
        <v>1</v>
      </c>
      <c r="L206" s="2">
        <f t="shared" si="6"/>
        <v>0</v>
      </c>
      <c r="M206" s="2">
        <v>760</v>
      </c>
      <c r="N206" s="2">
        <f t="shared" si="7"/>
        <v>0.76500000000000001</v>
      </c>
      <c r="O206" s="2">
        <v>58.805556000000003</v>
      </c>
      <c r="P206" s="2">
        <v>-122.695414</v>
      </c>
      <c r="Q206" s="2" t="s">
        <v>2108</v>
      </c>
      <c r="R206" s="3" t="s">
        <v>37</v>
      </c>
      <c r="S206" s="2" t="s">
        <v>22</v>
      </c>
      <c r="T206" s="2" t="s">
        <v>38</v>
      </c>
    </row>
    <row r="207" spans="1:20" x14ac:dyDescent="0.2">
      <c r="A207" s="2">
        <v>585</v>
      </c>
      <c r="B207" s="2" t="s">
        <v>455</v>
      </c>
      <c r="C207" s="2" t="s">
        <v>456</v>
      </c>
      <c r="D207" s="2" t="s">
        <v>161</v>
      </c>
      <c r="E207" s="2" t="s">
        <v>20</v>
      </c>
      <c r="F207" s="2">
        <v>2017</v>
      </c>
      <c r="G207" s="2">
        <v>2017</v>
      </c>
      <c r="H207" s="2">
        <f>'mpi_dataset_summary_2017-2024'!$G207-'mpi_dataset_summary_2017-2024'!$F207+1</f>
        <v>1</v>
      </c>
      <c r="I207" s="2" t="s">
        <v>2110</v>
      </c>
      <c r="J207" s="2" t="s">
        <v>2110</v>
      </c>
      <c r="K207" s="2">
        <f>IF('mpi_dataset_summary_2017-2024'!$G207=2024,1,0)</f>
        <v>0</v>
      </c>
      <c r="L207" s="2">
        <f t="shared" si="6"/>
        <v>1</v>
      </c>
      <c r="M207" s="2">
        <v>1729.7</v>
      </c>
      <c r="N207" s="2">
        <f t="shared" si="7"/>
        <v>0.88800000000000001</v>
      </c>
      <c r="O207" s="2">
        <v>49.196064</v>
      </c>
      <c r="P207" s="2">
        <v>-93.889160000000004</v>
      </c>
      <c r="Q207" s="2" t="s">
        <v>2107</v>
      </c>
      <c r="R207" s="3" t="s">
        <v>29</v>
      </c>
      <c r="S207" s="2" t="s">
        <v>22</v>
      </c>
      <c r="T207" s="2" t="s">
        <v>30</v>
      </c>
    </row>
    <row r="208" spans="1:20" x14ac:dyDescent="0.2">
      <c r="A208" s="2">
        <v>587</v>
      </c>
      <c r="B208" s="2" t="s">
        <v>457</v>
      </c>
      <c r="C208" s="2" t="s">
        <v>458</v>
      </c>
      <c r="D208" s="2" t="s">
        <v>69</v>
      </c>
      <c r="E208" s="2" t="s">
        <v>20</v>
      </c>
      <c r="F208" s="2">
        <v>2017</v>
      </c>
      <c r="G208" s="2">
        <v>2024</v>
      </c>
      <c r="H208" s="2">
        <f>'mpi_dataset_summary_2017-2024'!$G208-'mpi_dataset_summary_2017-2024'!$F208+1</f>
        <v>8</v>
      </c>
      <c r="I208" s="2" t="s">
        <v>2110</v>
      </c>
      <c r="J208" s="2" t="s">
        <v>2110</v>
      </c>
      <c r="K208" s="2">
        <f>IF('mpi_dataset_summary_2017-2024'!$G208=2024,1,0)</f>
        <v>1</v>
      </c>
      <c r="L208" s="2">
        <f t="shared" si="6"/>
        <v>1</v>
      </c>
      <c r="M208" s="2">
        <v>500</v>
      </c>
      <c r="N208" s="2">
        <f t="shared" si="7"/>
        <v>0.67800000000000005</v>
      </c>
      <c r="O208" s="2">
        <v>53.638125000000002</v>
      </c>
      <c r="P208" s="2">
        <v>-127.92480500000001</v>
      </c>
      <c r="Q208" s="2" t="s">
        <v>2108</v>
      </c>
      <c r="R208" s="3" t="s">
        <v>41</v>
      </c>
      <c r="S208" s="2" t="s">
        <v>25</v>
      </c>
      <c r="T208" s="2" t="s">
        <v>46</v>
      </c>
    </row>
    <row r="209" spans="1:20" x14ac:dyDescent="0.2">
      <c r="A209" s="2">
        <v>588</v>
      </c>
      <c r="B209" s="2" t="s">
        <v>459</v>
      </c>
      <c r="C209" s="2" t="s">
        <v>460</v>
      </c>
      <c r="D209" s="2" t="s">
        <v>69</v>
      </c>
      <c r="E209" s="2" t="s">
        <v>20</v>
      </c>
      <c r="F209" s="2">
        <v>2019</v>
      </c>
      <c r="G209" s="2">
        <v>2019</v>
      </c>
      <c r="H209" s="2">
        <f>'mpi_dataset_summary_2017-2024'!$G209-'mpi_dataset_summary_2017-2024'!$F209+1</f>
        <v>1</v>
      </c>
      <c r="I209" s="2" t="s">
        <v>2111</v>
      </c>
      <c r="J209" s="2" t="s">
        <v>2111</v>
      </c>
      <c r="K209" s="2">
        <f>IF('mpi_dataset_summary_2017-2024'!$G209=2024,1,0)</f>
        <v>0</v>
      </c>
      <c r="L209" s="2">
        <f t="shared" si="6"/>
        <v>0</v>
      </c>
      <c r="M209" s="2">
        <v>1500</v>
      </c>
      <c r="N209" s="2">
        <f t="shared" si="7"/>
        <v>0.86399999999999999</v>
      </c>
      <c r="O209" s="2">
        <v>55.241500000000002</v>
      </c>
      <c r="P209" s="2">
        <v>-121.8441</v>
      </c>
      <c r="Q209" s="2" t="s">
        <v>2108</v>
      </c>
      <c r="R209" s="3" t="s">
        <v>24</v>
      </c>
      <c r="S209" s="2" t="s">
        <v>25</v>
      </c>
      <c r="T209" s="2" t="s">
        <v>26</v>
      </c>
    </row>
    <row r="210" spans="1:20" x14ac:dyDescent="0.2">
      <c r="A210" s="2">
        <v>593</v>
      </c>
      <c r="B210" s="2" t="s">
        <v>461</v>
      </c>
      <c r="C210" s="2" t="s">
        <v>462</v>
      </c>
      <c r="D210" s="2" t="s">
        <v>69</v>
      </c>
      <c r="E210" s="2" t="s">
        <v>20</v>
      </c>
      <c r="F210" s="2">
        <v>2017</v>
      </c>
      <c r="G210" s="2">
        <v>2024</v>
      </c>
      <c r="H210" s="2">
        <f>'mpi_dataset_summary_2017-2024'!$G210-'mpi_dataset_summary_2017-2024'!$F210+1</f>
        <v>8</v>
      </c>
      <c r="I210" s="2" t="s">
        <v>2113</v>
      </c>
      <c r="J210" s="2" t="s">
        <v>2113</v>
      </c>
      <c r="K210" s="2">
        <f>IF('mpi_dataset_summary_2017-2024'!$G210=2024,1,0)</f>
        <v>1</v>
      </c>
      <c r="L210" s="2">
        <f t="shared" si="6"/>
        <v>0</v>
      </c>
      <c r="M210" s="2">
        <v>7460</v>
      </c>
      <c r="N210" s="2">
        <f t="shared" si="7"/>
        <v>0.96599999999999997</v>
      </c>
      <c r="O210" s="2">
        <v>56.836953999999999</v>
      </c>
      <c r="P210" s="2">
        <v>-122.629395</v>
      </c>
      <c r="Q210" s="2" t="s">
        <v>2108</v>
      </c>
      <c r="R210" s="3" t="s">
        <v>35</v>
      </c>
      <c r="S210" s="2" t="s">
        <v>22</v>
      </c>
      <c r="T210" s="2" t="s">
        <v>36</v>
      </c>
    </row>
    <row r="211" spans="1:20" x14ac:dyDescent="0.2">
      <c r="A211" s="2">
        <v>595</v>
      </c>
      <c r="B211" s="2" t="s">
        <v>463</v>
      </c>
      <c r="C211" s="2" t="s">
        <v>464</v>
      </c>
      <c r="D211" s="2" t="s">
        <v>66</v>
      </c>
      <c r="E211" s="2" t="s">
        <v>20</v>
      </c>
      <c r="F211" s="2">
        <v>2017</v>
      </c>
      <c r="G211" s="2">
        <v>2018</v>
      </c>
      <c r="H211" s="2">
        <f>'mpi_dataset_summary_2017-2024'!$G211-'mpi_dataset_summary_2017-2024'!$F211+1</f>
        <v>2</v>
      </c>
      <c r="I211" s="2" t="s">
        <v>2112</v>
      </c>
      <c r="J211" s="2" t="s">
        <v>2112</v>
      </c>
      <c r="K211" s="2">
        <f>IF('mpi_dataset_summary_2017-2024'!$G211=2024,1,0)</f>
        <v>0</v>
      </c>
      <c r="L211" s="2">
        <f t="shared" si="6"/>
        <v>0</v>
      </c>
      <c r="M211" s="2">
        <v>500</v>
      </c>
      <c r="N211" s="2">
        <f t="shared" si="7"/>
        <v>0.67800000000000005</v>
      </c>
      <c r="O211" s="2">
        <v>56.131776000000002</v>
      </c>
      <c r="P211" s="2">
        <v>-111.266098</v>
      </c>
      <c r="Q211" s="2" t="s">
        <v>2108</v>
      </c>
      <c r="R211" s="3" t="s">
        <v>27</v>
      </c>
      <c r="S211" s="2" t="s">
        <v>25</v>
      </c>
      <c r="T211" s="2" t="s">
        <v>28</v>
      </c>
    </row>
    <row r="212" spans="1:20" x14ac:dyDescent="0.2">
      <c r="A212" s="2">
        <v>599</v>
      </c>
      <c r="B212" s="2" t="s">
        <v>465</v>
      </c>
      <c r="C212" s="2" t="s">
        <v>466</v>
      </c>
      <c r="D212" s="2" t="s">
        <v>66</v>
      </c>
      <c r="E212" s="2" t="s">
        <v>20</v>
      </c>
      <c r="F212" s="2">
        <v>2017</v>
      </c>
      <c r="G212" s="2">
        <v>2017</v>
      </c>
      <c r="H212" s="2">
        <f>'mpi_dataset_summary_2017-2024'!$G212-'mpi_dataset_summary_2017-2024'!$F212+1</f>
        <v>1</v>
      </c>
      <c r="I212" s="2" t="s">
        <v>2110</v>
      </c>
      <c r="J212" s="2" t="s">
        <v>2110</v>
      </c>
      <c r="K212" s="2">
        <f>IF('mpi_dataset_summary_2017-2024'!$G212=2024,1,0)</f>
        <v>0</v>
      </c>
      <c r="L212" s="2">
        <f t="shared" si="6"/>
        <v>1</v>
      </c>
      <c r="M212" s="2">
        <v>660</v>
      </c>
      <c r="N212" s="2">
        <f t="shared" si="7"/>
        <v>0.73599999999999999</v>
      </c>
      <c r="O212" s="2">
        <v>57.382199999999997</v>
      </c>
      <c r="P212" s="2">
        <v>-111.63261900000001</v>
      </c>
      <c r="Q212" s="2" t="s">
        <v>2108</v>
      </c>
      <c r="R212" s="3" t="s">
        <v>35</v>
      </c>
      <c r="S212" s="2" t="s">
        <v>22</v>
      </c>
      <c r="T212" s="2" t="s">
        <v>36</v>
      </c>
    </row>
    <row r="213" spans="1:20" x14ac:dyDescent="0.2">
      <c r="A213" s="2">
        <v>600</v>
      </c>
      <c r="B213" s="2" t="s">
        <v>465</v>
      </c>
      <c r="C213" s="2" t="s">
        <v>467</v>
      </c>
      <c r="D213" s="2" t="s">
        <v>69</v>
      </c>
      <c r="E213" s="2" t="s">
        <v>20</v>
      </c>
      <c r="F213" s="2">
        <v>2017</v>
      </c>
      <c r="G213" s="2">
        <v>2023</v>
      </c>
      <c r="H213" s="2">
        <f>'mpi_dataset_summary_2017-2024'!$G213-'mpi_dataset_summary_2017-2024'!$F213+1</f>
        <v>7</v>
      </c>
      <c r="I213" s="2" t="s">
        <v>2113</v>
      </c>
      <c r="J213" s="2" t="s">
        <v>2110</v>
      </c>
      <c r="K213" s="2">
        <f>IF('mpi_dataset_summary_2017-2024'!$G213=2024,1,0)</f>
        <v>0</v>
      </c>
      <c r="L213" s="2">
        <f t="shared" si="6"/>
        <v>1</v>
      </c>
      <c r="M213" s="2">
        <v>14500</v>
      </c>
      <c r="N213" s="2">
        <f t="shared" si="7"/>
        <v>0.98699999999999999</v>
      </c>
      <c r="O213" s="2">
        <v>54.033586</v>
      </c>
      <c r="P213" s="2">
        <v>-128.63204999999999</v>
      </c>
      <c r="Q213" s="2" t="s">
        <v>2108</v>
      </c>
      <c r="R213" s="3" t="s">
        <v>35</v>
      </c>
      <c r="S213" s="2" t="s">
        <v>22</v>
      </c>
      <c r="T213" s="2" t="s">
        <v>36</v>
      </c>
    </row>
    <row r="214" spans="1:20" x14ac:dyDescent="0.2">
      <c r="A214" s="2">
        <v>601</v>
      </c>
      <c r="B214" s="2" t="s">
        <v>465</v>
      </c>
      <c r="C214" s="2" t="s">
        <v>468</v>
      </c>
      <c r="D214" s="2" t="s">
        <v>169</v>
      </c>
      <c r="E214" s="2" t="s">
        <v>20</v>
      </c>
      <c r="F214" s="2">
        <v>2017</v>
      </c>
      <c r="G214" s="2">
        <v>2017</v>
      </c>
      <c r="H214" s="2">
        <f>'mpi_dataset_summary_2017-2024'!$G214-'mpi_dataset_summary_2017-2024'!$F214+1</f>
        <v>1</v>
      </c>
      <c r="I214" s="2" t="s">
        <v>2112</v>
      </c>
      <c r="J214" s="2" t="s">
        <v>2112</v>
      </c>
      <c r="K214" s="2">
        <f>IF('mpi_dataset_summary_2017-2024'!$G214=2024,1,0)</f>
        <v>0</v>
      </c>
      <c r="L214" s="2">
        <f t="shared" si="6"/>
        <v>0</v>
      </c>
      <c r="M214" s="2">
        <v>15650</v>
      </c>
      <c r="N214" s="2">
        <f t="shared" si="7"/>
        <v>0.98799999999999999</v>
      </c>
      <c r="O214" s="2">
        <v>50.492463000000001</v>
      </c>
      <c r="P214" s="2">
        <v>-110.00610399999999</v>
      </c>
      <c r="Q214" s="2" t="s">
        <v>2108</v>
      </c>
      <c r="R214" s="3" t="s">
        <v>24</v>
      </c>
      <c r="S214" s="2" t="s">
        <v>25</v>
      </c>
      <c r="T214" s="2" t="s">
        <v>26</v>
      </c>
    </row>
    <row r="215" spans="1:20" x14ac:dyDescent="0.2">
      <c r="A215" s="2">
        <v>602</v>
      </c>
      <c r="B215" s="2" t="s">
        <v>469</v>
      </c>
      <c r="C215" s="2" t="s">
        <v>470</v>
      </c>
      <c r="D215" s="2" t="s">
        <v>169</v>
      </c>
      <c r="E215" s="2" t="s">
        <v>20</v>
      </c>
      <c r="F215" s="2">
        <v>2017</v>
      </c>
      <c r="G215" s="2">
        <v>2017</v>
      </c>
      <c r="H215" s="2">
        <f>'mpi_dataset_summary_2017-2024'!$G215-'mpi_dataset_summary_2017-2024'!$F215+1</f>
        <v>1</v>
      </c>
      <c r="I215" s="2" t="s">
        <v>2110</v>
      </c>
      <c r="J215" s="2" t="s">
        <v>2110</v>
      </c>
      <c r="K215" s="2">
        <f>IF('mpi_dataset_summary_2017-2024'!$G215=2024,1,0)</f>
        <v>0</v>
      </c>
      <c r="L215" s="2">
        <f t="shared" si="6"/>
        <v>1</v>
      </c>
      <c r="M215" s="2">
        <v>103</v>
      </c>
      <c r="N215" s="2">
        <f t="shared" si="7"/>
        <v>0.36099999999999999</v>
      </c>
      <c r="O215" s="2">
        <v>57.171992000000003</v>
      </c>
      <c r="P215" s="2">
        <v>-118.114014</v>
      </c>
      <c r="Q215" s="2" t="s">
        <v>2108</v>
      </c>
      <c r="R215" s="3" t="s">
        <v>53</v>
      </c>
      <c r="S215" s="2" t="s">
        <v>22</v>
      </c>
      <c r="T215" s="2" t="s">
        <v>54</v>
      </c>
    </row>
    <row r="216" spans="1:20" x14ac:dyDescent="0.2">
      <c r="A216" s="2">
        <v>604</v>
      </c>
      <c r="B216" s="2" t="s">
        <v>471</v>
      </c>
      <c r="C216" s="2" t="s">
        <v>472</v>
      </c>
      <c r="D216" s="2" t="s">
        <v>169</v>
      </c>
      <c r="E216" s="2" t="s">
        <v>20</v>
      </c>
      <c r="F216" s="2">
        <v>2017</v>
      </c>
      <c r="G216" s="2">
        <v>2020</v>
      </c>
      <c r="H216" s="2">
        <f>'mpi_dataset_summary_2017-2024'!$G216-'mpi_dataset_summary_2017-2024'!$F216+1</f>
        <v>4</v>
      </c>
      <c r="I216" s="2" t="s">
        <v>2113</v>
      </c>
      <c r="J216" s="2" t="s">
        <v>2110</v>
      </c>
      <c r="K216" s="2">
        <f>IF('mpi_dataset_summary_2017-2024'!$G216=2024,1,0)</f>
        <v>0</v>
      </c>
      <c r="L216" s="2">
        <f t="shared" si="6"/>
        <v>1</v>
      </c>
      <c r="M216" s="2">
        <v>14000</v>
      </c>
      <c r="N216" s="2">
        <f t="shared" si="7"/>
        <v>0.98499999999999999</v>
      </c>
      <c r="O216" s="2">
        <v>52.6751</v>
      </c>
      <c r="P216" s="2">
        <v>-111.3035</v>
      </c>
      <c r="Q216" s="2" t="s">
        <v>2108</v>
      </c>
      <c r="R216" s="3" t="s">
        <v>35</v>
      </c>
      <c r="S216" s="2" t="s">
        <v>22</v>
      </c>
      <c r="T216" s="2" t="s">
        <v>36</v>
      </c>
    </row>
    <row r="217" spans="1:20" x14ac:dyDescent="0.2">
      <c r="A217" s="2">
        <v>605</v>
      </c>
      <c r="B217" s="2" t="s">
        <v>473</v>
      </c>
      <c r="C217" s="2" t="s">
        <v>474</v>
      </c>
      <c r="D217" s="2" t="s">
        <v>66</v>
      </c>
      <c r="E217" s="2" t="s">
        <v>20</v>
      </c>
      <c r="F217" s="2">
        <v>2017</v>
      </c>
      <c r="G217" s="2">
        <v>2017</v>
      </c>
      <c r="H217" s="2">
        <f>'mpi_dataset_summary_2017-2024'!$G217-'mpi_dataset_summary_2017-2024'!$F217+1</f>
        <v>1</v>
      </c>
      <c r="I217" s="2" t="s">
        <v>2110</v>
      </c>
      <c r="J217" s="2" t="s">
        <v>2110</v>
      </c>
      <c r="K217" s="2">
        <f>IF('mpi_dataset_summary_2017-2024'!$G217=2024,1,0)</f>
        <v>0</v>
      </c>
      <c r="L217" s="2">
        <f t="shared" si="6"/>
        <v>1</v>
      </c>
      <c r="M217" s="2">
        <v>3200</v>
      </c>
      <c r="N217" s="2">
        <f t="shared" si="7"/>
        <v>0.92200000000000004</v>
      </c>
      <c r="O217" s="2">
        <v>56.616537000000001</v>
      </c>
      <c r="P217" s="2">
        <v>-113.07229</v>
      </c>
      <c r="Q217" s="2" t="s">
        <v>2108</v>
      </c>
      <c r="R217" s="3" t="s">
        <v>35</v>
      </c>
      <c r="S217" s="2" t="s">
        <v>22</v>
      </c>
      <c r="T217" s="2" t="s">
        <v>36</v>
      </c>
    </row>
    <row r="218" spans="1:20" x14ac:dyDescent="0.2">
      <c r="A218" s="2">
        <v>606</v>
      </c>
      <c r="B218" s="2" t="s">
        <v>475</v>
      </c>
      <c r="C218" s="2" t="s">
        <v>476</v>
      </c>
      <c r="D218" s="2" t="s">
        <v>161</v>
      </c>
      <c r="E218" s="2" t="s">
        <v>20</v>
      </c>
      <c r="F218" s="2">
        <v>2018</v>
      </c>
      <c r="G218" s="2">
        <v>2024</v>
      </c>
      <c r="H218" s="2">
        <f>'mpi_dataset_summary_2017-2024'!$G218-'mpi_dataset_summary_2017-2024'!$F218+1</f>
        <v>7</v>
      </c>
      <c r="I218" s="2" t="s">
        <v>2112</v>
      </c>
      <c r="J218" s="2" t="s">
        <v>2113</v>
      </c>
      <c r="K218" s="2">
        <f>IF('mpi_dataset_summary_2017-2024'!$G218=2024,1,0)</f>
        <v>1</v>
      </c>
      <c r="L218" s="2">
        <f t="shared" si="6"/>
        <v>0</v>
      </c>
      <c r="M218" s="2">
        <v>335</v>
      </c>
      <c r="N218" s="2">
        <f t="shared" si="7"/>
        <v>0.59899999999999998</v>
      </c>
      <c r="O218" s="2">
        <v>49.764412999999998</v>
      </c>
      <c r="P218" s="2">
        <v>-92.544708</v>
      </c>
      <c r="Q218" s="2" t="s">
        <v>2107</v>
      </c>
      <c r="R218" s="3" t="s">
        <v>29</v>
      </c>
      <c r="S218" s="2" t="s">
        <v>22</v>
      </c>
      <c r="T218" s="2" t="s">
        <v>30</v>
      </c>
    </row>
    <row r="219" spans="1:20" x14ac:dyDescent="0.2">
      <c r="A219" s="2">
        <v>607</v>
      </c>
      <c r="B219" s="2" t="s">
        <v>477</v>
      </c>
      <c r="C219" s="2" t="s">
        <v>478</v>
      </c>
      <c r="D219" s="2" t="s">
        <v>66</v>
      </c>
      <c r="E219" s="2" t="s">
        <v>20</v>
      </c>
      <c r="F219" s="2">
        <v>2017</v>
      </c>
      <c r="G219" s="2">
        <v>2024</v>
      </c>
      <c r="H219" s="2">
        <f>'mpi_dataset_summary_2017-2024'!$G219-'mpi_dataset_summary_2017-2024'!$F219+1</f>
        <v>8</v>
      </c>
      <c r="I219" s="2" t="s">
        <v>2112</v>
      </c>
      <c r="J219" s="2" t="s">
        <v>2113</v>
      </c>
      <c r="K219" s="2">
        <f>IF('mpi_dataset_summary_2017-2024'!$G219=2024,1,0)</f>
        <v>1</v>
      </c>
      <c r="L219" s="2">
        <f t="shared" si="6"/>
        <v>0</v>
      </c>
      <c r="M219" s="2">
        <v>3390</v>
      </c>
      <c r="N219" s="2">
        <f t="shared" si="7"/>
        <v>0.92900000000000005</v>
      </c>
      <c r="O219" s="2">
        <v>56.736814000000003</v>
      </c>
      <c r="P219" s="2">
        <v>-111.156578</v>
      </c>
      <c r="Q219" s="2" t="s">
        <v>2108</v>
      </c>
      <c r="R219" s="3" t="s">
        <v>37</v>
      </c>
      <c r="S219" s="2" t="s">
        <v>22</v>
      </c>
      <c r="T219" s="2" t="s">
        <v>38</v>
      </c>
    </row>
    <row r="220" spans="1:20" x14ac:dyDescent="0.2">
      <c r="A220" s="2">
        <v>611</v>
      </c>
      <c r="B220" s="2" t="s">
        <v>479</v>
      </c>
      <c r="C220" s="2" t="s">
        <v>480</v>
      </c>
      <c r="D220" s="2" t="s">
        <v>185</v>
      </c>
      <c r="E220" s="2" t="s">
        <v>20</v>
      </c>
      <c r="F220" s="2">
        <v>2017</v>
      </c>
      <c r="G220" s="2">
        <v>2023</v>
      </c>
      <c r="H220" s="2">
        <f>'mpi_dataset_summary_2017-2024'!$G220-'mpi_dataset_summary_2017-2024'!$F220+1</f>
        <v>7</v>
      </c>
      <c r="I220" s="2" t="s">
        <v>2110</v>
      </c>
      <c r="J220" s="2" t="s">
        <v>2112</v>
      </c>
      <c r="K220" s="2">
        <f>IF('mpi_dataset_summary_2017-2024'!$G220=2024,1,0)</f>
        <v>0</v>
      </c>
      <c r="L220" s="2">
        <f t="shared" si="6"/>
        <v>0</v>
      </c>
      <c r="M220" s="2">
        <v>137.30000000000001</v>
      </c>
      <c r="N220" s="2">
        <f t="shared" si="7"/>
        <v>0.42299999999999999</v>
      </c>
      <c r="O220" s="2">
        <v>44.831525999999997</v>
      </c>
      <c r="P220" s="2">
        <v>-63.075256000000003</v>
      </c>
      <c r="Q220" s="2" t="s">
        <v>2107</v>
      </c>
      <c r="R220" s="3" t="s">
        <v>29</v>
      </c>
      <c r="S220" s="2" t="s">
        <v>22</v>
      </c>
      <c r="T220" s="2" t="s">
        <v>30</v>
      </c>
    </row>
    <row r="221" spans="1:20" x14ac:dyDescent="0.2">
      <c r="A221" s="2">
        <v>615</v>
      </c>
      <c r="B221" s="2" t="s">
        <v>481</v>
      </c>
      <c r="C221" s="2" t="s">
        <v>482</v>
      </c>
      <c r="D221" s="2" t="s">
        <v>83</v>
      </c>
      <c r="E221" s="2" t="s">
        <v>20</v>
      </c>
      <c r="F221" s="2">
        <v>2021</v>
      </c>
      <c r="G221" s="2">
        <v>2022</v>
      </c>
      <c r="H221" s="2">
        <f>'mpi_dataset_summary_2017-2024'!$G221-'mpi_dataset_summary_2017-2024'!$F221+1</f>
        <v>2</v>
      </c>
      <c r="I221" s="2" t="s">
        <v>2113</v>
      </c>
      <c r="J221" s="2" t="s">
        <v>2113</v>
      </c>
      <c r="K221" s="2">
        <f>IF('mpi_dataset_summary_2017-2024'!$G221=2024,1,0)</f>
        <v>0</v>
      </c>
      <c r="L221" s="2">
        <f t="shared" si="6"/>
        <v>0</v>
      </c>
      <c r="M221" s="2">
        <v>86.8</v>
      </c>
      <c r="N221" s="2">
        <f t="shared" si="7"/>
        <v>0.32300000000000001</v>
      </c>
      <c r="O221" s="2">
        <v>54.698042999999998</v>
      </c>
      <c r="P221" s="2">
        <v>-66.658859000000007</v>
      </c>
      <c r="Q221" s="2" t="s">
        <v>2107</v>
      </c>
      <c r="R221" s="3" t="s">
        <v>31</v>
      </c>
      <c r="S221" s="2" t="s">
        <v>22</v>
      </c>
      <c r="T221" s="2" t="s">
        <v>32</v>
      </c>
    </row>
    <row r="222" spans="1:20" x14ac:dyDescent="0.2">
      <c r="A222" s="2">
        <v>620</v>
      </c>
      <c r="B222" s="2" t="s">
        <v>483</v>
      </c>
      <c r="C222" s="2" t="s">
        <v>484</v>
      </c>
      <c r="D222" s="2" t="s">
        <v>161</v>
      </c>
      <c r="E222" s="2" t="s">
        <v>20</v>
      </c>
      <c r="F222" s="2">
        <v>2018</v>
      </c>
      <c r="G222" s="2">
        <v>2024</v>
      </c>
      <c r="H222" s="2">
        <f>'mpi_dataset_summary_2017-2024'!$G222-'mpi_dataset_summary_2017-2024'!$F222+1</f>
        <v>7</v>
      </c>
      <c r="I222" s="2" t="s">
        <v>2111</v>
      </c>
      <c r="J222" s="2" t="s">
        <v>2110</v>
      </c>
      <c r="K222" s="2">
        <f>IF('mpi_dataset_summary_2017-2024'!$G222=2024,1,0)</f>
        <v>1</v>
      </c>
      <c r="L222" s="2">
        <f t="shared" si="6"/>
        <v>1</v>
      </c>
      <c r="M222" s="2">
        <v>1000</v>
      </c>
      <c r="N222" s="2">
        <f t="shared" si="7"/>
        <v>0.80500000000000005</v>
      </c>
      <c r="O222" s="2">
        <v>46.423499999999997</v>
      </c>
      <c r="P222" s="2">
        <v>-81.386399999999995</v>
      </c>
      <c r="Q222" s="2" t="s">
        <v>2107</v>
      </c>
      <c r="R222" s="3" t="s">
        <v>41</v>
      </c>
      <c r="S222" s="2" t="s">
        <v>22</v>
      </c>
      <c r="T222" s="2" t="s">
        <v>42</v>
      </c>
    </row>
    <row r="223" spans="1:20" x14ac:dyDescent="0.2">
      <c r="A223" s="2">
        <v>623</v>
      </c>
      <c r="B223" s="2" t="s">
        <v>485</v>
      </c>
      <c r="C223" s="2" t="s">
        <v>486</v>
      </c>
      <c r="D223" s="2" t="s">
        <v>161</v>
      </c>
      <c r="E223" s="2" t="s">
        <v>20</v>
      </c>
      <c r="F223" s="2">
        <v>2017</v>
      </c>
      <c r="G223" s="2">
        <v>2023</v>
      </c>
      <c r="H223" s="2">
        <f>'mpi_dataset_summary_2017-2024'!$G223-'mpi_dataset_summary_2017-2024'!$F223+1</f>
        <v>7</v>
      </c>
      <c r="I223" s="2" t="s">
        <v>2112</v>
      </c>
      <c r="J223" s="2" t="s">
        <v>2110</v>
      </c>
      <c r="K223" s="2">
        <f>IF('mpi_dataset_summary_2017-2024'!$G223=2024,1,0)</f>
        <v>0</v>
      </c>
      <c r="L223" s="2">
        <f t="shared" si="6"/>
        <v>1</v>
      </c>
      <c r="M223" s="2">
        <v>783.7</v>
      </c>
      <c r="N223" s="2">
        <f t="shared" si="7"/>
        <v>0.77300000000000002</v>
      </c>
      <c r="O223" s="2">
        <v>48.283999999999999</v>
      </c>
      <c r="P223" s="2">
        <v>-84.452200000000005</v>
      </c>
      <c r="Q223" s="2" t="s">
        <v>2107</v>
      </c>
      <c r="R223" s="3" t="s">
        <v>29</v>
      </c>
      <c r="S223" s="2" t="s">
        <v>22</v>
      </c>
      <c r="T223" s="2" t="s">
        <v>30</v>
      </c>
    </row>
    <row r="224" spans="1:20" x14ac:dyDescent="0.2">
      <c r="A224" s="2">
        <v>625</v>
      </c>
      <c r="B224" s="2" t="s">
        <v>487</v>
      </c>
      <c r="C224" s="2" t="s">
        <v>488</v>
      </c>
      <c r="D224" s="2" t="s">
        <v>161</v>
      </c>
      <c r="E224" s="2" t="s">
        <v>20</v>
      </c>
      <c r="F224" s="2">
        <v>2017</v>
      </c>
      <c r="G224" s="2">
        <v>2017</v>
      </c>
      <c r="H224" s="2">
        <f>'mpi_dataset_summary_2017-2024'!$G224-'mpi_dataset_summary_2017-2024'!$F224+1</f>
        <v>1</v>
      </c>
      <c r="I224" s="2" t="s">
        <v>2111</v>
      </c>
      <c r="J224" s="2" t="s">
        <v>2111</v>
      </c>
      <c r="K224" s="2">
        <f>IF('mpi_dataset_summary_2017-2024'!$G224=2024,1,0)</f>
        <v>0</v>
      </c>
      <c r="L224" s="2">
        <f t="shared" si="6"/>
        <v>0</v>
      </c>
      <c r="M224" s="2">
        <v>240</v>
      </c>
      <c r="N224" s="2">
        <f t="shared" si="7"/>
        <v>0.53100000000000003</v>
      </c>
      <c r="O224" s="2">
        <v>48.170400000000001</v>
      </c>
      <c r="P224" s="2">
        <v>-79.760599999999997</v>
      </c>
      <c r="Q224" s="2" t="s">
        <v>2107</v>
      </c>
      <c r="R224" s="3" t="s">
        <v>29</v>
      </c>
      <c r="S224" s="2" t="s">
        <v>22</v>
      </c>
      <c r="T224" s="2" t="s">
        <v>30</v>
      </c>
    </row>
    <row r="225" spans="1:20" x14ac:dyDescent="0.2">
      <c r="A225" s="2">
        <v>626</v>
      </c>
      <c r="B225" s="2" t="s">
        <v>489</v>
      </c>
      <c r="C225" s="2" t="s">
        <v>490</v>
      </c>
      <c r="D225" s="2" t="s">
        <v>161</v>
      </c>
      <c r="E225" s="2" t="s">
        <v>20</v>
      </c>
      <c r="F225" s="2">
        <v>2018</v>
      </c>
      <c r="G225" s="2">
        <v>2024</v>
      </c>
      <c r="H225" s="2">
        <f>'mpi_dataset_summary_2017-2024'!$G225-'mpi_dataset_summary_2017-2024'!$F225+1</f>
        <v>7</v>
      </c>
      <c r="I225" s="2" t="s">
        <v>2113</v>
      </c>
      <c r="J225" s="2" t="s">
        <v>2110</v>
      </c>
      <c r="K225" s="2">
        <f>IF('mpi_dataset_summary_2017-2024'!$G225=2024,1,0)</f>
        <v>1</v>
      </c>
      <c r="L225" s="2">
        <f t="shared" si="6"/>
        <v>1</v>
      </c>
      <c r="M225" s="2">
        <v>2456.4929999999999</v>
      </c>
      <c r="N225" s="2">
        <f t="shared" si="7"/>
        <v>0.91200000000000003</v>
      </c>
      <c r="O225" s="2">
        <v>47.547400000000003</v>
      </c>
      <c r="P225" s="2">
        <v>-81.936300000000003</v>
      </c>
      <c r="Q225" s="2" t="s">
        <v>2107</v>
      </c>
      <c r="R225" s="3" t="s">
        <v>29</v>
      </c>
      <c r="S225" s="2" t="s">
        <v>22</v>
      </c>
      <c r="T225" s="2" t="s">
        <v>30</v>
      </c>
    </row>
    <row r="226" spans="1:20" x14ac:dyDescent="0.2">
      <c r="A226" s="2">
        <v>627</v>
      </c>
      <c r="B226" s="2" t="s">
        <v>491</v>
      </c>
      <c r="C226" s="2" t="s">
        <v>492</v>
      </c>
      <c r="D226" s="2" t="s">
        <v>110</v>
      </c>
      <c r="E226" s="2" t="s">
        <v>20</v>
      </c>
      <c r="F226" s="2">
        <v>2017</v>
      </c>
      <c r="G226" s="2">
        <v>2017</v>
      </c>
      <c r="H226" s="2">
        <f>'mpi_dataset_summary_2017-2024'!$G226-'mpi_dataset_summary_2017-2024'!$F226+1</f>
        <v>1</v>
      </c>
      <c r="I226" s="2" t="s">
        <v>2110</v>
      </c>
      <c r="J226" s="2" t="s">
        <v>2110</v>
      </c>
      <c r="K226" s="2">
        <f>IF('mpi_dataset_summary_2017-2024'!$G226=2024,1,0)</f>
        <v>0</v>
      </c>
      <c r="L226" s="2">
        <f t="shared" si="6"/>
        <v>1</v>
      </c>
      <c r="M226" s="2">
        <v>355</v>
      </c>
      <c r="N226" s="2">
        <f t="shared" si="7"/>
        <v>0.61799999999999999</v>
      </c>
      <c r="O226" s="2">
        <v>50.524799999999999</v>
      </c>
      <c r="P226" s="2">
        <v>-106.68210000000001</v>
      </c>
      <c r="Q226" s="2" t="s">
        <v>2108</v>
      </c>
      <c r="R226" s="3" t="s">
        <v>24</v>
      </c>
      <c r="S226" s="2" t="s">
        <v>25</v>
      </c>
      <c r="T226" s="2" t="s">
        <v>26</v>
      </c>
    </row>
    <row r="227" spans="1:20" x14ac:dyDescent="0.2">
      <c r="A227" s="2">
        <v>628</v>
      </c>
      <c r="B227" s="2" t="s">
        <v>493</v>
      </c>
      <c r="C227" s="2" t="s">
        <v>494</v>
      </c>
      <c r="D227" s="2" t="s">
        <v>110</v>
      </c>
      <c r="E227" s="2" t="s">
        <v>20</v>
      </c>
      <c r="F227" s="2">
        <v>2017</v>
      </c>
      <c r="G227" s="2">
        <v>2021</v>
      </c>
      <c r="H227" s="2">
        <f>'mpi_dataset_summary_2017-2024'!$G227-'mpi_dataset_summary_2017-2024'!$F227+1</f>
        <v>5</v>
      </c>
      <c r="I227" s="2" t="s">
        <v>2112</v>
      </c>
      <c r="J227" s="2" t="s">
        <v>2113</v>
      </c>
      <c r="K227" s="2">
        <f>IF('mpi_dataset_summary_2017-2024'!$G227=2024,1,0)</f>
        <v>0</v>
      </c>
      <c r="L227" s="2">
        <f t="shared" si="6"/>
        <v>0</v>
      </c>
      <c r="M227" s="2">
        <v>3600</v>
      </c>
      <c r="N227" s="2">
        <f t="shared" si="7"/>
        <v>0.93200000000000005</v>
      </c>
      <c r="O227" s="2">
        <v>50.945819100000001</v>
      </c>
      <c r="P227" s="2">
        <v>-104.4997364</v>
      </c>
      <c r="Q227" s="2" t="s">
        <v>2107</v>
      </c>
      <c r="R227" s="3" t="s">
        <v>41</v>
      </c>
      <c r="S227" s="2" t="s">
        <v>22</v>
      </c>
      <c r="T227" s="2" t="s">
        <v>42</v>
      </c>
    </row>
    <row r="228" spans="1:20" x14ac:dyDescent="0.2">
      <c r="A228" s="2">
        <v>629</v>
      </c>
      <c r="B228" s="2" t="s">
        <v>349</v>
      </c>
      <c r="C228" s="2" t="s">
        <v>351</v>
      </c>
      <c r="D228" s="2" t="s">
        <v>66</v>
      </c>
      <c r="E228" s="2" t="s">
        <v>20</v>
      </c>
      <c r="F228" s="2">
        <v>2020</v>
      </c>
      <c r="G228" s="2">
        <v>2024</v>
      </c>
      <c r="H228" s="2">
        <f>'mpi_dataset_summary_2017-2024'!$G228-'mpi_dataset_summary_2017-2024'!$F228+1</f>
        <v>5</v>
      </c>
      <c r="I228" s="2" t="s">
        <v>2111</v>
      </c>
      <c r="J228" s="2" t="s">
        <v>2111</v>
      </c>
      <c r="K228" s="2">
        <f>IF('mpi_dataset_summary_2017-2024'!$G228=2024,1,0)</f>
        <v>1</v>
      </c>
      <c r="L228" s="2">
        <f t="shared" si="6"/>
        <v>0</v>
      </c>
      <c r="M228" s="2">
        <v>2100</v>
      </c>
      <c r="N228" s="2">
        <f t="shared" si="7"/>
        <v>0.90100000000000002</v>
      </c>
      <c r="O228" s="2">
        <v>57.202491000000002</v>
      </c>
      <c r="P228" s="2">
        <v>-112.7292377</v>
      </c>
      <c r="Q228" s="2" t="s">
        <v>2108</v>
      </c>
      <c r="R228" s="3" t="s">
        <v>39</v>
      </c>
      <c r="S228" s="2" t="s">
        <v>22</v>
      </c>
      <c r="T228" s="2" t="s">
        <v>40</v>
      </c>
    </row>
    <row r="229" spans="1:20" x14ac:dyDescent="0.2">
      <c r="A229" s="2">
        <v>633</v>
      </c>
      <c r="B229" s="2" t="s">
        <v>495</v>
      </c>
      <c r="C229" s="2" t="s">
        <v>496</v>
      </c>
      <c r="D229" s="2" t="s">
        <v>69</v>
      </c>
      <c r="E229" s="2" t="s">
        <v>20</v>
      </c>
      <c r="F229" s="2">
        <v>2018</v>
      </c>
      <c r="G229" s="2">
        <v>2022</v>
      </c>
      <c r="H229" s="2">
        <f>'mpi_dataset_summary_2017-2024'!$G229-'mpi_dataset_summary_2017-2024'!$F229+1</f>
        <v>5</v>
      </c>
      <c r="I229" s="2" t="s">
        <v>2112</v>
      </c>
      <c r="J229" s="2" t="s">
        <v>2112</v>
      </c>
      <c r="K229" s="2">
        <f>IF('mpi_dataset_summary_2017-2024'!$G229=2024,1,0)</f>
        <v>0</v>
      </c>
      <c r="L229" s="2">
        <f t="shared" si="6"/>
        <v>0</v>
      </c>
      <c r="M229" s="2">
        <v>450</v>
      </c>
      <c r="N229" s="2">
        <f t="shared" si="7"/>
        <v>0.65500000000000003</v>
      </c>
      <c r="O229" s="2">
        <v>55.196399999999997</v>
      </c>
      <c r="P229" s="2">
        <v>-121.569</v>
      </c>
      <c r="Q229" s="2" t="s">
        <v>2107</v>
      </c>
      <c r="R229" s="3" t="s">
        <v>21</v>
      </c>
      <c r="S229" s="2" t="s">
        <v>22</v>
      </c>
      <c r="T229" s="2" t="s">
        <v>23</v>
      </c>
    </row>
    <row r="230" spans="1:20" x14ac:dyDescent="0.2">
      <c r="A230" s="2">
        <v>636</v>
      </c>
      <c r="B230" s="2" t="s">
        <v>497</v>
      </c>
      <c r="C230" s="2" t="s">
        <v>498</v>
      </c>
      <c r="D230" s="2" t="s">
        <v>89</v>
      </c>
      <c r="E230" s="2" t="s">
        <v>20</v>
      </c>
      <c r="F230" s="2">
        <v>2017</v>
      </c>
      <c r="G230" s="2">
        <v>2024</v>
      </c>
      <c r="H230" s="2">
        <f>'mpi_dataset_summary_2017-2024'!$G230-'mpi_dataset_summary_2017-2024'!$F230+1</f>
        <v>8</v>
      </c>
      <c r="I230" s="2" t="s">
        <v>2112</v>
      </c>
      <c r="J230" s="2" t="s">
        <v>2113</v>
      </c>
      <c r="K230" s="2">
        <f>IF('mpi_dataset_summary_2017-2024'!$G230=2024,1,0)</f>
        <v>1</v>
      </c>
      <c r="L230" s="2">
        <f t="shared" si="6"/>
        <v>0</v>
      </c>
      <c r="M230" s="2">
        <v>1275</v>
      </c>
      <c r="N230" s="2">
        <f t="shared" si="7"/>
        <v>0.84099999999999997</v>
      </c>
      <c r="O230" s="2">
        <v>49.883575</v>
      </c>
      <c r="P230" s="2">
        <v>-70.717620999999994</v>
      </c>
      <c r="Q230" s="2" t="s">
        <v>2107</v>
      </c>
      <c r="R230" s="3" t="s">
        <v>29</v>
      </c>
      <c r="S230" s="2" t="s">
        <v>22</v>
      </c>
      <c r="T230" s="2" t="s">
        <v>30</v>
      </c>
    </row>
    <row r="231" spans="1:20" x14ac:dyDescent="0.2">
      <c r="A231" s="2">
        <v>637</v>
      </c>
      <c r="B231" s="2" t="s">
        <v>499</v>
      </c>
      <c r="C231" s="2" t="s">
        <v>500</v>
      </c>
      <c r="D231" s="2" t="s">
        <v>89</v>
      </c>
      <c r="E231" s="2" t="s">
        <v>20</v>
      </c>
      <c r="F231" s="2">
        <v>2017</v>
      </c>
      <c r="G231" s="2">
        <v>2022</v>
      </c>
      <c r="H231" s="2">
        <f>'mpi_dataset_summary_2017-2024'!$G231-'mpi_dataset_summary_2017-2024'!$F231+1</f>
        <v>6</v>
      </c>
      <c r="I231" s="2" t="s">
        <v>2111</v>
      </c>
      <c r="J231" s="2" t="s">
        <v>2111</v>
      </c>
      <c r="K231" s="2">
        <f>IF('mpi_dataset_summary_2017-2024'!$G231=2024,1,0)</f>
        <v>0</v>
      </c>
      <c r="L231" s="2">
        <f t="shared" si="6"/>
        <v>0</v>
      </c>
      <c r="M231" s="2">
        <v>778.56</v>
      </c>
      <c r="N231" s="2">
        <f t="shared" si="7"/>
        <v>0.77200000000000002</v>
      </c>
      <c r="O231" s="2">
        <v>57.354683000000001</v>
      </c>
      <c r="P231" s="2">
        <v>-68.461303999999998</v>
      </c>
      <c r="Q231" s="2" t="s">
        <v>2107</v>
      </c>
      <c r="R231" s="3" t="s">
        <v>33</v>
      </c>
      <c r="S231" s="2" t="s">
        <v>25</v>
      </c>
      <c r="T231" s="2" t="s">
        <v>34</v>
      </c>
    </row>
    <row r="232" spans="1:20" x14ac:dyDescent="0.2">
      <c r="A232" s="2">
        <v>638</v>
      </c>
      <c r="B232" s="2" t="s">
        <v>501</v>
      </c>
      <c r="C232" s="2" t="s">
        <v>502</v>
      </c>
      <c r="D232" s="2" t="s">
        <v>161</v>
      </c>
      <c r="E232" s="2" t="s">
        <v>20</v>
      </c>
      <c r="F232" s="2">
        <v>2021</v>
      </c>
      <c r="G232" s="2">
        <v>2023</v>
      </c>
      <c r="H232" s="2">
        <f>'mpi_dataset_summary_2017-2024'!$G232-'mpi_dataset_summary_2017-2024'!$F232+1</f>
        <v>3</v>
      </c>
      <c r="I232" s="2" t="s">
        <v>2111</v>
      </c>
      <c r="J232" s="2" t="s">
        <v>2111</v>
      </c>
      <c r="K232" s="2">
        <f>IF('mpi_dataset_summary_2017-2024'!$G232=2024,1,0)</f>
        <v>0</v>
      </c>
      <c r="L232" s="2">
        <f t="shared" si="6"/>
        <v>0</v>
      </c>
      <c r="M232" s="2">
        <v>144.16</v>
      </c>
      <c r="N232" s="2">
        <f t="shared" si="7"/>
        <v>0.436</v>
      </c>
      <c r="O232" s="2">
        <v>48.497498</v>
      </c>
      <c r="P232" s="2">
        <v>-80.051879999999997</v>
      </c>
      <c r="Q232" s="2" t="s">
        <v>2107</v>
      </c>
      <c r="R232" s="3" t="s">
        <v>29</v>
      </c>
      <c r="S232" s="2" t="s">
        <v>22</v>
      </c>
      <c r="T232" s="2" t="s">
        <v>30</v>
      </c>
    </row>
    <row r="233" spans="1:20" x14ac:dyDescent="0.2">
      <c r="A233" s="2">
        <v>640</v>
      </c>
      <c r="B233" s="2" t="s">
        <v>503</v>
      </c>
      <c r="C233" s="2" t="s">
        <v>504</v>
      </c>
      <c r="D233" s="2" t="s">
        <v>161</v>
      </c>
      <c r="E233" s="2" t="s">
        <v>20</v>
      </c>
      <c r="F233" s="2">
        <v>2021</v>
      </c>
      <c r="G233" s="2">
        <v>2023</v>
      </c>
      <c r="H233" s="2">
        <f>'mpi_dataset_summary_2017-2024'!$G233-'mpi_dataset_summary_2017-2024'!$F233+1</f>
        <v>3</v>
      </c>
      <c r="I233" s="2" t="s">
        <v>2111</v>
      </c>
      <c r="J233" s="2" t="s">
        <v>2111</v>
      </c>
      <c r="K233" s="2">
        <f>IF('mpi_dataset_summary_2017-2024'!$G233=2024,1,0)</f>
        <v>0</v>
      </c>
      <c r="L233" s="2">
        <f t="shared" si="6"/>
        <v>0</v>
      </c>
      <c r="M233" s="2">
        <v>407</v>
      </c>
      <c r="N233" s="2">
        <f t="shared" si="7"/>
        <v>0.64600000000000002</v>
      </c>
      <c r="O233" s="2">
        <v>51.458284999999997</v>
      </c>
      <c r="P233" s="2">
        <v>-90.196381000000002</v>
      </c>
      <c r="Q233" s="2" t="s">
        <v>2107</v>
      </c>
      <c r="R233" s="3" t="s">
        <v>33</v>
      </c>
      <c r="S233" s="2" t="s">
        <v>25</v>
      </c>
      <c r="T233" s="2" t="s">
        <v>34</v>
      </c>
    </row>
    <row r="234" spans="1:20" x14ac:dyDescent="0.2">
      <c r="A234" s="2">
        <v>643</v>
      </c>
      <c r="B234" s="2" t="s">
        <v>505</v>
      </c>
      <c r="C234" s="2" t="s">
        <v>506</v>
      </c>
      <c r="D234" s="2" t="s">
        <v>83</v>
      </c>
      <c r="E234" s="2" t="s">
        <v>20</v>
      </c>
      <c r="F234" s="2">
        <v>2017</v>
      </c>
      <c r="G234" s="2">
        <v>2024</v>
      </c>
      <c r="H234" s="2">
        <f>'mpi_dataset_summary_2017-2024'!$G234-'mpi_dataset_summary_2017-2024'!$F234+1</f>
        <v>8</v>
      </c>
      <c r="I234" s="2" t="s">
        <v>2111</v>
      </c>
      <c r="J234" s="2" t="s">
        <v>2111</v>
      </c>
      <c r="K234" s="2">
        <f>IF('mpi_dataset_summary_2017-2024'!$G234=2024,1,0)</f>
        <v>1</v>
      </c>
      <c r="L234" s="2">
        <f t="shared" si="6"/>
        <v>0</v>
      </c>
      <c r="M234" s="2">
        <v>421.8</v>
      </c>
      <c r="N234" s="2">
        <f t="shared" si="7"/>
        <v>0.64800000000000002</v>
      </c>
      <c r="O234" s="2">
        <v>52.399276999999998</v>
      </c>
      <c r="P234" s="2">
        <v>-55.817757</v>
      </c>
      <c r="Q234" s="2" t="s">
        <v>2107</v>
      </c>
      <c r="R234" s="3" t="s">
        <v>33</v>
      </c>
      <c r="S234" s="2" t="s">
        <v>25</v>
      </c>
      <c r="T234" s="2" t="s">
        <v>34</v>
      </c>
    </row>
    <row r="235" spans="1:20" x14ac:dyDescent="0.2">
      <c r="A235" s="2">
        <v>644</v>
      </c>
      <c r="B235" s="2" t="s">
        <v>278</v>
      </c>
      <c r="C235" s="2" t="s">
        <v>507</v>
      </c>
      <c r="D235" s="2" t="s">
        <v>161</v>
      </c>
      <c r="E235" s="2" t="s">
        <v>43</v>
      </c>
      <c r="F235" s="2">
        <v>2021</v>
      </c>
      <c r="G235" s="2">
        <v>2022</v>
      </c>
      <c r="H235" s="2">
        <f>'mpi_dataset_summary_2017-2024'!$G235-'mpi_dataset_summary_2017-2024'!$F235+1</f>
        <v>2</v>
      </c>
      <c r="I235" s="2" t="s">
        <v>2111</v>
      </c>
      <c r="J235" s="2" t="s">
        <v>2111</v>
      </c>
      <c r="K235" s="2">
        <f>IF('mpi_dataset_summary_2017-2024'!$G235=2024,1,0)</f>
        <v>0</v>
      </c>
      <c r="L235" s="2">
        <f t="shared" si="6"/>
        <v>0</v>
      </c>
      <c r="M235" s="2">
        <v>0</v>
      </c>
      <c r="N235" s="2">
        <f t="shared" si="7"/>
        <v>0</v>
      </c>
      <c r="O235" s="2">
        <v>43.872684</v>
      </c>
      <c r="P235" s="2">
        <v>-78.706526999999994</v>
      </c>
      <c r="Q235" s="2" t="s">
        <v>2108</v>
      </c>
      <c r="R235" s="3" t="s">
        <v>55</v>
      </c>
      <c r="S235" s="2" t="s">
        <v>25</v>
      </c>
      <c r="T235" s="2" t="s">
        <v>56</v>
      </c>
    </row>
    <row r="236" spans="1:20" x14ac:dyDescent="0.2">
      <c r="A236" s="2">
        <v>648</v>
      </c>
      <c r="B236" s="2" t="s">
        <v>508</v>
      </c>
      <c r="C236" s="2" t="s">
        <v>509</v>
      </c>
      <c r="D236" s="2" t="s">
        <v>161</v>
      </c>
      <c r="E236" s="2" t="s">
        <v>20</v>
      </c>
      <c r="F236" s="2">
        <v>2017</v>
      </c>
      <c r="G236" s="2">
        <v>2024</v>
      </c>
      <c r="H236" s="2">
        <f>'mpi_dataset_summary_2017-2024'!$G236-'mpi_dataset_summary_2017-2024'!$F236+1</f>
        <v>8</v>
      </c>
      <c r="I236" s="2" t="s">
        <v>2111</v>
      </c>
      <c r="J236" s="2" t="s">
        <v>2112</v>
      </c>
      <c r="K236" s="2">
        <f>IF('mpi_dataset_summary_2017-2024'!$G236=2024,1,0)</f>
        <v>1</v>
      </c>
      <c r="L236" s="2">
        <f t="shared" si="6"/>
        <v>0</v>
      </c>
      <c r="M236" s="2">
        <v>134.1</v>
      </c>
      <c r="N236" s="2">
        <f t="shared" si="7"/>
        <v>0.41899999999999998</v>
      </c>
      <c r="O236" s="2">
        <v>46.157004999999998</v>
      </c>
      <c r="P236" s="2">
        <v>-77.723636999999997</v>
      </c>
      <c r="Q236" s="2" t="s">
        <v>2107</v>
      </c>
      <c r="R236" s="3" t="s">
        <v>33</v>
      </c>
      <c r="S236" s="2" t="s">
        <v>25</v>
      </c>
      <c r="T236" s="2" t="s">
        <v>34</v>
      </c>
    </row>
    <row r="237" spans="1:20" x14ac:dyDescent="0.2">
      <c r="A237" s="2">
        <v>649</v>
      </c>
      <c r="B237" s="2" t="s">
        <v>510</v>
      </c>
      <c r="C237" s="2" t="s">
        <v>511</v>
      </c>
      <c r="D237" s="2" t="s">
        <v>66</v>
      </c>
      <c r="E237" s="2" t="s">
        <v>20</v>
      </c>
      <c r="F237" s="2">
        <v>2017</v>
      </c>
      <c r="G237" s="2">
        <v>2024</v>
      </c>
      <c r="H237" s="2">
        <f>'mpi_dataset_summary_2017-2024'!$G237-'mpi_dataset_summary_2017-2024'!$F237+1</f>
        <v>8</v>
      </c>
      <c r="I237" s="2" t="s">
        <v>2113</v>
      </c>
      <c r="J237" s="2" t="s">
        <v>2113</v>
      </c>
      <c r="K237" s="2">
        <f>IF('mpi_dataset_summary_2017-2024'!$G237=2024,1,0)</f>
        <v>1</v>
      </c>
      <c r="L237" s="2">
        <f t="shared" si="6"/>
        <v>0</v>
      </c>
      <c r="M237" s="2">
        <v>300</v>
      </c>
      <c r="N237" s="2">
        <f t="shared" si="7"/>
        <v>0.57399999999999995</v>
      </c>
      <c r="O237" s="2">
        <v>56.593343500000003</v>
      </c>
      <c r="P237" s="2">
        <v>-113.0127423</v>
      </c>
      <c r="Q237" s="2" t="s">
        <v>2108</v>
      </c>
      <c r="R237" s="3" t="s">
        <v>39</v>
      </c>
      <c r="S237" s="2" t="s">
        <v>22</v>
      </c>
      <c r="T237" s="2" t="s">
        <v>40</v>
      </c>
    </row>
    <row r="238" spans="1:20" x14ac:dyDescent="0.2">
      <c r="A238" s="2">
        <v>650</v>
      </c>
      <c r="B238" s="2" t="s">
        <v>465</v>
      </c>
      <c r="C238" s="2" t="s">
        <v>512</v>
      </c>
      <c r="D238" s="2" t="s">
        <v>69</v>
      </c>
      <c r="E238" s="2" t="s">
        <v>20</v>
      </c>
      <c r="F238" s="2">
        <v>2017</v>
      </c>
      <c r="G238" s="2">
        <v>2024</v>
      </c>
      <c r="H238" s="2">
        <f>'mpi_dataset_summary_2017-2024'!$G238-'mpi_dataset_summary_2017-2024'!$F238+1</f>
        <v>8</v>
      </c>
      <c r="I238" s="2" t="s">
        <v>2113</v>
      </c>
      <c r="J238" s="2" t="s">
        <v>2111</v>
      </c>
      <c r="K238" s="2">
        <f>IF('mpi_dataset_summary_2017-2024'!$G238=2024,1,0)</f>
        <v>1</v>
      </c>
      <c r="L238" s="2">
        <f t="shared" si="6"/>
        <v>0</v>
      </c>
      <c r="M238" s="2">
        <v>5000</v>
      </c>
      <c r="N238" s="2">
        <f t="shared" si="7"/>
        <v>0.94699999999999995</v>
      </c>
      <c r="O238" s="2">
        <v>54.235537999999998</v>
      </c>
      <c r="P238" s="2">
        <v>-130.293442</v>
      </c>
      <c r="Q238" s="2" t="s">
        <v>2108</v>
      </c>
      <c r="R238" s="3" t="s">
        <v>35</v>
      </c>
      <c r="S238" s="2" t="s">
        <v>22</v>
      </c>
      <c r="T238" s="2" t="s">
        <v>36</v>
      </c>
    </row>
    <row r="239" spans="1:20" x14ac:dyDescent="0.2">
      <c r="A239" s="2">
        <v>651</v>
      </c>
      <c r="B239" s="2" t="s">
        <v>513</v>
      </c>
      <c r="C239" s="2" t="s">
        <v>514</v>
      </c>
      <c r="D239" s="2" t="s">
        <v>69</v>
      </c>
      <c r="E239" s="2" t="s">
        <v>20</v>
      </c>
      <c r="F239" s="2">
        <v>2017</v>
      </c>
      <c r="G239" s="2">
        <v>2024</v>
      </c>
      <c r="H239" s="2">
        <f>'mpi_dataset_summary_2017-2024'!$G239-'mpi_dataset_summary_2017-2024'!$F239+1</f>
        <v>8</v>
      </c>
      <c r="I239" s="2" t="s">
        <v>2112</v>
      </c>
      <c r="J239" s="2" t="s">
        <v>2110</v>
      </c>
      <c r="K239" s="2">
        <f>IF('mpi_dataset_summary_2017-2024'!$G239=2024,1,0)</f>
        <v>1</v>
      </c>
      <c r="L239" s="2">
        <f t="shared" si="6"/>
        <v>1</v>
      </c>
      <c r="M239" s="2">
        <v>350</v>
      </c>
      <c r="N239" s="2">
        <f t="shared" si="7"/>
        <v>0.60299999999999998</v>
      </c>
      <c r="O239" s="2">
        <v>49.284917</v>
      </c>
      <c r="P239" s="2">
        <v>-122.793083</v>
      </c>
      <c r="Q239" s="2" t="s">
        <v>2108</v>
      </c>
      <c r="R239" s="3" t="s">
        <v>35</v>
      </c>
      <c r="S239" s="2" t="s">
        <v>22</v>
      </c>
      <c r="T239" s="2" t="s">
        <v>36</v>
      </c>
    </row>
    <row r="240" spans="1:20" x14ac:dyDescent="0.2">
      <c r="A240" s="2">
        <v>652</v>
      </c>
      <c r="B240" s="2" t="s">
        <v>515</v>
      </c>
      <c r="C240" s="2" t="s">
        <v>516</v>
      </c>
      <c r="D240" s="2" t="s">
        <v>69</v>
      </c>
      <c r="E240" s="2" t="s">
        <v>20</v>
      </c>
      <c r="F240" s="2">
        <v>2017</v>
      </c>
      <c r="G240" s="2">
        <v>2024</v>
      </c>
      <c r="H240" s="2">
        <f>'mpi_dataset_summary_2017-2024'!$G240-'mpi_dataset_summary_2017-2024'!$F240+1</f>
        <v>8</v>
      </c>
      <c r="I240" s="2" t="s">
        <v>2113</v>
      </c>
      <c r="J240" s="2" t="s">
        <v>2110</v>
      </c>
      <c r="K240" s="2">
        <f>IF('mpi_dataset_summary_2017-2024'!$G240=2024,1,0)</f>
        <v>1</v>
      </c>
      <c r="L240" s="2">
        <f t="shared" si="6"/>
        <v>1</v>
      </c>
      <c r="M240" s="2">
        <v>6880</v>
      </c>
      <c r="N240" s="2">
        <f t="shared" si="7"/>
        <v>0.96399999999999997</v>
      </c>
      <c r="O240" s="2">
        <v>49.666666999999997</v>
      </c>
      <c r="P240" s="2">
        <v>-123.25277800000001</v>
      </c>
      <c r="Q240" s="2" t="s">
        <v>2108</v>
      </c>
      <c r="R240" s="3" t="s">
        <v>37</v>
      </c>
      <c r="S240" s="2" t="s">
        <v>22</v>
      </c>
      <c r="T240" s="2" t="s">
        <v>38</v>
      </c>
    </row>
    <row r="241" spans="1:20" x14ac:dyDescent="0.2">
      <c r="A241" s="2">
        <v>654</v>
      </c>
      <c r="B241" s="2" t="s">
        <v>517</v>
      </c>
      <c r="C241" s="2" t="s">
        <v>518</v>
      </c>
      <c r="D241" s="2" t="s">
        <v>161</v>
      </c>
      <c r="E241" s="2" t="s">
        <v>20</v>
      </c>
      <c r="F241" s="2">
        <v>2017</v>
      </c>
      <c r="G241" s="2">
        <v>2024</v>
      </c>
      <c r="H241" s="2">
        <f>'mpi_dataset_summary_2017-2024'!$G241-'mpi_dataset_summary_2017-2024'!$F241+1</f>
        <v>8</v>
      </c>
      <c r="I241" s="2" t="s">
        <v>2111</v>
      </c>
      <c r="J241" s="2" t="s">
        <v>2110</v>
      </c>
      <c r="K241" s="2">
        <f>IF('mpi_dataset_summary_2017-2024'!$G241=2024,1,0)</f>
        <v>1</v>
      </c>
      <c r="L241" s="2">
        <f t="shared" si="6"/>
        <v>1</v>
      </c>
      <c r="M241" s="2">
        <v>13000</v>
      </c>
      <c r="N241" s="2">
        <f t="shared" si="7"/>
        <v>0.98399999999999999</v>
      </c>
      <c r="O241" s="2">
        <v>44.327300000000001</v>
      </c>
      <c r="P241" s="2">
        <v>-81.586100000000002</v>
      </c>
      <c r="Q241" s="2" t="s">
        <v>2108</v>
      </c>
      <c r="R241" s="3" t="s">
        <v>55</v>
      </c>
      <c r="S241" s="2" t="s">
        <v>25</v>
      </c>
      <c r="T241" s="2" t="s">
        <v>56</v>
      </c>
    </row>
    <row r="242" spans="1:20" x14ac:dyDescent="0.2">
      <c r="A242" s="2">
        <v>657</v>
      </c>
      <c r="B242" s="2" t="s">
        <v>519</v>
      </c>
      <c r="C242" s="2" t="s">
        <v>520</v>
      </c>
      <c r="D242" s="2" t="s">
        <v>66</v>
      </c>
      <c r="E242" s="2" t="s">
        <v>20</v>
      </c>
      <c r="F242" s="2">
        <v>2017</v>
      </c>
      <c r="G242" s="2">
        <v>2017</v>
      </c>
      <c r="H242" s="2">
        <f>'mpi_dataset_summary_2017-2024'!$G242-'mpi_dataset_summary_2017-2024'!$F242+1</f>
        <v>1</v>
      </c>
      <c r="I242" s="2" t="s">
        <v>2110</v>
      </c>
      <c r="J242" s="2" t="s">
        <v>2110</v>
      </c>
      <c r="K242" s="2">
        <f>IF('mpi_dataset_summary_2017-2024'!$G242=2024,1,0)</f>
        <v>0</v>
      </c>
      <c r="L242" s="2">
        <f t="shared" si="6"/>
        <v>1</v>
      </c>
      <c r="M242" s="2">
        <v>1000</v>
      </c>
      <c r="N242" s="2">
        <f t="shared" si="7"/>
        <v>0.80500000000000005</v>
      </c>
      <c r="O242" s="2">
        <v>55.646453999999999</v>
      </c>
      <c r="P242" s="2">
        <v>-111.129711</v>
      </c>
      <c r="Q242" s="2" t="s">
        <v>2108</v>
      </c>
      <c r="R242" s="3" t="s">
        <v>35</v>
      </c>
      <c r="S242" s="2" t="s">
        <v>22</v>
      </c>
      <c r="T242" s="2" t="s">
        <v>36</v>
      </c>
    </row>
    <row r="243" spans="1:20" x14ac:dyDescent="0.2">
      <c r="A243" s="2">
        <v>658</v>
      </c>
      <c r="B243" s="2" t="s">
        <v>465</v>
      </c>
      <c r="C243" s="2" t="s">
        <v>521</v>
      </c>
      <c r="D243" s="2" t="s">
        <v>161</v>
      </c>
      <c r="E243" s="2" t="s">
        <v>20</v>
      </c>
      <c r="F243" s="2">
        <v>2017</v>
      </c>
      <c r="G243" s="2">
        <v>2019</v>
      </c>
      <c r="H243" s="2">
        <f>'mpi_dataset_summary_2017-2024'!$G243-'mpi_dataset_summary_2017-2024'!$F243+1</f>
        <v>3</v>
      </c>
      <c r="I243" s="2" t="s">
        <v>2110</v>
      </c>
      <c r="J243" s="2" t="s">
        <v>2110</v>
      </c>
      <c r="K243" s="2">
        <f>IF('mpi_dataset_summary_2017-2024'!$G243=2024,1,0)</f>
        <v>0</v>
      </c>
      <c r="L243" s="2">
        <f t="shared" si="6"/>
        <v>1</v>
      </c>
      <c r="M243" s="2">
        <v>1200</v>
      </c>
      <c r="N243" s="2">
        <f t="shared" si="7"/>
        <v>0.82899999999999996</v>
      </c>
      <c r="O243" s="2">
        <v>44.144500000000001</v>
      </c>
      <c r="P243" s="2">
        <v>-76.848200000000006</v>
      </c>
      <c r="Q243" s="2" t="s">
        <v>2108</v>
      </c>
      <c r="R243" s="3" t="s">
        <v>41</v>
      </c>
      <c r="S243" s="2" t="s">
        <v>25</v>
      </c>
      <c r="T243" s="2" t="s">
        <v>46</v>
      </c>
    </row>
    <row r="244" spans="1:20" x14ac:dyDescent="0.2">
      <c r="A244" s="2">
        <v>659</v>
      </c>
      <c r="B244" s="2" t="s">
        <v>465</v>
      </c>
      <c r="C244" s="2" t="s">
        <v>522</v>
      </c>
      <c r="D244" s="2" t="s">
        <v>66</v>
      </c>
      <c r="E244" s="2" t="s">
        <v>20</v>
      </c>
      <c r="F244" s="2">
        <v>2017</v>
      </c>
      <c r="G244" s="2">
        <v>2021</v>
      </c>
      <c r="H244" s="2">
        <f>'mpi_dataset_summary_2017-2024'!$G244-'mpi_dataset_summary_2017-2024'!$F244+1</f>
        <v>5</v>
      </c>
      <c r="I244" s="2" t="s">
        <v>2110</v>
      </c>
      <c r="J244" s="2" t="s">
        <v>2113</v>
      </c>
      <c r="K244" s="2">
        <f>IF('mpi_dataset_summary_2017-2024'!$G244=2024,1,0)</f>
        <v>0</v>
      </c>
      <c r="L244" s="2">
        <f t="shared" si="6"/>
        <v>0</v>
      </c>
      <c r="M244" s="2">
        <v>900</v>
      </c>
      <c r="N244" s="2">
        <f t="shared" si="7"/>
        <v>0.79400000000000004</v>
      </c>
      <c r="O244" s="2">
        <v>53.785041999999997</v>
      </c>
      <c r="P244" s="2">
        <v>-113.066024</v>
      </c>
      <c r="Q244" s="2" t="s">
        <v>2108</v>
      </c>
      <c r="R244" s="3" t="s">
        <v>35</v>
      </c>
      <c r="S244" s="2" t="s">
        <v>22</v>
      </c>
      <c r="T244" s="2" t="s">
        <v>36</v>
      </c>
    </row>
    <row r="245" spans="1:20" x14ac:dyDescent="0.2">
      <c r="A245" s="2">
        <v>660</v>
      </c>
      <c r="B245" s="2" t="s">
        <v>523</v>
      </c>
      <c r="C245" s="2" t="s">
        <v>524</v>
      </c>
      <c r="D245" s="2" t="s">
        <v>66</v>
      </c>
      <c r="E245" s="2" t="s">
        <v>20</v>
      </c>
      <c r="F245" s="2">
        <v>2017</v>
      </c>
      <c r="G245" s="2">
        <v>2021</v>
      </c>
      <c r="H245" s="2">
        <f>'mpi_dataset_summary_2017-2024'!$G245-'mpi_dataset_summary_2017-2024'!$F245+1</f>
        <v>5</v>
      </c>
      <c r="I245" s="2" t="s">
        <v>2113</v>
      </c>
      <c r="J245" s="2" t="s">
        <v>2110</v>
      </c>
      <c r="K245" s="2">
        <f>IF('mpi_dataset_summary_2017-2024'!$G245=2024,1,0)</f>
        <v>0</v>
      </c>
      <c r="L245" s="2">
        <f t="shared" si="6"/>
        <v>1</v>
      </c>
      <c r="M245" s="2">
        <v>700</v>
      </c>
      <c r="N245" s="2">
        <f t="shared" si="7"/>
        <v>0.74299999999999999</v>
      </c>
      <c r="O245" s="2" t="s">
        <v>2114</v>
      </c>
      <c r="P245" s="2" t="s">
        <v>2114</v>
      </c>
      <c r="Q245" s="2" t="s">
        <v>2108</v>
      </c>
      <c r="R245" s="3" t="s">
        <v>35</v>
      </c>
      <c r="S245" s="2" t="s">
        <v>22</v>
      </c>
      <c r="T245" s="2" t="s">
        <v>36</v>
      </c>
    </row>
    <row r="246" spans="1:20" x14ac:dyDescent="0.2">
      <c r="A246" s="2">
        <v>662</v>
      </c>
      <c r="B246" s="2" t="s">
        <v>525</v>
      </c>
      <c r="C246" s="2" t="s">
        <v>526</v>
      </c>
      <c r="D246" s="2" t="s">
        <v>66</v>
      </c>
      <c r="E246" s="2" t="s">
        <v>20</v>
      </c>
      <c r="F246" s="2">
        <v>2017</v>
      </c>
      <c r="G246" s="2">
        <v>2022</v>
      </c>
      <c r="H246" s="2">
        <f>'mpi_dataset_summary_2017-2024'!$G246-'mpi_dataset_summary_2017-2024'!$F246+1</f>
        <v>6</v>
      </c>
      <c r="I246" s="2" t="s">
        <v>2112</v>
      </c>
      <c r="J246" s="2" t="s">
        <v>2112</v>
      </c>
      <c r="K246" s="2">
        <f>IF('mpi_dataset_summary_2017-2024'!$G246=2024,1,0)</f>
        <v>0</v>
      </c>
      <c r="L246" s="2">
        <f t="shared" si="6"/>
        <v>0</v>
      </c>
      <c r="M246" s="2">
        <v>390</v>
      </c>
      <c r="N246" s="2">
        <f t="shared" si="7"/>
        <v>0.63200000000000001</v>
      </c>
      <c r="O246" s="2">
        <v>57.360000610351598</v>
      </c>
      <c r="P246" s="2">
        <v>-112.709999084473</v>
      </c>
      <c r="Q246" s="2" t="s">
        <v>2108</v>
      </c>
      <c r="R246" s="3" t="s">
        <v>39</v>
      </c>
      <c r="S246" s="2" t="s">
        <v>22</v>
      </c>
      <c r="T246" s="2" t="s">
        <v>40</v>
      </c>
    </row>
    <row r="247" spans="1:20" x14ac:dyDescent="0.2">
      <c r="A247" s="2">
        <v>668</v>
      </c>
      <c r="B247" s="2" t="s">
        <v>527</v>
      </c>
      <c r="C247" s="2" t="s">
        <v>528</v>
      </c>
      <c r="D247" s="2" t="s">
        <v>66</v>
      </c>
      <c r="E247" s="2" t="s">
        <v>20</v>
      </c>
      <c r="F247" s="2">
        <v>2017</v>
      </c>
      <c r="G247" s="2">
        <v>2020</v>
      </c>
      <c r="H247" s="2">
        <f>'mpi_dataset_summary_2017-2024'!$G247-'mpi_dataset_summary_2017-2024'!$F247+1</f>
        <v>4</v>
      </c>
      <c r="I247" s="2" t="s">
        <v>2113</v>
      </c>
      <c r="J247" s="2" t="s">
        <v>2113</v>
      </c>
      <c r="K247" s="2">
        <f>IF('mpi_dataset_summary_2017-2024'!$G247=2024,1,0)</f>
        <v>0</v>
      </c>
      <c r="L247" s="2">
        <f t="shared" si="6"/>
        <v>0</v>
      </c>
      <c r="M247" s="2">
        <v>200</v>
      </c>
      <c r="N247" s="2">
        <f t="shared" si="7"/>
        <v>0.49099999999999999</v>
      </c>
      <c r="O247" s="2">
        <v>49.896076999999998</v>
      </c>
      <c r="P247" s="2">
        <v>-110.867664</v>
      </c>
      <c r="Q247" s="2" t="s">
        <v>2108</v>
      </c>
      <c r="R247" s="3" t="s">
        <v>24</v>
      </c>
      <c r="S247" s="2" t="s">
        <v>25</v>
      </c>
      <c r="T247" s="2" t="s">
        <v>26</v>
      </c>
    </row>
    <row r="248" spans="1:20" x14ac:dyDescent="0.2">
      <c r="A248" s="2">
        <v>669</v>
      </c>
      <c r="B248" s="2" t="s">
        <v>529</v>
      </c>
      <c r="C248" s="2" t="s">
        <v>530</v>
      </c>
      <c r="D248" s="2" t="s">
        <v>161</v>
      </c>
      <c r="E248" s="2" t="s">
        <v>20</v>
      </c>
      <c r="F248" s="2">
        <v>2017</v>
      </c>
      <c r="G248" s="2">
        <v>2017</v>
      </c>
      <c r="H248" s="2">
        <f>'mpi_dataset_summary_2017-2024'!$G248-'mpi_dataset_summary_2017-2024'!$F248+1</f>
        <v>1</v>
      </c>
      <c r="I248" s="2" t="s">
        <v>2111</v>
      </c>
      <c r="J248" s="2" t="s">
        <v>2111</v>
      </c>
      <c r="K248" s="2">
        <f>IF('mpi_dataset_summary_2017-2024'!$G248=2024,1,0)</f>
        <v>0</v>
      </c>
      <c r="L248" s="2">
        <f t="shared" si="6"/>
        <v>0</v>
      </c>
      <c r="M248" s="2">
        <v>200</v>
      </c>
      <c r="N248" s="2">
        <f t="shared" si="7"/>
        <v>0.49099999999999999</v>
      </c>
      <c r="O248" s="2">
        <v>43.868006000000001</v>
      </c>
      <c r="P248" s="2">
        <v>-78.823288000000005</v>
      </c>
      <c r="Q248" s="2" t="s">
        <v>2108</v>
      </c>
      <c r="R248" s="3" t="s">
        <v>44</v>
      </c>
      <c r="S248" s="2" t="s">
        <v>25</v>
      </c>
      <c r="T248" s="2" t="s">
        <v>45</v>
      </c>
    </row>
    <row r="249" spans="1:20" x14ac:dyDescent="0.2">
      <c r="A249" s="2">
        <v>671</v>
      </c>
      <c r="B249" s="2" t="s">
        <v>531</v>
      </c>
      <c r="C249" s="2" t="s">
        <v>532</v>
      </c>
      <c r="D249" s="2" t="s">
        <v>66</v>
      </c>
      <c r="E249" s="2" t="s">
        <v>20</v>
      </c>
      <c r="F249" s="2">
        <v>2017</v>
      </c>
      <c r="G249" s="2">
        <v>2017</v>
      </c>
      <c r="H249" s="2">
        <f>'mpi_dataset_summary_2017-2024'!$G249-'mpi_dataset_summary_2017-2024'!$F249+1</f>
        <v>1</v>
      </c>
      <c r="I249" s="2" t="s">
        <v>2110</v>
      </c>
      <c r="J249" s="2" t="s">
        <v>2110</v>
      </c>
      <c r="K249" s="2">
        <f>IF('mpi_dataset_summary_2017-2024'!$G249=2024,1,0)</f>
        <v>0</v>
      </c>
      <c r="L249" s="2">
        <f t="shared" si="6"/>
        <v>1</v>
      </c>
      <c r="M249" s="2">
        <v>170</v>
      </c>
      <c r="N249" s="2">
        <f t="shared" si="7"/>
        <v>0.46500000000000002</v>
      </c>
      <c r="O249" s="2">
        <v>53.556136000000002</v>
      </c>
      <c r="P249" s="2">
        <v>-116.772683</v>
      </c>
      <c r="Q249" s="2" t="s">
        <v>2108</v>
      </c>
      <c r="R249" s="3" t="s">
        <v>39</v>
      </c>
      <c r="S249" s="2" t="s">
        <v>22</v>
      </c>
      <c r="T249" s="2" t="s">
        <v>40</v>
      </c>
    </row>
    <row r="250" spans="1:20" x14ac:dyDescent="0.2">
      <c r="A250" s="2">
        <v>679</v>
      </c>
      <c r="B250" s="2" t="s">
        <v>533</v>
      </c>
      <c r="C250" s="2" t="s">
        <v>534</v>
      </c>
      <c r="D250" s="2" t="s">
        <v>66</v>
      </c>
      <c r="E250" s="2" t="s">
        <v>20</v>
      </c>
      <c r="F250" s="2">
        <v>2017</v>
      </c>
      <c r="G250" s="2">
        <v>2018</v>
      </c>
      <c r="H250" s="2">
        <f>'mpi_dataset_summary_2017-2024'!$G250-'mpi_dataset_summary_2017-2024'!$F250+1</f>
        <v>2</v>
      </c>
      <c r="I250" s="2" t="s">
        <v>2111</v>
      </c>
      <c r="J250" s="2" t="s">
        <v>2111</v>
      </c>
      <c r="K250" s="2">
        <f>IF('mpi_dataset_summary_2017-2024'!$G250=2024,1,0)</f>
        <v>0</v>
      </c>
      <c r="L250" s="2">
        <f t="shared" si="6"/>
        <v>0</v>
      </c>
      <c r="M250" s="2">
        <v>100</v>
      </c>
      <c r="N250" s="2">
        <f t="shared" si="7"/>
        <v>0.34300000000000003</v>
      </c>
      <c r="O250" s="2">
        <v>53.550699999999999</v>
      </c>
      <c r="P250" s="2">
        <v>-113.3672</v>
      </c>
      <c r="Q250" s="2" t="s">
        <v>2108</v>
      </c>
      <c r="R250" s="3" t="s">
        <v>37</v>
      </c>
      <c r="S250" s="2" t="s">
        <v>22</v>
      </c>
      <c r="T250" s="2" t="s">
        <v>38</v>
      </c>
    </row>
    <row r="251" spans="1:20" x14ac:dyDescent="0.2">
      <c r="A251" s="2">
        <v>684</v>
      </c>
      <c r="B251" s="2" t="s">
        <v>283</v>
      </c>
      <c r="C251" s="2" t="s">
        <v>535</v>
      </c>
      <c r="D251" s="2" t="s">
        <v>66</v>
      </c>
      <c r="E251" s="2" t="s">
        <v>20</v>
      </c>
      <c r="F251" s="2">
        <v>2017</v>
      </c>
      <c r="G251" s="2">
        <v>2024</v>
      </c>
      <c r="H251" s="2">
        <f>'mpi_dataset_summary_2017-2024'!$G251-'mpi_dataset_summary_2017-2024'!$F251+1</f>
        <v>8</v>
      </c>
      <c r="I251" s="2" t="s">
        <v>2112</v>
      </c>
      <c r="J251" s="2" t="s">
        <v>2113</v>
      </c>
      <c r="K251" s="2">
        <f>IF('mpi_dataset_summary_2017-2024'!$G251=2024,1,0)</f>
        <v>1</v>
      </c>
      <c r="L251" s="2">
        <f t="shared" si="6"/>
        <v>0</v>
      </c>
      <c r="M251" s="2">
        <v>3200</v>
      </c>
      <c r="N251" s="2">
        <f t="shared" si="7"/>
        <v>0.92200000000000004</v>
      </c>
      <c r="O251" s="2">
        <v>56.688999176025398</v>
      </c>
      <c r="P251" s="2">
        <v>-113.130996704102</v>
      </c>
      <c r="Q251" s="2" t="s">
        <v>2108</v>
      </c>
      <c r="R251" s="3" t="s">
        <v>39</v>
      </c>
      <c r="S251" s="2" t="s">
        <v>22</v>
      </c>
      <c r="T251" s="2" t="s">
        <v>40</v>
      </c>
    </row>
    <row r="252" spans="1:20" x14ac:dyDescent="0.2">
      <c r="A252" s="2">
        <v>685</v>
      </c>
      <c r="B252" s="2" t="s">
        <v>536</v>
      </c>
      <c r="C252" s="2" t="s">
        <v>537</v>
      </c>
      <c r="D252" s="2" t="s">
        <v>161</v>
      </c>
      <c r="E252" s="2" t="s">
        <v>20</v>
      </c>
      <c r="F252" s="2">
        <v>2017</v>
      </c>
      <c r="G252" s="2">
        <v>2020</v>
      </c>
      <c r="H252" s="2">
        <f>'mpi_dataset_summary_2017-2024'!$G252-'mpi_dataset_summary_2017-2024'!$F252+1</f>
        <v>4</v>
      </c>
      <c r="I252" s="2" t="s">
        <v>2112</v>
      </c>
      <c r="J252" s="2" t="s">
        <v>2112</v>
      </c>
      <c r="K252" s="2">
        <f>IF('mpi_dataset_summary_2017-2024'!$G252=2024,1,0)</f>
        <v>0</v>
      </c>
      <c r="L252" s="2">
        <f t="shared" si="6"/>
        <v>0</v>
      </c>
      <c r="M252" s="2">
        <v>0</v>
      </c>
      <c r="N252" s="2">
        <f t="shared" si="7"/>
        <v>0</v>
      </c>
      <c r="O252" s="2">
        <v>48.359132799999998</v>
      </c>
      <c r="P252" s="2">
        <v>-89.233413900000002</v>
      </c>
      <c r="Q252" s="2" t="s">
        <v>2109</v>
      </c>
      <c r="R252" s="3" t="s">
        <v>41</v>
      </c>
      <c r="S252" s="2" t="s">
        <v>25</v>
      </c>
      <c r="T252" s="2" t="s">
        <v>57</v>
      </c>
    </row>
    <row r="253" spans="1:20" x14ac:dyDescent="0.2">
      <c r="A253" s="2">
        <v>688</v>
      </c>
      <c r="B253" s="2" t="s">
        <v>538</v>
      </c>
      <c r="C253" s="2" t="s">
        <v>539</v>
      </c>
      <c r="D253" s="2" t="s">
        <v>69</v>
      </c>
      <c r="E253" s="2" t="s">
        <v>20</v>
      </c>
      <c r="F253" s="2">
        <v>2017</v>
      </c>
      <c r="G253" s="2">
        <v>2024</v>
      </c>
      <c r="H253" s="2">
        <f>'mpi_dataset_summary_2017-2024'!$G253-'mpi_dataset_summary_2017-2024'!$F253+1</f>
        <v>8</v>
      </c>
      <c r="I253" s="2" t="s">
        <v>2112</v>
      </c>
      <c r="J253" s="2" t="s">
        <v>2113</v>
      </c>
      <c r="K253" s="2">
        <f>IF('mpi_dataset_summary_2017-2024'!$G253=2024,1,0)</f>
        <v>1</v>
      </c>
      <c r="L253" s="2">
        <f t="shared" si="6"/>
        <v>0</v>
      </c>
      <c r="M253" s="2">
        <v>130</v>
      </c>
      <c r="N253" s="2">
        <f t="shared" si="7"/>
        <v>0.41199999999999998</v>
      </c>
      <c r="O253" s="2">
        <v>54.052936000000003</v>
      </c>
      <c r="P253" s="2">
        <v>-122.285282</v>
      </c>
      <c r="Q253" s="2" t="s">
        <v>2107</v>
      </c>
      <c r="R253" s="3" t="s">
        <v>41</v>
      </c>
      <c r="S253" s="2" t="s">
        <v>22</v>
      </c>
      <c r="T253" s="2" t="s">
        <v>42</v>
      </c>
    </row>
    <row r="254" spans="1:20" x14ac:dyDescent="0.2">
      <c r="A254" s="2">
        <v>689</v>
      </c>
      <c r="B254" s="2" t="s">
        <v>540</v>
      </c>
      <c r="C254" s="2" t="s">
        <v>541</v>
      </c>
      <c r="D254" s="2" t="s">
        <v>69</v>
      </c>
      <c r="E254" s="2" t="s">
        <v>20</v>
      </c>
      <c r="F254" s="2">
        <v>2017</v>
      </c>
      <c r="G254" s="2">
        <v>2023</v>
      </c>
      <c r="H254" s="2">
        <f>'mpi_dataset_summary_2017-2024'!$G254-'mpi_dataset_summary_2017-2024'!$F254+1</f>
        <v>7</v>
      </c>
      <c r="I254" s="2" t="s">
        <v>2112</v>
      </c>
      <c r="J254" s="2" t="s">
        <v>2112</v>
      </c>
      <c r="K254" s="2">
        <f>IF('mpi_dataset_summary_2017-2024'!$G254=2024,1,0)</f>
        <v>0</v>
      </c>
      <c r="L254" s="2">
        <f t="shared" si="6"/>
        <v>0</v>
      </c>
      <c r="M254" s="2">
        <v>56</v>
      </c>
      <c r="N254" s="2">
        <f t="shared" si="7"/>
        <v>0.247</v>
      </c>
      <c r="O254" s="2">
        <v>53.926988000000001</v>
      </c>
      <c r="P254" s="2">
        <v>-124.089095</v>
      </c>
      <c r="Q254" s="2" t="s">
        <v>2108</v>
      </c>
      <c r="R254" s="3" t="s">
        <v>24</v>
      </c>
      <c r="S254" s="2" t="s">
        <v>25</v>
      </c>
      <c r="T254" s="2" t="s">
        <v>26</v>
      </c>
    </row>
    <row r="255" spans="1:20" x14ac:dyDescent="0.2">
      <c r="A255" s="2">
        <v>690</v>
      </c>
      <c r="B255" s="2" t="s">
        <v>146</v>
      </c>
      <c r="C255" s="2" t="s">
        <v>542</v>
      </c>
      <c r="D255" s="2" t="s">
        <v>69</v>
      </c>
      <c r="E255" s="2" t="s">
        <v>20</v>
      </c>
      <c r="F255" s="2">
        <v>2019</v>
      </c>
      <c r="G255" s="2">
        <v>2019</v>
      </c>
      <c r="H255" s="2">
        <f>'mpi_dataset_summary_2017-2024'!$G255-'mpi_dataset_summary_2017-2024'!$F255+1</f>
        <v>1</v>
      </c>
      <c r="I255" s="2" t="s">
        <v>2111</v>
      </c>
      <c r="J255" s="2" t="s">
        <v>2111</v>
      </c>
      <c r="K255" s="2">
        <f>IF('mpi_dataset_summary_2017-2024'!$G255=2024,1,0)</f>
        <v>0</v>
      </c>
      <c r="L255" s="2">
        <f t="shared" si="6"/>
        <v>0</v>
      </c>
      <c r="M255" s="2">
        <v>25</v>
      </c>
      <c r="N255" s="2">
        <f t="shared" si="7"/>
        <v>0.125</v>
      </c>
      <c r="O255" s="2">
        <v>49.281700000000001</v>
      </c>
      <c r="P255" s="2">
        <v>-121.9308</v>
      </c>
      <c r="Q255" s="2" t="s">
        <v>2108</v>
      </c>
      <c r="R255" s="3" t="s">
        <v>24</v>
      </c>
      <c r="S255" s="2" t="s">
        <v>25</v>
      </c>
      <c r="T255" s="2" t="s">
        <v>26</v>
      </c>
    </row>
    <row r="256" spans="1:20" x14ac:dyDescent="0.2">
      <c r="A256" s="2">
        <v>691</v>
      </c>
      <c r="B256" s="2" t="s">
        <v>543</v>
      </c>
      <c r="C256" s="2" t="s">
        <v>544</v>
      </c>
      <c r="D256" s="2" t="s">
        <v>69</v>
      </c>
      <c r="E256" s="2" t="s">
        <v>20</v>
      </c>
      <c r="F256" s="2">
        <v>2018</v>
      </c>
      <c r="G256" s="2">
        <v>2018</v>
      </c>
      <c r="H256" s="2">
        <f>'mpi_dataset_summary_2017-2024'!$G256-'mpi_dataset_summary_2017-2024'!$F256+1</f>
        <v>1</v>
      </c>
      <c r="I256" s="2" t="s">
        <v>2112</v>
      </c>
      <c r="J256" s="2" t="s">
        <v>2112</v>
      </c>
      <c r="K256" s="2">
        <f>IF('mpi_dataset_summary_2017-2024'!$G256=2024,1,0)</f>
        <v>0</v>
      </c>
      <c r="L256" s="2">
        <f t="shared" si="6"/>
        <v>0</v>
      </c>
      <c r="M256" s="2">
        <v>600</v>
      </c>
      <c r="N256" s="2">
        <f t="shared" si="7"/>
        <v>0.71399999999999997</v>
      </c>
      <c r="O256" s="2">
        <v>55.334152000000003</v>
      </c>
      <c r="P256" s="2">
        <v>-121.100275</v>
      </c>
      <c r="Q256" s="2" t="s">
        <v>2108</v>
      </c>
      <c r="R256" s="3" t="s">
        <v>24</v>
      </c>
      <c r="S256" s="2" t="s">
        <v>25</v>
      </c>
      <c r="T256" s="2" t="s">
        <v>26</v>
      </c>
    </row>
    <row r="257" spans="1:20" x14ac:dyDescent="0.2">
      <c r="A257" s="2">
        <v>692</v>
      </c>
      <c r="B257" s="2" t="s">
        <v>545</v>
      </c>
      <c r="C257" s="2" t="s">
        <v>546</v>
      </c>
      <c r="D257" s="2" t="s">
        <v>69</v>
      </c>
      <c r="E257" s="2" t="s">
        <v>20</v>
      </c>
      <c r="F257" s="2">
        <v>2017</v>
      </c>
      <c r="G257" s="2">
        <v>2024</v>
      </c>
      <c r="H257" s="2">
        <f>'mpi_dataset_summary_2017-2024'!$G257-'mpi_dataset_summary_2017-2024'!$F257+1</f>
        <v>8</v>
      </c>
      <c r="I257" s="2" t="s">
        <v>2112</v>
      </c>
      <c r="J257" s="2" t="s">
        <v>2112</v>
      </c>
      <c r="K257" s="2">
        <f>IF('mpi_dataset_summary_2017-2024'!$G257=2024,1,0)</f>
        <v>1</v>
      </c>
      <c r="L257" s="2">
        <f t="shared" si="6"/>
        <v>0</v>
      </c>
      <c r="M257" s="2">
        <v>900</v>
      </c>
      <c r="N257" s="2">
        <f t="shared" si="7"/>
        <v>0.79400000000000004</v>
      </c>
      <c r="O257" s="2">
        <v>55.999946999999999</v>
      </c>
      <c r="P257" s="2">
        <v>-120.76404599999999</v>
      </c>
      <c r="Q257" s="2" t="s">
        <v>2108</v>
      </c>
      <c r="R257" s="3" t="s">
        <v>24</v>
      </c>
      <c r="S257" s="2" t="s">
        <v>25</v>
      </c>
      <c r="T257" s="2" t="s">
        <v>26</v>
      </c>
    </row>
    <row r="258" spans="1:20" x14ac:dyDescent="0.2">
      <c r="A258" s="2">
        <v>693</v>
      </c>
      <c r="B258" s="2" t="s">
        <v>547</v>
      </c>
      <c r="C258" s="2" t="s">
        <v>548</v>
      </c>
      <c r="D258" s="2" t="s">
        <v>66</v>
      </c>
      <c r="E258" s="2" t="s">
        <v>20</v>
      </c>
      <c r="F258" s="2">
        <v>2017</v>
      </c>
      <c r="G258" s="2">
        <v>2024</v>
      </c>
      <c r="H258" s="2">
        <f>'mpi_dataset_summary_2017-2024'!$G258-'mpi_dataset_summary_2017-2024'!$F258+1</f>
        <v>8</v>
      </c>
      <c r="I258" s="2" t="s">
        <v>2112</v>
      </c>
      <c r="J258" s="2" t="s">
        <v>2111</v>
      </c>
      <c r="K258" s="2">
        <f>IF('mpi_dataset_summary_2017-2024'!$G258=2024,1,0)</f>
        <v>1</v>
      </c>
      <c r="L258" s="2">
        <f t="shared" ref="L258:L321" si="8">IF(J258="Under Construction",1,0)</f>
        <v>0</v>
      </c>
      <c r="M258" s="2">
        <v>7000</v>
      </c>
      <c r="N258" s="2">
        <f t="shared" ref="N258:N321" si="9">_xlfn.PERCENTRANK.INC($M$2:$M$4056,M258)</f>
        <v>0.96499999999999997</v>
      </c>
      <c r="O258" s="2">
        <v>57.242381999999999</v>
      </c>
      <c r="P258" s="2">
        <v>-111.5391</v>
      </c>
      <c r="Q258" s="2" t="s">
        <v>2108</v>
      </c>
      <c r="R258" s="3" t="s">
        <v>39</v>
      </c>
      <c r="S258" s="2" t="s">
        <v>22</v>
      </c>
      <c r="T258" s="2" t="s">
        <v>40</v>
      </c>
    </row>
    <row r="259" spans="1:20" x14ac:dyDescent="0.2">
      <c r="A259" s="2">
        <v>694</v>
      </c>
      <c r="B259" s="2" t="s">
        <v>549</v>
      </c>
      <c r="C259" s="2" t="s">
        <v>550</v>
      </c>
      <c r="D259" s="2" t="s">
        <v>161</v>
      </c>
      <c r="E259" s="2" t="s">
        <v>20</v>
      </c>
      <c r="F259" s="2">
        <v>2017</v>
      </c>
      <c r="G259" s="2">
        <v>2019</v>
      </c>
      <c r="H259" s="2">
        <f>'mpi_dataset_summary_2017-2024'!$G259-'mpi_dataset_summary_2017-2024'!$F259+1</f>
        <v>3</v>
      </c>
      <c r="I259" s="2" t="s">
        <v>2110</v>
      </c>
      <c r="J259" s="2" t="s">
        <v>2110</v>
      </c>
      <c r="K259" s="2">
        <f>IF('mpi_dataset_summary_2017-2024'!$G259=2024,1,0)</f>
        <v>0</v>
      </c>
      <c r="L259" s="2">
        <f t="shared" si="8"/>
        <v>1</v>
      </c>
      <c r="M259" s="2">
        <v>535.78</v>
      </c>
      <c r="N259" s="2">
        <f t="shared" si="9"/>
        <v>0.70099999999999996</v>
      </c>
      <c r="O259" s="2">
        <v>51.0715</v>
      </c>
      <c r="P259" s="2">
        <v>-93.806799999999996</v>
      </c>
      <c r="Q259" s="2" t="s">
        <v>2107</v>
      </c>
      <c r="R259" s="3" t="s">
        <v>29</v>
      </c>
      <c r="S259" s="2" t="s">
        <v>22</v>
      </c>
      <c r="T259" s="2" t="s">
        <v>30</v>
      </c>
    </row>
    <row r="260" spans="1:20" x14ac:dyDescent="0.2">
      <c r="A260" s="2">
        <v>695</v>
      </c>
      <c r="B260" s="2" t="s">
        <v>461</v>
      </c>
      <c r="C260" s="2" t="s">
        <v>551</v>
      </c>
      <c r="D260" s="2" t="s">
        <v>161</v>
      </c>
      <c r="E260" s="2" t="s">
        <v>20</v>
      </c>
      <c r="F260" s="2">
        <v>2017</v>
      </c>
      <c r="G260" s="2">
        <v>2017</v>
      </c>
      <c r="H260" s="2">
        <f>'mpi_dataset_summary_2017-2024'!$G260-'mpi_dataset_summary_2017-2024'!$F260+1</f>
        <v>1</v>
      </c>
      <c r="I260" s="2" t="s">
        <v>2110</v>
      </c>
      <c r="J260" s="2" t="s">
        <v>2110</v>
      </c>
      <c r="K260" s="2">
        <f>IF('mpi_dataset_summary_2017-2024'!$G260=2024,1,0)</f>
        <v>0</v>
      </c>
      <c r="L260" s="2">
        <f t="shared" si="8"/>
        <v>1</v>
      </c>
      <c r="M260" s="2">
        <v>900</v>
      </c>
      <c r="N260" s="2">
        <f t="shared" si="9"/>
        <v>0.79400000000000004</v>
      </c>
      <c r="O260" s="2">
        <v>43.679124999999999</v>
      </c>
      <c r="P260" s="2">
        <v>-79.406582</v>
      </c>
      <c r="Q260" s="2" t="s">
        <v>2108</v>
      </c>
      <c r="R260" s="3" t="s">
        <v>35</v>
      </c>
      <c r="S260" s="2" t="s">
        <v>22</v>
      </c>
      <c r="T260" s="2" t="s">
        <v>36</v>
      </c>
    </row>
    <row r="261" spans="1:20" x14ac:dyDescent="0.2">
      <c r="A261" s="2">
        <v>697</v>
      </c>
      <c r="B261" s="2" t="s">
        <v>552</v>
      </c>
      <c r="C261" s="2" t="s">
        <v>553</v>
      </c>
      <c r="D261" s="2" t="s">
        <v>83</v>
      </c>
      <c r="E261" s="2" t="s">
        <v>20</v>
      </c>
      <c r="F261" s="2">
        <v>2017</v>
      </c>
      <c r="G261" s="2">
        <v>2024</v>
      </c>
      <c r="H261" s="2">
        <f>'mpi_dataset_summary_2017-2024'!$G261-'mpi_dataset_summary_2017-2024'!$F261+1</f>
        <v>8</v>
      </c>
      <c r="I261" s="2" t="s">
        <v>2111</v>
      </c>
      <c r="J261" s="2" t="s">
        <v>2110</v>
      </c>
      <c r="K261" s="2">
        <f>IF('mpi_dataset_summary_2017-2024'!$G261=2024,1,0)</f>
        <v>1</v>
      </c>
      <c r="L261" s="2">
        <f t="shared" si="8"/>
        <v>1</v>
      </c>
      <c r="M261" s="2">
        <v>3800</v>
      </c>
      <c r="N261" s="2">
        <f t="shared" si="9"/>
        <v>0.93500000000000005</v>
      </c>
      <c r="O261" s="2">
        <v>46.471899999999998</v>
      </c>
      <c r="P261" s="2">
        <v>-48.005400000000002</v>
      </c>
      <c r="Q261" s="2" t="s">
        <v>2108</v>
      </c>
      <c r="R261" s="3" t="s">
        <v>24</v>
      </c>
      <c r="S261" s="2" t="s">
        <v>25</v>
      </c>
      <c r="T261" s="2" t="s">
        <v>26</v>
      </c>
    </row>
    <row r="262" spans="1:20" x14ac:dyDescent="0.2">
      <c r="A262" s="2">
        <v>703</v>
      </c>
      <c r="B262" s="2" t="s">
        <v>554</v>
      </c>
      <c r="C262" s="2" t="s">
        <v>555</v>
      </c>
      <c r="D262" s="2" t="s">
        <v>89</v>
      </c>
      <c r="E262" s="2" t="s">
        <v>20</v>
      </c>
      <c r="F262" s="2">
        <v>2017</v>
      </c>
      <c r="G262" s="2">
        <v>2024</v>
      </c>
      <c r="H262" s="2">
        <f>'mpi_dataset_summary_2017-2024'!$G262-'mpi_dataset_summary_2017-2024'!$F262+1</f>
        <v>8</v>
      </c>
      <c r="I262" s="2" t="s">
        <v>2110</v>
      </c>
      <c r="J262" s="2" t="s">
        <v>2110</v>
      </c>
      <c r="K262" s="2">
        <f>IF('mpi_dataset_summary_2017-2024'!$G262=2024,1,0)</f>
        <v>1</v>
      </c>
      <c r="L262" s="2">
        <f t="shared" si="8"/>
        <v>1</v>
      </c>
      <c r="M262" s="2">
        <v>1200</v>
      </c>
      <c r="N262" s="2">
        <f t="shared" si="9"/>
        <v>0.82899999999999996</v>
      </c>
      <c r="O262" s="2">
        <v>45.681215000000002</v>
      </c>
      <c r="P262" s="2">
        <v>-73.435091999999997</v>
      </c>
      <c r="Q262" s="2" t="s">
        <v>2108</v>
      </c>
      <c r="R262" s="3" t="s">
        <v>44</v>
      </c>
      <c r="S262" s="2" t="s">
        <v>25</v>
      </c>
      <c r="T262" s="2" t="s">
        <v>45</v>
      </c>
    </row>
    <row r="263" spans="1:20" x14ac:dyDescent="0.2">
      <c r="A263" s="2">
        <v>706</v>
      </c>
      <c r="B263" s="2" t="s">
        <v>556</v>
      </c>
      <c r="C263" s="2" t="s">
        <v>557</v>
      </c>
      <c r="D263" s="2" t="s">
        <v>69</v>
      </c>
      <c r="E263" s="2" t="s">
        <v>20</v>
      </c>
      <c r="F263" s="2">
        <v>2017</v>
      </c>
      <c r="G263" s="2">
        <v>2021</v>
      </c>
      <c r="H263" s="2">
        <f>'mpi_dataset_summary_2017-2024'!$G263-'mpi_dataset_summary_2017-2024'!$F263+1</f>
        <v>5</v>
      </c>
      <c r="I263" s="2" t="s">
        <v>2112</v>
      </c>
      <c r="J263" s="2" t="s">
        <v>2111</v>
      </c>
      <c r="K263" s="2">
        <f>IF('mpi_dataset_summary_2017-2024'!$G263=2024,1,0)</f>
        <v>0</v>
      </c>
      <c r="L263" s="2">
        <f t="shared" si="8"/>
        <v>0</v>
      </c>
      <c r="M263" s="2">
        <v>2000</v>
      </c>
      <c r="N263" s="2">
        <f t="shared" si="9"/>
        <v>0.89400000000000002</v>
      </c>
      <c r="O263" s="2">
        <v>50.045676</v>
      </c>
      <c r="P263" s="2">
        <v>-125.27504</v>
      </c>
      <c r="Q263" s="2" t="s">
        <v>2108</v>
      </c>
      <c r="R263" s="3" t="s">
        <v>37</v>
      </c>
      <c r="S263" s="2" t="s">
        <v>22</v>
      </c>
      <c r="T263" s="2" t="s">
        <v>38</v>
      </c>
    </row>
    <row r="264" spans="1:20" x14ac:dyDescent="0.2">
      <c r="A264" s="2">
        <v>707</v>
      </c>
      <c r="B264" s="2" t="s">
        <v>558</v>
      </c>
      <c r="C264" s="2" t="s">
        <v>559</v>
      </c>
      <c r="D264" s="2" t="s">
        <v>69</v>
      </c>
      <c r="E264" s="2" t="s">
        <v>43</v>
      </c>
      <c r="F264" s="2">
        <v>2020</v>
      </c>
      <c r="G264" s="2">
        <v>2024</v>
      </c>
      <c r="H264" s="2">
        <f>'mpi_dataset_summary_2017-2024'!$G264-'mpi_dataset_summary_2017-2024'!$F264+1</f>
        <v>5</v>
      </c>
      <c r="I264" s="2" t="s">
        <v>2111</v>
      </c>
      <c r="J264" s="2" t="s">
        <v>2111</v>
      </c>
      <c r="K264" s="2">
        <f>IF('mpi_dataset_summary_2017-2024'!$G264=2024,1,0)</f>
        <v>1</v>
      </c>
      <c r="L264" s="2">
        <f t="shared" si="8"/>
        <v>0</v>
      </c>
      <c r="M264" s="2">
        <v>1600</v>
      </c>
      <c r="N264" s="2">
        <f t="shared" si="9"/>
        <v>0.873</v>
      </c>
      <c r="O264" s="2">
        <v>49.230013999999997</v>
      </c>
      <c r="P264" s="2">
        <v>-124.81106</v>
      </c>
      <c r="Q264" s="2" t="s">
        <v>2108</v>
      </c>
      <c r="R264" s="3" t="s">
        <v>37</v>
      </c>
      <c r="S264" s="2" t="s">
        <v>22</v>
      </c>
      <c r="T264" s="2" t="s">
        <v>38</v>
      </c>
    </row>
    <row r="265" spans="1:20" x14ac:dyDescent="0.2">
      <c r="A265" s="2">
        <v>708</v>
      </c>
      <c r="B265" s="2" t="s">
        <v>560</v>
      </c>
      <c r="C265" s="2" t="s">
        <v>561</v>
      </c>
      <c r="D265" s="2" t="s">
        <v>69</v>
      </c>
      <c r="E265" s="2" t="s">
        <v>20</v>
      </c>
      <c r="F265" s="2">
        <v>2017</v>
      </c>
      <c r="G265" s="2">
        <v>2018</v>
      </c>
      <c r="H265" s="2">
        <f>'mpi_dataset_summary_2017-2024'!$G265-'mpi_dataset_summary_2017-2024'!$F265+1</f>
        <v>2</v>
      </c>
      <c r="I265" s="2" t="s">
        <v>2110</v>
      </c>
      <c r="J265" s="2" t="s">
        <v>2110</v>
      </c>
      <c r="K265" s="2">
        <f>IF('mpi_dataset_summary_2017-2024'!$G265=2024,1,0)</f>
        <v>0</v>
      </c>
      <c r="L265" s="2">
        <f t="shared" si="8"/>
        <v>1</v>
      </c>
      <c r="M265" s="2">
        <v>400</v>
      </c>
      <c r="N265" s="2">
        <f t="shared" si="9"/>
        <v>0.63500000000000001</v>
      </c>
      <c r="O265" s="2">
        <v>49.144435999999999</v>
      </c>
      <c r="P265" s="2">
        <v>-123.024216</v>
      </c>
      <c r="Q265" s="2" t="s">
        <v>2108</v>
      </c>
      <c r="R265" s="3" t="s">
        <v>37</v>
      </c>
      <c r="S265" s="2" t="s">
        <v>22</v>
      </c>
      <c r="T265" s="2" t="s">
        <v>38</v>
      </c>
    </row>
    <row r="266" spans="1:20" x14ac:dyDescent="0.2">
      <c r="A266" s="2">
        <v>709</v>
      </c>
      <c r="B266" s="2" t="s">
        <v>562</v>
      </c>
      <c r="C266" s="2" t="s">
        <v>563</v>
      </c>
      <c r="D266" s="2" t="s">
        <v>69</v>
      </c>
      <c r="E266" s="2" t="s">
        <v>20</v>
      </c>
      <c r="F266" s="2">
        <v>2017</v>
      </c>
      <c r="G266" s="2">
        <v>2018</v>
      </c>
      <c r="H266" s="2">
        <f>'mpi_dataset_summary_2017-2024'!$G266-'mpi_dataset_summary_2017-2024'!$F266+1</f>
        <v>2</v>
      </c>
      <c r="I266" s="2" t="s">
        <v>2111</v>
      </c>
      <c r="J266" s="2" t="s">
        <v>2111</v>
      </c>
      <c r="K266" s="2">
        <f>IF('mpi_dataset_summary_2017-2024'!$G266=2024,1,0)</f>
        <v>0</v>
      </c>
      <c r="L266" s="2">
        <f t="shared" si="8"/>
        <v>0</v>
      </c>
      <c r="M266" s="2">
        <v>750</v>
      </c>
      <c r="N266" s="2">
        <f t="shared" si="9"/>
        <v>0.75700000000000001</v>
      </c>
      <c r="O266" s="2">
        <v>48.376863</v>
      </c>
      <c r="P266" s="2">
        <v>-123.73772599999999</v>
      </c>
      <c r="Q266" s="2" t="s">
        <v>2108</v>
      </c>
      <c r="R266" s="3" t="s">
        <v>24</v>
      </c>
      <c r="S266" s="2" t="s">
        <v>25</v>
      </c>
      <c r="T266" s="2" t="s">
        <v>26</v>
      </c>
    </row>
    <row r="267" spans="1:20" x14ac:dyDescent="0.2">
      <c r="A267" s="2">
        <v>712</v>
      </c>
      <c r="B267" s="2" t="s">
        <v>564</v>
      </c>
      <c r="C267" s="2" t="s">
        <v>565</v>
      </c>
      <c r="D267" s="2" t="s">
        <v>69</v>
      </c>
      <c r="E267" s="2" t="s">
        <v>20</v>
      </c>
      <c r="F267" s="2">
        <v>2017</v>
      </c>
      <c r="G267" s="2">
        <v>2023</v>
      </c>
      <c r="H267" s="2">
        <f>'mpi_dataset_summary_2017-2024'!$G267-'mpi_dataset_summary_2017-2024'!$F267+1</f>
        <v>7</v>
      </c>
      <c r="I267" s="2" t="s">
        <v>2111</v>
      </c>
      <c r="J267" s="2" t="s">
        <v>2112</v>
      </c>
      <c r="K267" s="2">
        <f>IF('mpi_dataset_summary_2017-2024'!$G267=2024,1,0)</f>
        <v>0</v>
      </c>
      <c r="L267" s="2">
        <f t="shared" si="8"/>
        <v>0</v>
      </c>
      <c r="M267" s="2">
        <v>120</v>
      </c>
      <c r="N267" s="2">
        <f t="shared" si="9"/>
        <v>0.38900000000000001</v>
      </c>
      <c r="O267" s="2">
        <v>54.324533000000002</v>
      </c>
      <c r="P267" s="2">
        <v>-130.32394400000001</v>
      </c>
      <c r="Q267" s="2" t="s">
        <v>2108</v>
      </c>
      <c r="R267" s="3" t="s">
        <v>24</v>
      </c>
      <c r="S267" s="2" t="s">
        <v>25</v>
      </c>
      <c r="T267" s="2" t="s">
        <v>26</v>
      </c>
    </row>
    <row r="268" spans="1:20" x14ac:dyDescent="0.2">
      <c r="A268" s="2">
        <v>713</v>
      </c>
      <c r="B268" s="2" t="s">
        <v>566</v>
      </c>
      <c r="C268" s="2" t="s">
        <v>567</v>
      </c>
      <c r="D268" s="2" t="s">
        <v>69</v>
      </c>
      <c r="E268" s="2" t="s">
        <v>20</v>
      </c>
      <c r="F268" s="2">
        <v>2017</v>
      </c>
      <c r="G268" s="2">
        <v>2022</v>
      </c>
      <c r="H268" s="2">
        <f>'mpi_dataset_summary_2017-2024'!$G268-'mpi_dataset_summary_2017-2024'!$F268+1</f>
        <v>6</v>
      </c>
      <c r="I268" s="2" t="s">
        <v>2112</v>
      </c>
      <c r="J268" s="2" t="s">
        <v>2112</v>
      </c>
      <c r="K268" s="2">
        <f>IF('mpi_dataset_summary_2017-2024'!$G268=2024,1,0)</f>
        <v>0</v>
      </c>
      <c r="L268" s="2">
        <f t="shared" si="8"/>
        <v>0</v>
      </c>
      <c r="M268" s="2">
        <v>1700</v>
      </c>
      <c r="N268" s="2">
        <f t="shared" si="9"/>
        <v>0.88400000000000001</v>
      </c>
      <c r="O268" s="2">
        <v>56.728622000000001</v>
      </c>
      <c r="P268" s="2">
        <v>-123.200684</v>
      </c>
      <c r="Q268" s="2" t="s">
        <v>2108</v>
      </c>
      <c r="R268" s="3" t="s">
        <v>35</v>
      </c>
      <c r="S268" s="2" t="s">
        <v>22</v>
      </c>
      <c r="T268" s="2" t="s">
        <v>36</v>
      </c>
    </row>
    <row r="269" spans="1:20" x14ac:dyDescent="0.2">
      <c r="A269" s="2">
        <v>714</v>
      </c>
      <c r="B269" s="2" t="s">
        <v>568</v>
      </c>
      <c r="C269" s="2" t="s">
        <v>569</v>
      </c>
      <c r="D269" s="2" t="s">
        <v>69</v>
      </c>
      <c r="E269" s="2" t="s">
        <v>20</v>
      </c>
      <c r="F269" s="2">
        <v>2017</v>
      </c>
      <c r="G269" s="2">
        <v>2023</v>
      </c>
      <c r="H269" s="2">
        <f>'mpi_dataset_summary_2017-2024'!$G269-'mpi_dataset_summary_2017-2024'!$F269+1</f>
        <v>7</v>
      </c>
      <c r="I269" s="2" t="s">
        <v>2111</v>
      </c>
      <c r="J269" s="2" t="s">
        <v>2111</v>
      </c>
      <c r="K269" s="2">
        <f>IF('mpi_dataset_summary_2017-2024'!$G269=2024,1,0)</f>
        <v>0</v>
      </c>
      <c r="L269" s="2">
        <f t="shared" si="8"/>
        <v>0</v>
      </c>
      <c r="M269" s="2">
        <v>150</v>
      </c>
      <c r="N269" s="2">
        <f t="shared" si="9"/>
        <v>0.442</v>
      </c>
      <c r="O269" s="2">
        <v>49.461987999999998</v>
      </c>
      <c r="P269" s="2">
        <v>-120.505943</v>
      </c>
      <c r="Q269" s="2" t="s">
        <v>2108</v>
      </c>
      <c r="R269" s="3" t="s">
        <v>24</v>
      </c>
      <c r="S269" s="2" t="s">
        <v>25</v>
      </c>
      <c r="T269" s="2" t="s">
        <v>26</v>
      </c>
    </row>
    <row r="270" spans="1:20" x14ac:dyDescent="0.2">
      <c r="A270" s="2">
        <v>718</v>
      </c>
      <c r="B270" s="2" t="s">
        <v>570</v>
      </c>
      <c r="C270" s="2" t="s">
        <v>571</v>
      </c>
      <c r="D270" s="2" t="s">
        <v>69</v>
      </c>
      <c r="E270" s="2" t="s">
        <v>20</v>
      </c>
      <c r="F270" s="2">
        <v>2017</v>
      </c>
      <c r="G270" s="2">
        <v>2024</v>
      </c>
      <c r="H270" s="2">
        <f>'mpi_dataset_summary_2017-2024'!$G270-'mpi_dataset_summary_2017-2024'!$F270+1</f>
        <v>8</v>
      </c>
      <c r="I270" s="2" t="s">
        <v>2111</v>
      </c>
      <c r="J270" s="2" t="s">
        <v>2112</v>
      </c>
      <c r="K270" s="2">
        <f>IF('mpi_dataset_summary_2017-2024'!$G270=2024,1,0)</f>
        <v>1</v>
      </c>
      <c r="L270" s="2">
        <f t="shared" si="8"/>
        <v>0</v>
      </c>
      <c r="M270" s="2">
        <v>22000</v>
      </c>
      <c r="N270" s="2">
        <f t="shared" si="9"/>
        <v>0.99399999999999999</v>
      </c>
      <c r="O270" s="2">
        <v>54.1666667</v>
      </c>
      <c r="P270" s="2">
        <v>-128.69999999999999</v>
      </c>
      <c r="Q270" s="2" t="s">
        <v>2108</v>
      </c>
      <c r="R270" s="3" t="s">
        <v>37</v>
      </c>
      <c r="S270" s="2" t="s">
        <v>22</v>
      </c>
      <c r="T270" s="2" t="s">
        <v>38</v>
      </c>
    </row>
    <row r="271" spans="1:20" x14ac:dyDescent="0.2">
      <c r="A271" s="2">
        <v>721</v>
      </c>
      <c r="B271" s="2" t="s">
        <v>104</v>
      </c>
      <c r="C271" s="2" t="s">
        <v>572</v>
      </c>
      <c r="D271" s="2" t="s">
        <v>69</v>
      </c>
      <c r="E271" s="2" t="s">
        <v>43</v>
      </c>
      <c r="F271" s="2">
        <v>2017</v>
      </c>
      <c r="G271" s="2">
        <v>2017</v>
      </c>
      <c r="H271" s="2">
        <f>'mpi_dataset_summary_2017-2024'!$G271-'mpi_dataset_summary_2017-2024'!$F271+1</f>
        <v>1</v>
      </c>
      <c r="I271" s="2" t="s">
        <v>2110</v>
      </c>
      <c r="J271" s="2" t="s">
        <v>2110</v>
      </c>
      <c r="K271" s="2">
        <f>IF('mpi_dataset_summary_2017-2024'!$G271=2024,1,0)</f>
        <v>0</v>
      </c>
      <c r="L271" s="2">
        <f t="shared" si="8"/>
        <v>1</v>
      </c>
      <c r="M271" s="2">
        <v>32</v>
      </c>
      <c r="N271" s="2">
        <f t="shared" si="9"/>
        <v>0.153</v>
      </c>
      <c r="O271" s="2">
        <v>48.442590000000003</v>
      </c>
      <c r="P271" s="2">
        <v>-123.366429</v>
      </c>
      <c r="Q271" s="2" t="s">
        <v>2108</v>
      </c>
      <c r="R271" s="3" t="s">
        <v>24</v>
      </c>
      <c r="S271" s="2" t="s">
        <v>25</v>
      </c>
      <c r="T271" s="2" t="s">
        <v>26</v>
      </c>
    </row>
    <row r="272" spans="1:20" x14ac:dyDescent="0.2">
      <c r="A272" s="2">
        <v>725</v>
      </c>
      <c r="B272" s="2" t="s">
        <v>573</v>
      </c>
      <c r="C272" s="2" t="s">
        <v>574</v>
      </c>
      <c r="D272" s="2" t="s">
        <v>69</v>
      </c>
      <c r="E272" s="2" t="s">
        <v>20</v>
      </c>
      <c r="F272" s="2">
        <v>2017</v>
      </c>
      <c r="G272" s="2">
        <v>2024</v>
      </c>
      <c r="H272" s="2">
        <f>'mpi_dataset_summary_2017-2024'!$G272-'mpi_dataset_summary_2017-2024'!$F272+1</f>
        <v>8</v>
      </c>
      <c r="I272" s="2" t="s">
        <v>2111</v>
      </c>
      <c r="J272" s="2" t="s">
        <v>2111</v>
      </c>
      <c r="K272" s="2">
        <f>IF('mpi_dataset_summary_2017-2024'!$G272=2024,1,0)</f>
        <v>1</v>
      </c>
      <c r="L272" s="2">
        <f t="shared" si="8"/>
        <v>0</v>
      </c>
      <c r="M272" s="2">
        <v>90</v>
      </c>
      <c r="N272" s="2">
        <f t="shared" si="9"/>
        <v>0.32900000000000001</v>
      </c>
      <c r="O272" s="2">
        <v>49.360503999999999</v>
      </c>
      <c r="P272" s="2">
        <v>-123.11085</v>
      </c>
      <c r="Q272" s="2" t="s">
        <v>2108</v>
      </c>
      <c r="R272" s="3" t="s">
        <v>24</v>
      </c>
      <c r="S272" s="2" t="s">
        <v>25</v>
      </c>
      <c r="T272" s="2" t="s">
        <v>26</v>
      </c>
    </row>
    <row r="273" spans="1:20" x14ac:dyDescent="0.2">
      <c r="A273" s="2">
        <v>732</v>
      </c>
      <c r="B273" s="2" t="s">
        <v>104</v>
      </c>
      <c r="C273" s="2" t="s">
        <v>575</v>
      </c>
      <c r="D273" s="2" t="s">
        <v>69</v>
      </c>
      <c r="E273" s="2" t="s">
        <v>43</v>
      </c>
      <c r="F273" s="2">
        <v>2017</v>
      </c>
      <c r="G273" s="2">
        <v>2017</v>
      </c>
      <c r="H273" s="2">
        <f>'mpi_dataset_summary_2017-2024'!$G273-'mpi_dataset_summary_2017-2024'!$F273+1</f>
        <v>1</v>
      </c>
      <c r="I273" s="2" t="s">
        <v>2110</v>
      </c>
      <c r="J273" s="2" t="s">
        <v>2110</v>
      </c>
      <c r="K273" s="2">
        <f>IF('mpi_dataset_summary_2017-2024'!$G273=2024,1,0)</f>
        <v>0</v>
      </c>
      <c r="L273" s="2">
        <f t="shared" si="8"/>
        <v>1</v>
      </c>
      <c r="M273" s="2">
        <v>56</v>
      </c>
      <c r="N273" s="2">
        <f t="shared" si="9"/>
        <v>0.247</v>
      </c>
      <c r="O273" s="2">
        <v>49.200394000000003</v>
      </c>
      <c r="P273" s="2">
        <v>-122.986563</v>
      </c>
      <c r="Q273" s="2" t="s">
        <v>2108</v>
      </c>
      <c r="R273" s="3" t="s">
        <v>35</v>
      </c>
      <c r="S273" s="2" t="s">
        <v>22</v>
      </c>
      <c r="T273" s="2" t="s">
        <v>36</v>
      </c>
    </row>
    <row r="274" spans="1:20" x14ac:dyDescent="0.2">
      <c r="A274" s="2">
        <v>736</v>
      </c>
      <c r="B274" s="2" t="s">
        <v>104</v>
      </c>
      <c r="C274" s="2" t="s">
        <v>576</v>
      </c>
      <c r="D274" s="2" t="s">
        <v>69</v>
      </c>
      <c r="E274" s="2" t="s">
        <v>43</v>
      </c>
      <c r="F274" s="2">
        <v>2017</v>
      </c>
      <c r="G274" s="2">
        <v>2017</v>
      </c>
      <c r="H274" s="2">
        <f>'mpi_dataset_summary_2017-2024'!$G274-'mpi_dataset_summary_2017-2024'!$F274+1</f>
        <v>1</v>
      </c>
      <c r="I274" s="2" t="s">
        <v>2110</v>
      </c>
      <c r="J274" s="2" t="s">
        <v>2110</v>
      </c>
      <c r="K274" s="2">
        <f>IF('mpi_dataset_summary_2017-2024'!$G274=2024,1,0)</f>
        <v>0</v>
      </c>
      <c r="L274" s="2">
        <f t="shared" si="8"/>
        <v>1</v>
      </c>
      <c r="M274" s="2">
        <v>28</v>
      </c>
      <c r="N274" s="2">
        <f t="shared" si="9"/>
        <v>0.14099999999999999</v>
      </c>
      <c r="O274" s="2">
        <v>49.687268000000003</v>
      </c>
      <c r="P274" s="2">
        <v>-124.99051</v>
      </c>
      <c r="Q274" s="2" t="s">
        <v>2108</v>
      </c>
      <c r="R274" s="3" t="s">
        <v>35</v>
      </c>
      <c r="S274" s="2" t="s">
        <v>22</v>
      </c>
      <c r="T274" s="2" t="s">
        <v>36</v>
      </c>
    </row>
    <row r="275" spans="1:20" x14ac:dyDescent="0.2">
      <c r="A275" s="2">
        <v>737</v>
      </c>
      <c r="B275" s="2" t="s">
        <v>104</v>
      </c>
      <c r="C275" s="2" t="s">
        <v>577</v>
      </c>
      <c r="D275" s="2" t="s">
        <v>69</v>
      </c>
      <c r="E275" s="2" t="s">
        <v>43</v>
      </c>
      <c r="F275" s="2">
        <v>2021</v>
      </c>
      <c r="G275" s="2">
        <v>2024</v>
      </c>
      <c r="H275" s="2">
        <f>'mpi_dataset_summary_2017-2024'!$G275-'mpi_dataset_summary_2017-2024'!$F275+1</f>
        <v>4</v>
      </c>
      <c r="I275" s="2" t="s">
        <v>2110</v>
      </c>
      <c r="J275" s="2" t="s">
        <v>2110</v>
      </c>
      <c r="K275" s="2">
        <f>IF('mpi_dataset_summary_2017-2024'!$G275=2024,1,0)</f>
        <v>1</v>
      </c>
      <c r="L275" s="2">
        <f t="shared" si="8"/>
        <v>1</v>
      </c>
      <c r="M275" s="2">
        <v>87</v>
      </c>
      <c r="N275" s="2">
        <f t="shared" si="9"/>
        <v>0.32500000000000001</v>
      </c>
      <c r="O275" s="2">
        <v>49.335070000000002</v>
      </c>
      <c r="P275" s="2">
        <v>-123.108289</v>
      </c>
      <c r="Q275" s="2" t="s">
        <v>2108</v>
      </c>
      <c r="R275" s="3" t="s">
        <v>35</v>
      </c>
      <c r="S275" s="2" t="s">
        <v>22</v>
      </c>
      <c r="T275" s="2" t="s">
        <v>36</v>
      </c>
    </row>
    <row r="276" spans="1:20" x14ac:dyDescent="0.2">
      <c r="A276" s="2">
        <v>746</v>
      </c>
      <c r="B276" s="2" t="s">
        <v>146</v>
      </c>
      <c r="C276" s="2" t="s">
        <v>578</v>
      </c>
      <c r="D276" s="2" t="s">
        <v>69</v>
      </c>
      <c r="E276" s="2" t="s">
        <v>20</v>
      </c>
      <c r="F276" s="2">
        <v>2021</v>
      </c>
      <c r="G276" s="2">
        <v>2023</v>
      </c>
      <c r="H276" s="2">
        <f>'mpi_dataset_summary_2017-2024'!$G276-'mpi_dataset_summary_2017-2024'!$F276+1</f>
        <v>3</v>
      </c>
      <c r="I276" s="2" t="s">
        <v>2112</v>
      </c>
      <c r="J276" s="2" t="s">
        <v>2112</v>
      </c>
      <c r="K276" s="2">
        <f>IF('mpi_dataset_summary_2017-2024'!$G276=2024,1,0)</f>
        <v>0</v>
      </c>
      <c r="L276" s="2">
        <f t="shared" si="8"/>
        <v>0</v>
      </c>
      <c r="M276" s="2">
        <v>44</v>
      </c>
      <c r="N276" s="2">
        <f t="shared" si="9"/>
        <v>0.193</v>
      </c>
      <c r="O276" s="2">
        <v>51.841115000000002</v>
      </c>
      <c r="P276" s="2">
        <v>-118.61614</v>
      </c>
      <c r="Q276" s="2" t="s">
        <v>2108</v>
      </c>
      <c r="R276" s="3" t="s">
        <v>24</v>
      </c>
      <c r="S276" s="2" t="s">
        <v>25</v>
      </c>
      <c r="T276" s="2" t="s">
        <v>26</v>
      </c>
    </row>
    <row r="277" spans="1:20" x14ac:dyDescent="0.2">
      <c r="A277" s="2">
        <v>752</v>
      </c>
      <c r="B277" s="2" t="s">
        <v>579</v>
      </c>
      <c r="C277" s="2" t="s">
        <v>580</v>
      </c>
      <c r="D277" s="2" t="s">
        <v>69</v>
      </c>
      <c r="E277" s="2" t="s">
        <v>20</v>
      </c>
      <c r="F277" s="2">
        <v>2017</v>
      </c>
      <c r="G277" s="2">
        <v>2017</v>
      </c>
      <c r="H277" s="2">
        <f>'mpi_dataset_summary_2017-2024'!$G277-'mpi_dataset_summary_2017-2024'!$F277+1</f>
        <v>1</v>
      </c>
      <c r="I277" s="2" t="s">
        <v>2111</v>
      </c>
      <c r="J277" s="2" t="s">
        <v>2111</v>
      </c>
      <c r="K277" s="2">
        <f>IF('mpi_dataset_summary_2017-2024'!$G277=2024,1,0)</f>
        <v>0</v>
      </c>
      <c r="L277" s="2">
        <f t="shared" si="8"/>
        <v>0</v>
      </c>
      <c r="M277" s="2">
        <v>25</v>
      </c>
      <c r="N277" s="2">
        <f t="shared" si="9"/>
        <v>0.125</v>
      </c>
      <c r="O277" s="2">
        <v>49.863799999999998</v>
      </c>
      <c r="P277" s="2">
        <v>-123.863</v>
      </c>
      <c r="Q277" s="2" t="s">
        <v>2108</v>
      </c>
      <c r="R277" s="3" t="s">
        <v>24</v>
      </c>
      <c r="S277" s="2" t="s">
        <v>25</v>
      </c>
      <c r="T277" s="2" t="s">
        <v>26</v>
      </c>
    </row>
    <row r="278" spans="1:20" x14ac:dyDescent="0.2">
      <c r="A278" s="2">
        <v>753</v>
      </c>
      <c r="B278" s="2" t="s">
        <v>581</v>
      </c>
      <c r="C278" s="2" t="s">
        <v>582</v>
      </c>
      <c r="D278" s="2" t="s">
        <v>69</v>
      </c>
      <c r="E278" s="2" t="s">
        <v>20</v>
      </c>
      <c r="F278" s="2">
        <v>2017</v>
      </c>
      <c r="G278" s="2">
        <v>2024</v>
      </c>
      <c r="H278" s="2">
        <f>'mpi_dataset_summary_2017-2024'!$G278-'mpi_dataset_summary_2017-2024'!$F278+1</f>
        <v>8</v>
      </c>
      <c r="I278" s="2" t="s">
        <v>2111</v>
      </c>
      <c r="J278" s="2" t="s">
        <v>2112</v>
      </c>
      <c r="K278" s="2">
        <f>IF('mpi_dataset_summary_2017-2024'!$G278=2024,1,0)</f>
        <v>1</v>
      </c>
      <c r="L278" s="2">
        <f t="shared" si="8"/>
        <v>0</v>
      </c>
      <c r="M278" s="2">
        <v>400</v>
      </c>
      <c r="N278" s="2">
        <f t="shared" si="9"/>
        <v>0.63500000000000001</v>
      </c>
      <c r="O278" s="2">
        <v>49.088999999999999</v>
      </c>
      <c r="P278" s="2" t="s">
        <v>2114</v>
      </c>
      <c r="Q278" s="2" t="s">
        <v>2108</v>
      </c>
      <c r="R278" s="3" t="s">
        <v>24</v>
      </c>
      <c r="S278" s="2" t="s">
        <v>25</v>
      </c>
      <c r="T278" s="2" t="s">
        <v>26</v>
      </c>
    </row>
    <row r="279" spans="1:20" x14ac:dyDescent="0.2">
      <c r="A279" s="2">
        <v>754</v>
      </c>
      <c r="B279" s="2" t="s">
        <v>583</v>
      </c>
      <c r="C279" s="2" t="s">
        <v>584</v>
      </c>
      <c r="D279" s="2" t="s">
        <v>69</v>
      </c>
      <c r="E279" s="2" t="s">
        <v>20</v>
      </c>
      <c r="F279" s="2">
        <v>2017</v>
      </c>
      <c r="G279" s="2">
        <v>2024</v>
      </c>
      <c r="H279" s="2">
        <f>'mpi_dataset_summary_2017-2024'!$G279-'mpi_dataset_summary_2017-2024'!$F279+1</f>
        <v>8</v>
      </c>
      <c r="I279" s="2" t="s">
        <v>2111</v>
      </c>
      <c r="J279" s="2" t="s">
        <v>2111</v>
      </c>
      <c r="K279" s="2">
        <f>IF('mpi_dataset_summary_2017-2024'!$G279=2024,1,0)</f>
        <v>1</v>
      </c>
      <c r="L279" s="2">
        <f t="shared" si="8"/>
        <v>0</v>
      </c>
      <c r="M279" s="2">
        <v>20</v>
      </c>
      <c r="N279" s="2">
        <f t="shared" si="9"/>
        <v>8.8999999999999996E-2</v>
      </c>
      <c r="O279" s="2">
        <v>48.9206</v>
      </c>
      <c r="P279" s="2">
        <v>-125.5448</v>
      </c>
      <c r="Q279" s="2" t="s">
        <v>2108</v>
      </c>
      <c r="R279" s="3" t="s">
        <v>24</v>
      </c>
      <c r="S279" s="2" t="s">
        <v>25</v>
      </c>
      <c r="T279" s="2" t="s">
        <v>26</v>
      </c>
    </row>
    <row r="280" spans="1:20" x14ac:dyDescent="0.2">
      <c r="A280" s="2">
        <v>757</v>
      </c>
      <c r="B280" s="2" t="s">
        <v>146</v>
      </c>
      <c r="C280" s="2" t="s">
        <v>585</v>
      </c>
      <c r="D280" s="2" t="s">
        <v>69</v>
      </c>
      <c r="E280" s="2" t="s">
        <v>20</v>
      </c>
      <c r="F280" s="2">
        <v>2020</v>
      </c>
      <c r="G280" s="2">
        <v>2024</v>
      </c>
      <c r="H280" s="2">
        <f>'mpi_dataset_summary_2017-2024'!$G280-'mpi_dataset_summary_2017-2024'!$F280+1</f>
        <v>5</v>
      </c>
      <c r="I280" s="2" t="s">
        <v>2112</v>
      </c>
      <c r="J280" s="2" t="s">
        <v>2112</v>
      </c>
      <c r="K280" s="2">
        <f>IF('mpi_dataset_summary_2017-2024'!$G280=2024,1,0)</f>
        <v>1</v>
      </c>
      <c r="L280" s="2">
        <f t="shared" si="8"/>
        <v>0</v>
      </c>
      <c r="M280" s="2">
        <v>40</v>
      </c>
      <c r="N280" s="2">
        <f t="shared" si="9"/>
        <v>0.17799999999999999</v>
      </c>
      <c r="O280" s="2">
        <v>49.721200000000003</v>
      </c>
      <c r="P280" s="2">
        <v>-121.81480000000001</v>
      </c>
      <c r="Q280" s="2" t="s">
        <v>2108</v>
      </c>
      <c r="R280" s="3" t="s">
        <v>24</v>
      </c>
      <c r="S280" s="2" t="s">
        <v>25</v>
      </c>
      <c r="T280" s="2" t="s">
        <v>26</v>
      </c>
    </row>
    <row r="281" spans="1:20" x14ac:dyDescent="0.2">
      <c r="A281" s="2">
        <v>758</v>
      </c>
      <c r="B281" s="2" t="s">
        <v>586</v>
      </c>
      <c r="C281" s="2" t="s">
        <v>587</v>
      </c>
      <c r="D281" s="2" t="s">
        <v>69</v>
      </c>
      <c r="E281" s="2" t="s">
        <v>20</v>
      </c>
      <c r="F281" s="2">
        <v>2017</v>
      </c>
      <c r="G281" s="2">
        <v>2024</v>
      </c>
      <c r="H281" s="2">
        <f>'mpi_dataset_summary_2017-2024'!$G281-'mpi_dataset_summary_2017-2024'!$F281+1</f>
        <v>8</v>
      </c>
      <c r="I281" s="2" t="s">
        <v>2111</v>
      </c>
      <c r="J281" s="2" t="s">
        <v>2112</v>
      </c>
      <c r="K281" s="2">
        <f>IF('mpi_dataset_summary_2017-2024'!$G281=2024,1,0)</f>
        <v>1</v>
      </c>
      <c r="L281" s="2">
        <f t="shared" si="8"/>
        <v>0</v>
      </c>
      <c r="M281" s="2">
        <v>46</v>
      </c>
      <c r="N281" s="2">
        <f t="shared" si="9"/>
        <v>0.20399999999999999</v>
      </c>
      <c r="O281" s="2">
        <v>53.5792</v>
      </c>
      <c r="P281" s="2">
        <v>-124.95</v>
      </c>
      <c r="Q281" s="2" t="s">
        <v>2108</v>
      </c>
      <c r="R281" s="3" t="s">
        <v>24</v>
      </c>
      <c r="S281" s="2" t="s">
        <v>25</v>
      </c>
      <c r="T281" s="2" t="s">
        <v>26</v>
      </c>
    </row>
    <row r="282" spans="1:20" x14ac:dyDescent="0.2">
      <c r="A282" s="2">
        <v>759</v>
      </c>
      <c r="B282" s="2" t="s">
        <v>588</v>
      </c>
      <c r="C282" s="2" t="s">
        <v>589</v>
      </c>
      <c r="D282" s="2" t="s">
        <v>69</v>
      </c>
      <c r="E282" s="2" t="s">
        <v>20</v>
      </c>
      <c r="F282" s="2">
        <v>2017</v>
      </c>
      <c r="G282" s="2">
        <v>2024</v>
      </c>
      <c r="H282" s="2">
        <f>'mpi_dataset_summary_2017-2024'!$G282-'mpi_dataset_summary_2017-2024'!$F282+1</f>
        <v>8</v>
      </c>
      <c r="I282" s="2" t="s">
        <v>2112</v>
      </c>
      <c r="J282" s="2" t="s">
        <v>2112</v>
      </c>
      <c r="K282" s="2">
        <f>IF('mpi_dataset_summary_2017-2024'!$G282=2024,1,0)</f>
        <v>1</v>
      </c>
      <c r="L282" s="2">
        <f t="shared" si="8"/>
        <v>0</v>
      </c>
      <c r="M282" s="2">
        <v>50</v>
      </c>
      <c r="N282" s="2">
        <f t="shared" si="9"/>
        <v>0.214</v>
      </c>
      <c r="O282" s="2">
        <v>49.046100000000003</v>
      </c>
      <c r="P282" s="2">
        <v>-121.81959999999999</v>
      </c>
      <c r="Q282" s="2" t="s">
        <v>2108</v>
      </c>
      <c r="R282" s="3" t="s">
        <v>24</v>
      </c>
      <c r="S282" s="2" t="s">
        <v>25</v>
      </c>
      <c r="T282" s="2" t="s">
        <v>26</v>
      </c>
    </row>
    <row r="283" spans="1:20" x14ac:dyDescent="0.2">
      <c r="A283" s="2">
        <v>761</v>
      </c>
      <c r="B283" s="2" t="s">
        <v>590</v>
      </c>
      <c r="C283" s="2" t="s">
        <v>591</v>
      </c>
      <c r="D283" s="2" t="s">
        <v>69</v>
      </c>
      <c r="E283" s="2" t="s">
        <v>20</v>
      </c>
      <c r="F283" s="2">
        <v>2021</v>
      </c>
      <c r="G283" s="2">
        <v>2022</v>
      </c>
      <c r="H283" s="2">
        <f>'mpi_dataset_summary_2017-2024'!$G283-'mpi_dataset_summary_2017-2024'!$F283+1</f>
        <v>2</v>
      </c>
      <c r="I283" s="2" t="s">
        <v>2110</v>
      </c>
      <c r="J283" s="2" t="s">
        <v>2110</v>
      </c>
      <c r="K283" s="2">
        <f>IF('mpi_dataset_summary_2017-2024'!$G283=2024,1,0)</f>
        <v>0</v>
      </c>
      <c r="L283" s="2">
        <f t="shared" si="8"/>
        <v>1</v>
      </c>
      <c r="M283" s="2">
        <v>45</v>
      </c>
      <c r="N283" s="2">
        <f t="shared" si="9"/>
        <v>0.19400000000000001</v>
      </c>
      <c r="O283" s="2">
        <v>52.763463999999999</v>
      </c>
      <c r="P283" s="2">
        <v>-119.268265</v>
      </c>
      <c r="Q283" s="2" t="s">
        <v>2108</v>
      </c>
      <c r="R283" s="3" t="s">
        <v>24</v>
      </c>
      <c r="S283" s="2" t="s">
        <v>25</v>
      </c>
      <c r="T283" s="2" t="s">
        <v>26</v>
      </c>
    </row>
    <row r="284" spans="1:20" x14ac:dyDescent="0.2">
      <c r="A284" s="2">
        <v>762</v>
      </c>
      <c r="B284" s="2" t="s">
        <v>592</v>
      </c>
      <c r="C284" s="2" t="s">
        <v>593</v>
      </c>
      <c r="D284" s="2" t="s">
        <v>69</v>
      </c>
      <c r="E284" s="2" t="s">
        <v>20</v>
      </c>
      <c r="F284" s="2">
        <v>2017</v>
      </c>
      <c r="G284" s="2">
        <v>2017</v>
      </c>
      <c r="H284" s="2">
        <f>'mpi_dataset_summary_2017-2024'!$G284-'mpi_dataset_summary_2017-2024'!$F284+1</f>
        <v>1</v>
      </c>
      <c r="I284" s="2" t="s">
        <v>2110</v>
      </c>
      <c r="J284" s="2" t="s">
        <v>2110</v>
      </c>
      <c r="K284" s="2">
        <f>IF('mpi_dataset_summary_2017-2024'!$G284=2024,1,0)</f>
        <v>0</v>
      </c>
      <c r="L284" s="2">
        <f t="shared" si="8"/>
        <v>1</v>
      </c>
      <c r="M284" s="2">
        <v>21</v>
      </c>
      <c r="N284" s="2">
        <f t="shared" si="9"/>
        <v>0.104</v>
      </c>
      <c r="O284" s="2">
        <v>55.483635999999997</v>
      </c>
      <c r="P284" s="2">
        <v>-124.490098</v>
      </c>
      <c r="Q284" s="2" t="s">
        <v>2108</v>
      </c>
      <c r="R284" s="3" t="s">
        <v>24</v>
      </c>
      <c r="S284" s="2" t="s">
        <v>25</v>
      </c>
      <c r="T284" s="2" t="s">
        <v>26</v>
      </c>
    </row>
    <row r="285" spans="1:20" x14ac:dyDescent="0.2">
      <c r="A285" s="2">
        <v>763</v>
      </c>
      <c r="B285" s="2" t="s">
        <v>594</v>
      </c>
      <c r="C285" s="2" t="s">
        <v>595</v>
      </c>
      <c r="D285" s="2" t="s">
        <v>69</v>
      </c>
      <c r="E285" s="2" t="s">
        <v>20</v>
      </c>
      <c r="F285" s="2">
        <v>2017</v>
      </c>
      <c r="G285" s="2">
        <v>2020</v>
      </c>
      <c r="H285" s="2">
        <f>'mpi_dataset_summary_2017-2024'!$G285-'mpi_dataset_summary_2017-2024'!$F285+1</f>
        <v>4</v>
      </c>
      <c r="I285" s="2" t="s">
        <v>2111</v>
      </c>
      <c r="J285" s="2" t="s">
        <v>2111</v>
      </c>
      <c r="K285" s="2">
        <f>IF('mpi_dataset_summary_2017-2024'!$G285=2024,1,0)</f>
        <v>0</v>
      </c>
      <c r="L285" s="2">
        <f t="shared" si="8"/>
        <v>0</v>
      </c>
      <c r="M285" s="2">
        <v>20</v>
      </c>
      <c r="N285" s="2">
        <f t="shared" si="9"/>
        <v>8.8999999999999996E-2</v>
      </c>
      <c r="O285" s="2">
        <v>49.963971000000001</v>
      </c>
      <c r="P285" s="2">
        <v>-121.6835</v>
      </c>
      <c r="Q285" s="2" t="s">
        <v>2108</v>
      </c>
      <c r="R285" s="3" t="s">
        <v>24</v>
      </c>
      <c r="S285" s="2" t="s">
        <v>25</v>
      </c>
      <c r="T285" s="2" t="s">
        <v>45</v>
      </c>
    </row>
    <row r="286" spans="1:20" x14ac:dyDescent="0.2">
      <c r="A286" s="2">
        <v>764</v>
      </c>
      <c r="B286" s="2" t="s">
        <v>596</v>
      </c>
      <c r="C286" s="2" t="s">
        <v>597</v>
      </c>
      <c r="D286" s="2" t="s">
        <v>69</v>
      </c>
      <c r="E286" s="2" t="s">
        <v>20</v>
      </c>
      <c r="F286" s="2">
        <v>2017</v>
      </c>
      <c r="G286" s="2">
        <v>2024</v>
      </c>
      <c r="H286" s="2">
        <f>'mpi_dataset_summary_2017-2024'!$G286-'mpi_dataset_summary_2017-2024'!$F286+1</f>
        <v>8</v>
      </c>
      <c r="I286" s="2" t="s">
        <v>2111</v>
      </c>
      <c r="J286" s="2" t="s">
        <v>2111</v>
      </c>
      <c r="K286" s="2">
        <f>IF('mpi_dataset_summary_2017-2024'!$G286=2024,1,0)</f>
        <v>1</v>
      </c>
      <c r="L286" s="2">
        <f t="shared" si="8"/>
        <v>0</v>
      </c>
      <c r="M286" s="2">
        <v>20</v>
      </c>
      <c r="N286" s="2">
        <f t="shared" si="9"/>
        <v>8.8999999999999996E-2</v>
      </c>
      <c r="O286" s="2">
        <v>50.058839999999996</v>
      </c>
      <c r="P286" s="2">
        <v>-121.71739599999999</v>
      </c>
      <c r="Q286" s="2" t="s">
        <v>2108</v>
      </c>
      <c r="R286" s="3" t="s">
        <v>24</v>
      </c>
      <c r="S286" s="2" t="s">
        <v>25</v>
      </c>
      <c r="T286" s="2" t="s">
        <v>45</v>
      </c>
    </row>
    <row r="287" spans="1:20" x14ac:dyDescent="0.2">
      <c r="A287" s="2">
        <v>768</v>
      </c>
      <c r="B287" s="2" t="s">
        <v>598</v>
      </c>
      <c r="C287" s="2" t="s">
        <v>599</v>
      </c>
      <c r="D287" s="2" t="s">
        <v>185</v>
      </c>
      <c r="E287" s="2" t="s">
        <v>20</v>
      </c>
      <c r="F287" s="2">
        <v>2017</v>
      </c>
      <c r="G287" s="2">
        <v>2019</v>
      </c>
      <c r="H287" s="2">
        <f>'mpi_dataset_summary_2017-2024'!$G287-'mpi_dataset_summary_2017-2024'!$F287+1</f>
        <v>3</v>
      </c>
      <c r="I287" s="2" t="s">
        <v>2112</v>
      </c>
      <c r="J287" s="2" t="s">
        <v>2112</v>
      </c>
      <c r="K287" s="2">
        <f>IF('mpi_dataset_summary_2017-2024'!$G287=2024,1,0)</f>
        <v>0</v>
      </c>
      <c r="L287" s="2">
        <f t="shared" si="8"/>
        <v>0</v>
      </c>
      <c r="M287" s="2">
        <v>3000</v>
      </c>
      <c r="N287" s="2">
        <f t="shared" si="9"/>
        <v>0.92100000000000004</v>
      </c>
      <c r="O287" s="2">
        <v>45.529311700000001</v>
      </c>
      <c r="P287" s="2">
        <v>-61.293471599999997</v>
      </c>
      <c r="Q287" s="2" t="s">
        <v>2108</v>
      </c>
      <c r="R287" s="3" t="s">
        <v>37</v>
      </c>
      <c r="S287" s="2" t="s">
        <v>22</v>
      </c>
      <c r="T287" s="2" t="s">
        <v>38</v>
      </c>
    </row>
    <row r="288" spans="1:20" x14ac:dyDescent="0.2">
      <c r="A288" s="2">
        <v>770</v>
      </c>
      <c r="B288" s="2" t="s">
        <v>600</v>
      </c>
      <c r="C288" s="2" t="s">
        <v>601</v>
      </c>
      <c r="D288" s="2" t="s">
        <v>66</v>
      </c>
      <c r="E288" s="2" t="s">
        <v>20</v>
      </c>
      <c r="F288" s="2">
        <v>2019</v>
      </c>
      <c r="G288" s="2">
        <v>2020</v>
      </c>
      <c r="H288" s="2">
        <f>'mpi_dataset_summary_2017-2024'!$G288-'mpi_dataset_summary_2017-2024'!$F288+1</f>
        <v>2</v>
      </c>
      <c r="I288" s="2" t="s">
        <v>2113</v>
      </c>
      <c r="J288" s="2" t="s">
        <v>2113</v>
      </c>
      <c r="K288" s="2">
        <f>IF('mpi_dataset_summary_2017-2024'!$G288=2024,1,0)</f>
        <v>0</v>
      </c>
      <c r="L288" s="2">
        <f t="shared" si="8"/>
        <v>0</v>
      </c>
      <c r="M288" s="2">
        <v>1600</v>
      </c>
      <c r="N288" s="2">
        <f t="shared" si="9"/>
        <v>0.873</v>
      </c>
      <c r="O288" s="2">
        <v>53.302700000000002</v>
      </c>
      <c r="P288" s="2">
        <v>-114.3326</v>
      </c>
      <c r="Q288" s="2" t="s">
        <v>2108</v>
      </c>
      <c r="R288" s="3" t="s">
        <v>53</v>
      </c>
      <c r="S288" s="2" t="s">
        <v>25</v>
      </c>
      <c r="T288" s="2" t="s">
        <v>45</v>
      </c>
    </row>
    <row r="289" spans="1:20" x14ac:dyDescent="0.2">
      <c r="A289" s="2">
        <v>774</v>
      </c>
      <c r="B289" s="2" t="s">
        <v>602</v>
      </c>
      <c r="C289" s="2" t="s">
        <v>603</v>
      </c>
      <c r="D289" s="2" t="s">
        <v>66</v>
      </c>
      <c r="E289" s="2" t="s">
        <v>20</v>
      </c>
      <c r="F289" s="2">
        <v>2017</v>
      </c>
      <c r="G289" s="2">
        <v>2020</v>
      </c>
      <c r="H289" s="2">
        <f>'mpi_dataset_summary_2017-2024'!$G289-'mpi_dataset_summary_2017-2024'!$F289+1</f>
        <v>4</v>
      </c>
      <c r="I289" s="2" t="s">
        <v>2111</v>
      </c>
      <c r="J289" s="2" t="s">
        <v>2111</v>
      </c>
      <c r="K289" s="2">
        <f>IF('mpi_dataset_summary_2017-2024'!$G289=2024,1,0)</f>
        <v>0</v>
      </c>
      <c r="L289" s="2">
        <f t="shared" si="8"/>
        <v>0</v>
      </c>
      <c r="M289" s="2">
        <v>1500</v>
      </c>
      <c r="N289" s="2">
        <f t="shared" si="9"/>
        <v>0.86399999999999999</v>
      </c>
      <c r="O289" s="2">
        <v>53.548499999999997</v>
      </c>
      <c r="P289" s="2">
        <v>-114.26900000000001</v>
      </c>
      <c r="Q289" s="2" t="s">
        <v>2108</v>
      </c>
      <c r="R289" s="3" t="s">
        <v>44</v>
      </c>
      <c r="S289" s="2" t="s">
        <v>25</v>
      </c>
      <c r="T289" s="2" t="s">
        <v>45</v>
      </c>
    </row>
    <row r="290" spans="1:20" x14ac:dyDescent="0.2">
      <c r="A290" s="2">
        <v>775</v>
      </c>
      <c r="B290" s="2" t="s">
        <v>604</v>
      </c>
      <c r="C290" s="2" t="s">
        <v>605</v>
      </c>
      <c r="D290" s="2" t="s">
        <v>66</v>
      </c>
      <c r="E290" s="2" t="s">
        <v>20</v>
      </c>
      <c r="F290" s="2">
        <v>2017</v>
      </c>
      <c r="G290" s="2">
        <v>2019</v>
      </c>
      <c r="H290" s="2">
        <f>'mpi_dataset_summary_2017-2024'!$G290-'mpi_dataset_summary_2017-2024'!$F290+1</f>
        <v>3</v>
      </c>
      <c r="I290" s="2" t="s">
        <v>2113</v>
      </c>
      <c r="J290" s="2" t="s">
        <v>2113</v>
      </c>
      <c r="K290" s="2">
        <f>IF('mpi_dataset_summary_2017-2024'!$G290=2024,1,0)</f>
        <v>0</v>
      </c>
      <c r="L290" s="2">
        <f t="shared" si="8"/>
        <v>0</v>
      </c>
      <c r="M290" s="2">
        <v>800</v>
      </c>
      <c r="N290" s="2">
        <f t="shared" si="9"/>
        <v>0.77700000000000002</v>
      </c>
      <c r="O290" s="2">
        <v>53.762901306152301</v>
      </c>
      <c r="P290" s="2">
        <v>-113.065101623535</v>
      </c>
      <c r="Q290" s="2" t="s">
        <v>2108</v>
      </c>
      <c r="R290" s="3" t="s">
        <v>41</v>
      </c>
      <c r="S290" s="2" t="s">
        <v>25</v>
      </c>
      <c r="T290" s="2" t="s">
        <v>46</v>
      </c>
    </row>
    <row r="291" spans="1:20" x14ac:dyDescent="0.2">
      <c r="A291" s="2">
        <v>776</v>
      </c>
      <c r="B291" s="2" t="s">
        <v>606</v>
      </c>
      <c r="C291" s="2" t="s">
        <v>607</v>
      </c>
      <c r="D291" s="2" t="s">
        <v>83</v>
      </c>
      <c r="E291" s="2" t="s">
        <v>20</v>
      </c>
      <c r="F291" s="2">
        <v>2017</v>
      </c>
      <c r="G291" s="2">
        <v>2018</v>
      </c>
      <c r="H291" s="2">
        <f>'mpi_dataset_summary_2017-2024'!$G291-'mpi_dataset_summary_2017-2024'!$F291+1</f>
        <v>2</v>
      </c>
      <c r="I291" s="2" t="s">
        <v>2111</v>
      </c>
      <c r="J291" s="2" t="s">
        <v>2111</v>
      </c>
      <c r="K291" s="2">
        <f>IF('mpi_dataset_summary_2017-2024'!$G291=2024,1,0)</f>
        <v>0</v>
      </c>
      <c r="L291" s="2">
        <f t="shared" si="8"/>
        <v>0</v>
      </c>
      <c r="M291" s="2">
        <v>800</v>
      </c>
      <c r="N291" s="2">
        <f t="shared" si="9"/>
        <v>0.77700000000000002</v>
      </c>
      <c r="O291" s="2">
        <v>53.095317000000001</v>
      </c>
      <c r="P291" s="2">
        <v>-61.090398</v>
      </c>
      <c r="Q291" s="2" t="s">
        <v>2107</v>
      </c>
      <c r="R291" s="3" t="s">
        <v>31</v>
      </c>
      <c r="S291" s="2" t="s">
        <v>22</v>
      </c>
      <c r="T291" s="2" t="s">
        <v>32</v>
      </c>
    </row>
    <row r="292" spans="1:20" x14ac:dyDescent="0.2">
      <c r="A292" s="2">
        <v>777</v>
      </c>
      <c r="B292" s="2" t="s">
        <v>608</v>
      </c>
      <c r="C292" s="2" t="s">
        <v>609</v>
      </c>
      <c r="D292" s="2" t="s">
        <v>185</v>
      </c>
      <c r="E292" s="2" t="s">
        <v>20</v>
      </c>
      <c r="F292" s="2">
        <v>2017</v>
      </c>
      <c r="G292" s="2">
        <v>2017</v>
      </c>
      <c r="H292" s="2">
        <f>'mpi_dataset_summary_2017-2024'!$G292-'mpi_dataset_summary_2017-2024'!$F292+1</f>
        <v>1</v>
      </c>
      <c r="I292" s="2" t="s">
        <v>2111</v>
      </c>
      <c r="J292" s="2" t="s">
        <v>2111</v>
      </c>
      <c r="K292" s="2">
        <f>IF('mpi_dataset_summary_2017-2024'!$G292=2024,1,0)</f>
        <v>0</v>
      </c>
      <c r="L292" s="2">
        <f t="shared" si="8"/>
        <v>0</v>
      </c>
      <c r="M292" s="2">
        <v>800</v>
      </c>
      <c r="N292" s="2">
        <f t="shared" si="9"/>
        <v>0.77700000000000002</v>
      </c>
      <c r="O292" s="2">
        <v>46.157753</v>
      </c>
      <c r="P292" s="2">
        <v>-60.193719999999999</v>
      </c>
      <c r="Q292" s="2" t="s">
        <v>2107</v>
      </c>
      <c r="R292" s="3" t="s">
        <v>31</v>
      </c>
      <c r="S292" s="2" t="s">
        <v>22</v>
      </c>
      <c r="T292" s="2" t="s">
        <v>32</v>
      </c>
    </row>
    <row r="293" spans="1:20" x14ac:dyDescent="0.2">
      <c r="A293" s="2">
        <v>778</v>
      </c>
      <c r="B293" s="2" t="s">
        <v>610</v>
      </c>
      <c r="C293" s="2" t="s">
        <v>611</v>
      </c>
      <c r="D293" s="2" t="s">
        <v>69</v>
      </c>
      <c r="E293" s="2" t="s">
        <v>20</v>
      </c>
      <c r="F293" s="2">
        <v>2017</v>
      </c>
      <c r="G293" s="2">
        <v>2023</v>
      </c>
      <c r="H293" s="2">
        <f>'mpi_dataset_summary_2017-2024'!$G293-'mpi_dataset_summary_2017-2024'!$F293+1</f>
        <v>7</v>
      </c>
      <c r="I293" s="2" t="s">
        <v>2111</v>
      </c>
      <c r="J293" s="2" t="s">
        <v>2112</v>
      </c>
      <c r="K293" s="2">
        <f>IF('mpi_dataset_summary_2017-2024'!$G293=2024,1,0)</f>
        <v>0</v>
      </c>
      <c r="L293" s="2">
        <f t="shared" si="8"/>
        <v>0</v>
      </c>
      <c r="M293" s="2">
        <v>608</v>
      </c>
      <c r="N293" s="2">
        <f t="shared" si="9"/>
        <v>0.72599999999999998</v>
      </c>
      <c r="O293" s="2">
        <v>49.042499999999997</v>
      </c>
      <c r="P293" s="2">
        <v>-117.889444</v>
      </c>
      <c r="Q293" s="2" t="s">
        <v>2107</v>
      </c>
      <c r="R293" s="3" t="s">
        <v>33</v>
      </c>
      <c r="S293" s="2" t="s">
        <v>25</v>
      </c>
      <c r="T293" s="2" t="s">
        <v>34</v>
      </c>
    </row>
    <row r="294" spans="1:20" x14ac:dyDescent="0.2">
      <c r="A294" s="2">
        <v>782</v>
      </c>
      <c r="B294" s="2" t="s">
        <v>612</v>
      </c>
      <c r="C294" s="2" t="s">
        <v>613</v>
      </c>
      <c r="D294" s="2" t="s">
        <v>258</v>
      </c>
      <c r="E294" s="2" t="s">
        <v>20</v>
      </c>
      <c r="F294" s="2">
        <v>2024</v>
      </c>
      <c r="G294" s="2">
        <v>2024</v>
      </c>
      <c r="H294" s="2">
        <f>'mpi_dataset_summary_2017-2024'!$G294-'mpi_dataset_summary_2017-2024'!$F294+1</f>
        <v>1</v>
      </c>
      <c r="I294" s="2" t="s">
        <v>2112</v>
      </c>
      <c r="J294" s="2" t="s">
        <v>2112</v>
      </c>
      <c r="K294" s="2">
        <f>IF('mpi_dataset_summary_2017-2024'!$G294=2024,1,0)</f>
        <v>1</v>
      </c>
      <c r="L294" s="2">
        <f t="shared" si="8"/>
        <v>0</v>
      </c>
      <c r="M294" s="2">
        <v>1100</v>
      </c>
      <c r="N294" s="2">
        <f t="shared" si="9"/>
        <v>0.82199999999999995</v>
      </c>
      <c r="O294" s="2">
        <v>45.262700000000002</v>
      </c>
      <c r="P294" s="2">
        <v>-66.091499999999996</v>
      </c>
      <c r="Q294" s="2" t="s">
        <v>2109</v>
      </c>
      <c r="R294" s="3" t="s">
        <v>58</v>
      </c>
      <c r="S294" s="2" t="s">
        <v>22</v>
      </c>
      <c r="T294" s="2" t="s">
        <v>59</v>
      </c>
    </row>
    <row r="295" spans="1:20" x14ac:dyDescent="0.2">
      <c r="A295" s="2">
        <v>783</v>
      </c>
      <c r="B295" s="2" t="s">
        <v>614</v>
      </c>
      <c r="C295" s="2" t="s">
        <v>615</v>
      </c>
      <c r="D295" s="2" t="s">
        <v>161</v>
      </c>
      <c r="E295" s="2" t="s">
        <v>20</v>
      </c>
      <c r="F295" s="2">
        <v>2018</v>
      </c>
      <c r="G295" s="2">
        <v>2024</v>
      </c>
      <c r="H295" s="2">
        <f>'mpi_dataset_summary_2017-2024'!$G295-'mpi_dataset_summary_2017-2024'!$F295+1</f>
        <v>7</v>
      </c>
      <c r="I295" s="2" t="s">
        <v>2112</v>
      </c>
      <c r="J295" s="2" t="s">
        <v>2113</v>
      </c>
      <c r="K295" s="2">
        <f>IF('mpi_dataset_summary_2017-2024'!$G295=2024,1,0)</f>
        <v>1</v>
      </c>
      <c r="L295" s="2">
        <f t="shared" si="8"/>
        <v>0</v>
      </c>
      <c r="M295" s="2">
        <v>1067.04673</v>
      </c>
      <c r="N295" s="2">
        <f t="shared" si="9"/>
        <v>0.81899999999999995</v>
      </c>
      <c r="O295" s="2">
        <v>51.396099999999997</v>
      </c>
      <c r="P295" s="2">
        <v>-92.293000000000006</v>
      </c>
      <c r="Q295" s="2" t="s">
        <v>2107</v>
      </c>
      <c r="R295" s="3" t="s">
        <v>29</v>
      </c>
      <c r="S295" s="2" t="s">
        <v>22</v>
      </c>
      <c r="T295" s="2" t="s">
        <v>30</v>
      </c>
    </row>
    <row r="296" spans="1:20" x14ac:dyDescent="0.2">
      <c r="A296" s="2">
        <v>785</v>
      </c>
      <c r="B296" s="2" t="s">
        <v>616</v>
      </c>
      <c r="C296" s="2" t="s">
        <v>617</v>
      </c>
      <c r="D296" s="2" t="s">
        <v>161</v>
      </c>
      <c r="E296" s="2" t="s">
        <v>20</v>
      </c>
      <c r="F296" s="2">
        <v>2017</v>
      </c>
      <c r="G296" s="2">
        <v>2024</v>
      </c>
      <c r="H296" s="2">
        <f>'mpi_dataset_summary_2017-2024'!$G296-'mpi_dataset_summary_2017-2024'!$F296+1</f>
        <v>8</v>
      </c>
      <c r="I296" s="2" t="s">
        <v>2112</v>
      </c>
      <c r="J296" s="2" t="s">
        <v>2110</v>
      </c>
      <c r="K296" s="2">
        <f>IF('mpi_dataset_summary_2017-2024'!$G296=2024,1,0)</f>
        <v>1</v>
      </c>
      <c r="L296" s="2">
        <f t="shared" si="8"/>
        <v>1</v>
      </c>
      <c r="M296" s="2">
        <v>1512.165</v>
      </c>
      <c r="N296" s="2">
        <f t="shared" si="9"/>
        <v>0.86799999999999999</v>
      </c>
      <c r="O296" s="2">
        <v>49.666699999999999</v>
      </c>
      <c r="P296" s="2">
        <v>-86.933300000000003</v>
      </c>
      <c r="Q296" s="2" t="s">
        <v>2107</v>
      </c>
      <c r="R296" s="3" t="s">
        <v>29</v>
      </c>
      <c r="S296" s="2" t="s">
        <v>22</v>
      </c>
      <c r="T296" s="2" t="s">
        <v>30</v>
      </c>
    </row>
    <row r="297" spans="1:20" x14ac:dyDescent="0.2">
      <c r="A297" s="2">
        <v>786</v>
      </c>
      <c r="B297" s="2" t="s">
        <v>618</v>
      </c>
      <c r="C297" s="2" t="s">
        <v>619</v>
      </c>
      <c r="D297" s="2" t="s">
        <v>66</v>
      </c>
      <c r="E297" s="2" t="s">
        <v>20</v>
      </c>
      <c r="F297" s="2">
        <v>2017</v>
      </c>
      <c r="G297" s="2">
        <v>2021</v>
      </c>
      <c r="H297" s="2">
        <f>'mpi_dataset_summary_2017-2024'!$G297-'mpi_dataset_summary_2017-2024'!$F297+1</f>
        <v>5</v>
      </c>
      <c r="I297" s="2" t="s">
        <v>2112</v>
      </c>
      <c r="J297" s="2" t="s">
        <v>2112</v>
      </c>
      <c r="K297" s="2">
        <f>IF('mpi_dataset_summary_2017-2024'!$G297=2024,1,0)</f>
        <v>0</v>
      </c>
      <c r="L297" s="2">
        <f t="shared" si="8"/>
        <v>0</v>
      </c>
      <c r="M297" s="2">
        <v>5000</v>
      </c>
      <c r="N297" s="2">
        <f t="shared" si="9"/>
        <v>0.94699999999999995</v>
      </c>
      <c r="O297" s="2">
        <v>49.693620000000003</v>
      </c>
      <c r="P297" s="2">
        <v>-114.434</v>
      </c>
      <c r="Q297" s="2" t="s">
        <v>2107</v>
      </c>
      <c r="R297" s="3" t="s">
        <v>41</v>
      </c>
      <c r="S297" s="2" t="s">
        <v>22</v>
      </c>
      <c r="T297" s="2" t="s">
        <v>42</v>
      </c>
    </row>
    <row r="298" spans="1:20" x14ac:dyDescent="0.2">
      <c r="A298" s="2">
        <v>787</v>
      </c>
      <c r="B298" s="2" t="s">
        <v>620</v>
      </c>
      <c r="C298" s="2" t="s">
        <v>621</v>
      </c>
      <c r="D298" s="2" t="s">
        <v>69</v>
      </c>
      <c r="E298" s="2" t="s">
        <v>20</v>
      </c>
      <c r="F298" s="2">
        <v>2017</v>
      </c>
      <c r="G298" s="2">
        <v>2020</v>
      </c>
      <c r="H298" s="2">
        <f>'mpi_dataset_summary_2017-2024'!$G298-'mpi_dataset_summary_2017-2024'!$F298+1</f>
        <v>4</v>
      </c>
      <c r="I298" s="2" t="s">
        <v>2111</v>
      </c>
      <c r="J298" s="2" t="s">
        <v>2111</v>
      </c>
      <c r="K298" s="2">
        <f>IF('mpi_dataset_summary_2017-2024'!$G298=2024,1,0)</f>
        <v>0</v>
      </c>
      <c r="L298" s="2">
        <f t="shared" si="8"/>
        <v>0</v>
      </c>
      <c r="M298" s="2">
        <v>379</v>
      </c>
      <c r="N298" s="2">
        <f t="shared" si="9"/>
        <v>0.626</v>
      </c>
      <c r="O298" s="2">
        <v>52.316699999999997</v>
      </c>
      <c r="P298" s="2">
        <v>-119.16670000000001</v>
      </c>
      <c r="Q298" s="2" t="s">
        <v>2107</v>
      </c>
      <c r="R298" s="3" t="s">
        <v>41</v>
      </c>
      <c r="S298" s="2" t="s">
        <v>22</v>
      </c>
      <c r="T298" s="2" t="s">
        <v>42</v>
      </c>
    </row>
    <row r="299" spans="1:20" x14ac:dyDescent="0.2">
      <c r="A299" s="2">
        <v>788</v>
      </c>
      <c r="B299" s="2" t="s">
        <v>622</v>
      </c>
      <c r="C299" s="2" t="s">
        <v>623</v>
      </c>
      <c r="D299" s="2" t="s">
        <v>83</v>
      </c>
      <c r="E299" s="2" t="s">
        <v>43</v>
      </c>
      <c r="F299" s="2">
        <v>2017</v>
      </c>
      <c r="G299" s="2">
        <v>2017</v>
      </c>
      <c r="H299" s="2">
        <f>'mpi_dataset_summary_2017-2024'!$G299-'mpi_dataset_summary_2017-2024'!$F299+1</f>
        <v>1</v>
      </c>
      <c r="I299" s="2" t="s">
        <v>2110</v>
      </c>
      <c r="J299" s="2" t="s">
        <v>2110</v>
      </c>
      <c r="K299" s="2">
        <f>IF('mpi_dataset_summary_2017-2024'!$G299=2024,1,0)</f>
        <v>0</v>
      </c>
      <c r="L299" s="2">
        <f t="shared" si="8"/>
        <v>1</v>
      </c>
      <c r="M299" s="2">
        <v>291.60000000000002</v>
      </c>
      <c r="N299" s="2">
        <f t="shared" si="9"/>
        <v>0.56999999999999995</v>
      </c>
      <c r="O299" s="2">
        <v>47.99</v>
      </c>
      <c r="P299" s="2">
        <v>-55.8</v>
      </c>
      <c r="Q299" s="2" t="s">
        <v>2108</v>
      </c>
      <c r="R299" s="3" t="s">
        <v>35</v>
      </c>
      <c r="S299" s="2" t="s">
        <v>22</v>
      </c>
      <c r="T299" s="2" t="s">
        <v>36</v>
      </c>
    </row>
    <row r="300" spans="1:20" x14ac:dyDescent="0.2">
      <c r="A300" s="2">
        <v>790</v>
      </c>
      <c r="B300" s="2" t="s">
        <v>624</v>
      </c>
      <c r="C300" s="2" t="s">
        <v>625</v>
      </c>
      <c r="D300" s="2" t="s">
        <v>258</v>
      </c>
      <c r="E300" s="2" t="s">
        <v>20</v>
      </c>
      <c r="F300" s="2">
        <v>2017</v>
      </c>
      <c r="G300" s="2">
        <v>2018</v>
      </c>
      <c r="H300" s="2">
        <f>'mpi_dataset_summary_2017-2024'!$G300-'mpi_dataset_summary_2017-2024'!$F300+1</f>
        <v>2</v>
      </c>
      <c r="I300" s="2" t="s">
        <v>2111</v>
      </c>
      <c r="J300" s="2" t="s">
        <v>2111</v>
      </c>
      <c r="K300" s="2">
        <f>IF('mpi_dataset_summary_2017-2024'!$G300=2024,1,0)</f>
        <v>0</v>
      </c>
      <c r="L300" s="2">
        <f t="shared" si="8"/>
        <v>0</v>
      </c>
      <c r="M300" s="2">
        <v>269.54000000000002</v>
      </c>
      <c r="N300" s="2">
        <f t="shared" si="9"/>
        <v>0.55700000000000005</v>
      </c>
      <c r="O300" s="2">
        <v>47.526510000000002</v>
      </c>
      <c r="P300" s="2">
        <v>-66.432323999999994</v>
      </c>
      <c r="Q300" s="2" t="s">
        <v>2107</v>
      </c>
      <c r="R300" s="3" t="s">
        <v>29</v>
      </c>
      <c r="S300" s="2" t="s">
        <v>22</v>
      </c>
      <c r="T300" s="2" t="s">
        <v>30</v>
      </c>
    </row>
    <row r="301" spans="1:20" x14ac:dyDescent="0.2">
      <c r="A301" s="2">
        <v>792</v>
      </c>
      <c r="B301" s="2" t="s">
        <v>461</v>
      </c>
      <c r="C301" s="2" t="s">
        <v>626</v>
      </c>
      <c r="D301" s="2" t="s">
        <v>66</v>
      </c>
      <c r="E301" s="2" t="s">
        <v>20</v>
      </c>
      <c r="F301" s="2">
        <v>2017</v>
      </c>
      <c r="G301" s="2">
        <v>2017</v>
      </c>
      <c r="H301" s="2">
        <f>'mpi_dataset_summary_2017-2024'!$G301-'mpi_dataset_summary_2017-2024'!$F301+1</f>
        <v>1</v>
      </c>
      <c r="I301" s="2" t="s">
        <v>2110</v>
      </c>
      <c r="J301" s="2" t="s">
        <v>2110</v>
      </c>
      <c r="K301" s="2">
        <f>IF('mpi_dataset_summary_2017-2024'!$G301=2024,1,0)</f>
        <v>0</v>
      </c>
      <c r="L301" s="2">
        <f t="shared" si="8"/>
        <v>1</v>
      </c>
      <c r="M301" s="2">
        <v>200</v>
      </c>
      <c r="N301" s="2">
        <f t="shared" si="9"/>
        <v>0.49099999999999999</v>
      </c>
      <c r="O301" s="2">
        <v>55.632899999999999</v>
      </c>
      <c r="P301" s="2">
        <v>-110.9898</v>
      </c>
      <c r="Q301" s="2" t="s">
        <v>2108</v>
      </c>
      <c r="R301" s="3" t="s">
        <v>37</v>
      </c>
      <c r="S301" s="2" t="s">
        <v>22</v>
      </c>
      <c r="T301" s="2" t="s">
        <v>38</v>
      </c>
    </row>
    <row r="302" spans="1:20" x14ac:dyDescent="0.2">
      <c r="A302" s="2">
        <v>793</v>
      </c>
      <c r="B302" s="2" t="s">
        <v>627</v>
      </c>
      <c r="C302" s="2" t="s">
        <v>628</v>
      </c>
      <c r="D302" s="2" t="s">
        <v>258</v>
      </c>
      <c r="E302" s="2" t="s">
        <v>20</v>
      </c>
      <c r="F302" s="2">
        <v>2017</v>
      </c>
      <c r="G302" s="2">
        <v>2018</v>
      </c>
      <c r="H302" s="2">
        <f>'mpi_dataset_summary_2017-2024'!$G302-'mpi_dataset_summary_2017-2024'!$F302+1</f>
        <v>2</v>
      </c>
      <c r="I302" s="2" t="s">
        <v>2113</v>
      </c>
      <c r="J302" s="2" t="s">
        <v>2113</v>
      </c>
      <c r="K302" s="2">
        <f>IF('mpi_dataset_summary_2017-2024'!$G302=2024,1,0)</f>
        <v>0</v>
      </c>
      <c r="L302" s="2">
        <f t="shared" si="8"/>
        <v>0</v>
      </c>
      <c r="M302" s="2">
        <v>200</v>
      </c>
      <c r="N302" s="2">
        <f t="shared" si="9"/>
        <v>0.49099999999999999</v>
      </c>
      <c r="O302" s="2">
        <v>47.905444000000003</v>
      </c>
      <c r="P302" s="2">
        <v>-65.860028999999997</v>
      </c>
      <c r="Q302" s="2" t="s">
        <v>2108</v>
      </c>
      <c r="R302" s="3" t="s">
        <v>37</v>
      </c>
      <c r="S302" s="2" t="s">
        <v>22</v>
      </c>
      <c r="T302" s="2" t="s">
        <v>38</v>
      </c>
    </row>
    <row r="303" spans="1:20" x14ac:dyDescent="0.2">
      <c r="A303" s="2">
        <v>794</v>
      </c>
      <c r="B303" s="2" t="s">
        <v>629</v>
      </c>
      <c r="C303" s="2" t="s">
        <v>630</v>
      </c>
      <c r="D303" s="2" t="s">
        <v>69</v>
      </c>
      <c r="E303" s="2" t="s">
        <v>20</v>
      </c>
      <c r="F303" s="2">
        <v>2018</v>
      </c>
      <c r="G303" s="2">
        <v>2024</v>
      </c>
      <c r="H303" s="2">
        <f>'mpi_dataset_summary_2017-2024'!$G303-'mpi_dataset_summary_2017-2024'!$F303+1</f>
        <v>7</v>
      </c>
      <c r="I303" s="2" t="s">
        <v>2112</v>
      </c>
      <c r="J303" s="2" t="s">
        <v>2110</v>
      </c>
      <c r="K303" s="2">
        <f>IF('mpi_dataset_summary_2017-2024'!$G303=2024,1,0)</f>
        <v>1</v>
      </c>
      <c r="L303" s="2">
        <f t="shared" si="8"/>
        <v>1</v>
      </c>
      <c r="M303" s="2">
        <v>300</v>
      </c>
      <c r="N303" s="2">
        <f t="shared" si="9"/>
        <v>0.57399999999999995</v>
      </c>
      <c r="O303" s="2">
        <v>55.993724999999998</v>
      </c>
      <c r="P303" s="2">
        <v>-129.761651</v>
      </c>
      <c r="Q303" s="2" t="s">
        <v>2107</v>
      </c>
      <c r="R303" s="3" t="s">
        <v>29</v>
      </c>
      <c r="S303" s="2" t="s">
        <v>22</v>
      </c>
      <c r="T303" s="2" t="s">
        <v>30</v>
      </c>
    </row>
    <row r="304" spans="1:20" x14ac:dyDescent="0.2">
      <c r="A304" s="2">
        <v>795</v>
      </c>
      <c r="B304" s="2" t="s">
        <v>631</v>
      </c>
      <c r="C304" s="2" t="s">
        <v>632</v>
      </c>
      <c r="D304" s="2" t="s">
        <v>89</v>
      </c>
      <c r="E304" s="2" t="s">
        <v>20</v>
      </c>
      <c r="F304" s="2">
        <v>2017</v>
      </c>
      <c r="G304" s="2">
        <v>2024</v>
      </c>
      <c r="H304" s="2">
        <f>'mpi_dataset_summary_2017-2024'!$G304-'mpi_dataset_summary_2017-2024'!$F304+1</f>
        <v>8</v>
      </c>
      <c r="I304" s="2" t="s">
        <v>2112</v>
      </c>
      <c r="J304" s="2" t="s">
        <v>2111</v>
      </c>
      <c r="K304" s="2">
        <f>IF('mpi_dataset_summary_2017-2024'!$G304=2024,1,0)</f>
        <v>1</v>
      </c>
      <c r="L304" s="2">
        <f t="shared" si="8"/>
        <v>0</v>
      </c>
      <c r="M304" s="2">
        <v>1564</v>
      </c>
      <c r="N304" s="2">
        <f t="shared" si="9"/>
        <v>0.87</v>
      </c>
      <c r="O304" s="2">
        <v>51.125343000000001</v>
      </c>
      <c r="P304" s="2">
        <v>-69.064963000000006</v>
      </c>
      <c r="Q304" s="2" t="s">
        <v>2107</v>
      </c>
      <c r="R304" s="3" t="s">
        <v>33</v>
      </c>
      <c r="S304" s="2" t="s">
        <v>25</v>
      </c>
      <c r="T304" s="2" t="s">
        <v>34</v>
      </c>
    </row>
    <row r="305" spans="1:20" x14ac:dyDescent="0.2">
      <c r="A305" s="2">
        <v>797</v>
      </c>
      <c r="B305" s="2" t="s">
        <v>633</v>
      </c>
      <c r="C305" s="2" t="s">
        <v>634</v>
      </c>
      <c r="D305" s="2" t="s">
        <v>89</v>
      </c>
      <c r="E305" s="2" t="s">
        <v>20</v>
      </c>
      <c r="F305" s="2">
        <v>2017</v>
      </c>
      <c r="G305" s="2">
        <v>2018</v>
      </c>
      <c r="H305" s="2">
        <f>'mpi_dataset_summary_2017-2024'!$G305-'mpi_dataset_summary_2017-2024'!$F305+1</f>
        <v>2</v>
      </c>
      <c r="I305" s="2" t="s">
        <v>2111</v>
      </c>
      <c r="J305" s="2" t="s">
        <v>2112</v>
      </c>
      <c r="K305" s="2">
        <f>IF('mpi_dataset_summary_2017-2024'!$G305=2024,1,0)</f>
        <v>0</v>
      </c>
      <c r="L305" s="2">
        <f t="shared" si="8"/>
        <v>0</v>
      </c>
      <c r="M305" s="2">
        <v>364</v>
      </c>
      <c r="N305" s="2">
        <f t="shared" si="9"/>
        <v>0.622</v>
      </c>
      <c r="O305" s="2">
        <v>48.092993999999997</v>
      </c>
      <c r="P305" s="2">
        <v>-77.753046999999995</v>
      </c>
      <c r="Q305" s="2" t="s">
        <v>2107</v>
      </c>
      <c r="R305" s="3" t="s">
        <v>29</v>
      </c>
      <c r="S305" s="2" t="s">
        <v>22</v>
      </c>
      <c r="T305" s="2" t="s">
        <v>30</v>
      </c>
    </row>
    <row r="306" spans="1:20" x14ac:dyDescent="0.2">
      <c r="A306" s="2">
        <v>798</v>
      </c>
      <c r="B306" s="2" t="s">
        <v>635</v>
      </c>
      <c r="C306" s="2" t="s">
        <v>636</v>
      </c>
      <c r="D306" s="2" t="s">
        <v>110</v>
      </c>
      <c r="E306" s="2" t="s">
        <v>20</v>
      </c>
      <c r="F306" s="2">
        <v>2017</v>
      </c>
      <c r="G306" s="2">
        <v>2023</v>
      </c>
      <c r="H306" s="2">
        <f>'mpi_dataset_summary_2017-2024'!$G306-'mpi_dataset_summary_2017-2024'!$F306+1</f>
        <v>7</v>
      </c>
      <c r="I306" s="2" t="s">
        <v>2111</v>
      </c>
      <c r="J306" s="2" t="s">
        <v>2111</v>
      </c>
      <c r="K306" s="2">
        <f>IF('mpi_dataset_summary_2017-2024'!$G306=2024,1,0)</f>
        <v>0</v>
      </c>
      <c r="L306" s="2">
        <f t="shared" si="8"/>
        <v>0</v>
      </c>
      <c r="M306" s="2">
        <v>550</v>
      </c>
      <c r="N306" s="2">
        <f t="shared" si="9"/>
        <v>0.70199999999999996</v>
      </c>
      <c r="O306" s="2">
        <v>53.258606999999998</v>
      </c>
      <c r="P306" s="2">
        <v>-105.554253</v>
      </c>
      <c r="Q306" s="2" t="s">
        <v>2109</v>
      </c>
      <c r="R306" s="3" t="s">
        <v>58</v>
      </c>
      <c r="S306" s="2" t="s">
        <v>22</v>
      </c>
      <c r="T306" s="2" t="s">
        <v>59</v>
      </c>
    </row>
    <row r="307" spans="1:20" x14ac:dyDescent="0.2">
      <c r="A307" s="2">
        <v>799</v>
      </c>
      <c r="B307" s="2" t="s">
        <v>637</v>
      </c>
      <c r="C307" s="2" t="s">
        <v>638</v>
      </c>
      <c r="D307" s="2" t="s">
        <v>185</v>
      </c>
      <c r="E307" s="2" t="s">
        <v>20</v>
      </c>
      <c r="F307" s="2">
        <v>2017</v>
      </c>
      <c r="G307" s="2">
        <v>2021</v>
      </c>
      <c r="H307" s="2">
        <f>'mpi_dataset_summary_2017-2024'!$G307-'mpi_dataset_summary_2017-2024'!$F307+1</f>
        <v>5</v>
      </c>
      <c r="I307" s="2" t="s">
        <v>2110</v>
      </c>
      <c r="J307" s="2" t="s">
        <v>2112</v>
      </c>
      <c r="K307" s="2">
        <f>IF('mpi_dataset_summary_2017-2024'!$G307=2024,1,0)</f>
        <v>0</v>
      </c>
      <c r="L307" s="2">
        <f t="shared" si="8"/>
        <v>0</v>
      </c>
      <c r="M307" s="2">
        <v>100</v>
      </c>
      <c r="N307" s="2">
        <f t="shared" si="9"/>
        <v>0.34300000000000003</v>
      </c>
      <c r="O307" s="2">
        <v>45.207672000000002</v>
      </c>
      <c r="P307" s="2">
        <v>-63.269593999999998</v>
      </c>
      <c r="Q307" s="2" t="s">
        <v>2108</v>
      </c>
      <c r="R307" s="3" t="s">
        <v>49</v>
      </c>
      <c r="S307" s="2" t="s">
        <v>25</v>
      </c>
      <c r="T307" s="2" t="s">
        <v>50</v>
      </c>
    </row>
    <row r="308" spans="1:20" x14ac:dyDescent="0.2">
      <c r="A308" s="2">
        <v>800</v>
      </c>
      <c r="B308" s="2" t="s">
        <v>639</v>
      </c>
      <c r="C308" s="2" t="s">
        <v>640</v>
      </c>
      <c r="D308" s="2" t="s">
        <v>83</v>
      </c>
      <c r="E308" s="2" t="s">
        <v>20</v>
      </c>
      <c r="F308" s="2">
        <v>2017</v>
      </c>
      <c r="G308" s="2">
        <v>2024</v>
      </c>
      <c r="H308" s="2">
        <f>'mpi_dataset_summary_2017-2024'!$G308-'mpi_dataset_summary_2017-2024'!$F308+1</f>
        <v>8</v>
      </c>
      <c r="I308" s="2" t="s">
        <v>2112</v>
      </c>
      <c r="J308" s="2" t="s">
        <v>2112</v>
      </c>
      <c r="K308" s="2">
        <f>IF('mpi_dataset_summary_2017-2024'!$G308=2024,1,0)</f>
        <v>1</v>
      </c>
      <c r="L308" s="2">
        <f t="shared" si="8"/>
        <v>0</v>
      </c>
      <c r="M308" s="2">
        <v>270.39999999999998</v>
      </c>
      <c r="N308" s="2">
        <f t="shared" si="9"/>
        <v>0.55900000000000005</v>
      </c>
      <c r="O308" s="2">
        <v>53.606900000000003</v>
      </c>
      <c r="P308" s="2">
        <v>-77.688199999999995</v>
      </c>
      <c r="Q308" s="2" t="s">
        <v>2107</v>
      </c>
      <c r="R308" s="3" t="s">
        <v>41</v>
      </c>
      <c r="S308" s="2" t="s">
        <v>22</v>
      </c>
      <c r="T308" s="2" t="s">
        <v>42</v>
      </c>
    </row>
    <row r="309" spans="1:20" x14ac:dyDescent="0.2">
      <c r="A309" s="2">
        <v>802</v>
      </c>
      <c r="B309" s="2" t="s">
        <v>641</v>
      </c>
      <c r="C309" s="2" t="s">
        <v>642</v>
      </c>
      <c r="D309" s="2" t="s">
        <v>185</v>
      </c>
      <c r="E309" s="2" t="s">
        <v>20</v>
      </c>
      <c r="F309" s="2">
        <v>2017</v>
      </c>
      <c r="G309" s="2">
        <v>2024</v>
      </c>
      <c r="H309" s="2">
        <f>'mpi_dataset_summary_2017-2024'!$G309-'mpi_dataset_summary_2017-2024'!$F309+1</f>
        <v>8</v>
      </c>
      <c r="I309" s="2" t="s">
        <v>2113</v>
      </c>
      <c r="J309" s="2" t="s">
        <v>2113</v>
      </c>
      <c r="K309" s="2">
        <f>IF('mpi_dataset_summary_2017-2024'!$G309=2024,1,0)</f>
        <v>1</v>
      </c>
      <c r="L309" s="2">
        <f t="shared" si="8"/>
        <v>0</v>
      </c>
      <c r="M309" s="2">
        <v>95</v>
      </c>
      <c r="N309" s="2">
        <f t="shared" si="9"/>
        <v>0.33600000000000002</v>
      </c>
      <c r="O309" s="2">
        <v>45.347966</v>
      </c>
      <c r="P309" s="2">
        <v>-61.14967</v>
      </c>
      <c r="Q309" s="2" t="s">
        <v>2107</v>
      </c>
      <c r="R309" s="3" t="s">
        <v>41</v>
      </c>
      <c r="S309" s="2" t="s">
        <v>22</v>
      </c>
      <c r="T309" s="2" t="s">
        <v>42</v>
      </c>
    </row>
    <row r="310" spans="1:20" x14ac:dyDescent="0.2">
      <c r="A310" s="2">
        <v>807</v>
      </c>
      <c r="B310" s="2" t="s">
        <v>643</v>
      </c>
      <c r="C310" s="2" t="s">
        <v>644</v>
      </c>
      <c r="D310" s="2" t="s">
        <v>185</v>
      </c>
      <c r="E310" s="2" t="s">
        <v>20</v>
      </c>
      <c r="F310" s="2">
        <v>2017</v>
      </c>
      <c r="G310" s="2">
        <v>2018</v>
      </c>
      <c r="H310" s="2">
        <f>'mpi_dataset_summary_2017-2024'!$G310-'mpi_dataset_summary_2017-2024'!$F310+1</f>
        <v>2</v>
      </c>
      <c r="I310" s="2" t="s">
        <v>2111</v>
      </c>
      <c r="J310" s="2" t="s">
        <v>2111</v>
      </c>
      <c r="K310" s="2">
        <f>IF('mpi_dataset_summary_2017-2024'!$G310=2024,1,0)</f>
        <v>0</v>
      </c>
      <c r="L310" s="2">
        <f t="shared" si="8"/>
        <v>0</v>
      </c>
      <c r="M310" s="2">
        <v>100</v>
      </c>
      <c r="N310" s="2">
        <f t="shared" si="9"/>
        <v>0.34300000000000003</v>
      </c>
      <c r="O310" s="2">
        <v>44.647401000000002</v>
      </c>
      <c r="P310" s="2">
        <v>-63.590651000000001</v>
      </c>
      <c r="Q310" s="2" t="s">
        <v>2108</v>
      </c>
      <c r="R310" s="3" t="s">
        <v>27</v>
      </c>
      <c r="S310" s="2" t="s">
        <v>25</v>
      </c>
      <c r="T310" s="2" t="s">
        <v>28</v>
      </c>
    </row>
    <row r="311" spans="1:20" x14ac:dyDescent="0.2">
      <c r="A311" s="2">
        <v>808</v>
      </c>
      <c r="B311" s="2" t="s">
        <v>645</v>
      </c>
      <c r="C311" s="2" t="s">
        <v>646</v>
      </c>
      <c r="D311" s="2" t="s">
        <v>66</v>
      </c>
      <c r="E311" s="2" t="s">
        <v>20</v>
      </c>
      <c r="F311" s="2">
        <v>2017</v>
      </c>
      <c r="G311" s="2">
        <v>2024</v>
      </c>
      <c r="H311" s="2">
        <f>'mpi_dataset_summary_2017-2024'!$G311-'mpi_dataset_summary_2017-2024'!$F311+1</f>
        <v>8</v>
      </c>
      <c r="I311" s="2" t="s">
        <v>2111</v>
      </c>
      <c r="J311" s="2" t="s">
        <v>2111</v>
      </c>
      <c r="K311" s="2">
        <f>IF('mpi_dataset_summary_2017-2024'!$G311=2024,1,0)</f>
        <v>1</v>
      </c>
      <c r="L311" s="2">
        <f t="shared" si="8"/>
        <v>0</v>
      </c>
      <c r="M311" s="2">
        <v>50</v>
      </c>
      <c r="N311" s="2">
        <f t="shared" si="9"/>
        <v>0.214</v>
      </c>
      <c r="O311" s="2">
        <v>54.700000762939503</v>
      </c>
      <c r="P311" s="2">
        <v>-119.014999389648</v>
      </c>
      <c r="Q311" s="2" t="s">
        <v>2108</v>
      </c>
      <c r="R311" s="3" t="s">
        <v>37</v>
      </c>
      <c r="S311" s="2" t="s">
        <v>22</v>
      </c>
      <c r="T311" s="2" t="s">
        <v>38</v>
      </c>
    </row>
    <row r="312" spans="1:20" x14ac:dyDescent="0.2">
      <c r="A312" s="2">
        <v>810</v>
      </c>
      <c r="B312" s="2" t="s">
        <v>647</v>
      </c>
      <c r="C312" s="2" t="s">
        <v>648</v>
      </c>
      <c r="D312" s="2" t="s">
        <v>185</v>
      </c>
      <c r="E312" s="2" t="s">
        <v>20</v>
      </c>
      <c r="F312" s="2">
        <v>2017</v>
      </c>
      <c r="G312" s="2">
        <v>2018</v>
      </c>
      <c r="H312" s="2">
        <f>'mpi_dataset_summary_2017-2024'!$G312-'mpi_dataset_summary_2017-2024'!$F312+1</f>
        <v>2</v>
      </c>
      <c r="I312" s="2" t="s">
        <v>2111</v>
      </c>
      <c r="J312" s="2" t="s">
        <v>2111</v>
      </c>
      <c r="K312" s="2">
        <f>IF('mpi_dataset_summary_2017-2024'!$G312=2024,1,0)</f>
        <v>0</v>
      </c>
      <c r="L312" s="2">
        <f t="shared" si="8"/>
        <v>0</v>
      </c>
      <c r="M312" s="2">
        <v>35</v>
      </c>
      <c r="N312" s="2">
        <f t="shared" si="9"/>
        <v>0.158</v>
      </c>
      <c r="O312" s="2">
        <v>44.051434</v>
      </c>
      <c r="P312" s="2">
        <v>-64.695983999999996</v>
      </c>
      <c r="Q312" s="2" t="s">
        <v>2108</v>
      </c>
      <c r="R312" s="3" t="s">
        <v>44</v>
      </c>
      <c r="S312" s="2" t="s">
        <v>25</v>
      </c>
      <c r="T312" s="2" t="s">
        <v>45</v>
      </c>
    </row>
    <row r="313" spans="1:20" x14ac:dyDescent="0.2">
      <c r="A313" s="2">
        <v>812</v>
      </c>
      <c r="B313" s="2" t="s">
        <v>649</v>
      </c>
      <c r="C313" s="2" t="s">
        <v>650</v>
      </c>
      <c r="D313" s="2" t="s">
        <v>185</v>
      </c>
      <c r="E313" s="2" t="s">
        <v>20</v>
      </c>
      <c r="F313" s="2">
        <v>2017</v>
      </c>
      <c r="G313" s="2">
        <v>2018</v>
      </c>
      <c r="H313" s="2">
        <f>'mpi_dataset_summary_2017-2024'!$G313-'mpi_dataset_summary_2017-2024'!$F313+1</f>
        <v>2</v>
      </c>
      <c r="I313" s="2" t="s">
        <v>2111</v>
      </c>
      <c r="J313" s="2" t="s">
        <v>2111</v>
      </c>
      <c r="K313" s="2">
        <f>IF('mpi_dataset_summary_2017-2024'!$G313=2024,1,0)</f>
        <v>0</v>
      </c>
      <c r="L313" s="2">
        <f t="shared" si="8"/>
        <v>0</v>
      </c>
      <c r="M313" s="2">
        <v>30</v>
      </c>
      <c r="N313" s="2">
        <f t="shared" si="9"/>
        <v>0.14599999999999999</v>
      </c>
      <c r="O313" s="2">
        <v>44.929099999999998</v>
      </c>
      <c r="P313" s="2">
        <v>-63.527200000000001</v>
      </c>
      <c r="Q313" s="2" t="s">
        <v>2108</v>
      </c>
      <c r="R313" s="3" t="s">
        <v>27</v>
      </c>
      <c r="S313" s="2" t="s">
        <v>25</v>
      </c>
      <c r="T313" s="2" t="s">
        <v>28</v>
      </c>
    </row>
    <row r="314" spans="1:20" x14ac:dyDescent="0.2">
      <c r="A314" s="2">
        <v>815</v>
      </c>
      <c r="B314" s="2" t="s">
        <v>651</v>
      </c>
      <c r="C314" s="2" t="s">
        <v>652</v>
      </c>
      <c r="D314" s="2" t="s">
        <v>66</v>
      </c>
      <c r="E314" s="2" t="s">
        <v>20</v>
      </c>
      <c r="F314" s="2">
        <v>2019</v>
      </c>
      <c r="G314" s="2">
        <v>2020</v>
      </c>
      <c r="H314" s="2">
        <f>'mpi_dataset_summary_2017-2024'!$G314-'mpi_dataset_summary_2017-2024'!$F314+1</f>
        <v>2</v>
      </c>
      <c r="I314" s="2" t="s">
        <v>2110</v>
      </c>
      <c r="J314" s="2" t="s">
        <v>2110</v>
      </c>
      <c r="K314" s="2">
        <f>IF('mpi_dataset_summary_2017-2024'!$G314=2024,1,0)</f>
        <v>0</v>
      </c>
      <c r="L314" s="2">
        <f t="shared" si="8"/>
        <v>1</v>
      </c>
      <c r="M314" s="2">
        <v>40</v>
      </c>
      <c r="N314" s="2">
        <f t="shared" si="9"/>
        <v>0.17799999999999999</v>
      </c>
      <c r="O314" s="2">
        <v>55.2864</v>
      </c>
      <c r="P314" s="2">
        <v>-114.5112</v>
      </c>
      <c r="Q314" s="2" t="s">
        <v>2109</v>
      </c>
      <c r="R314" s="3" t="s">
        <v>41</v>
      </c>
      <c r="S314" s="2" t="s">
        <v>25</v>
      </c>
      <c r="T314" s="2" t="s">
        <v>57</v>
      </c>
    </row>
    <row r="315" spans="1:20" x14ac:dyDescent="0.2">
      <c r="A315" s="2">
        <v>817</v>
      </c>
      <c r="B315" s="2" t="s">
        <v>653</v>
      </c>
      <c r="C315" s="2" t="s">
        <v>654</v>
      </c>
      <c r="D315" s="2" t="s">
        <v>89</v>
      </c>
      <c r="E315" s="2" t="s">
        <v>20</v>
      </c>
      <c r="F315" s="2">
        <v>2017</v>
      </c>
      <c r="G315" s="2">
        <v>2024</v>
      </c>
      <c r="H315" s="2">
        <f>'mpi_dataset_summary_2017-2024'!$G315-'mpi_dataset_summary_2017-2024'!$F315+1</f>
        <v>8</v>
      </c>
      <c r="I315" s="2" t="s">
        <v>2112</v>
      </c>
      <c r="J315" s="2" t="s">
        <v>2112</v>
      </c>
      <c r="K315" s="2">
        <f>IF('mpi_dataset_summary_2017-2024'!$G315=2024,1,0)</f>
        <v>1</v>
      </c>
      <c r="L315" s="2">
        <f t="shared" si="8"/>
        <v>0</v>
      </c>
      <c r="M315" s="2">
        <v>236.8</v>
      </c>
      <c r="N315" s="2">
        <f t="shared" si="9"/>
        <v>0.53100000000000003</v>
      </c>
      <c r="O315" s="2">
        <v>52.548090000000002</v>
      </c>
      <c r="P315" s="2">
        <v>-67.180019999999999</v>
      </c>
      <c r="Q315" s="2" t="s">
        <v>2107</v>
      </c>
      <c r="R315" s="3" t="s">
        <v>33</v>
      </c>
      <c r="S315" s="2" t="s">
        <v>25</v>
      </c>
      <c r="T315" s="2" t="s">
        <v>34</v>
      </c>
    </row>
    <row r="316" spans="1:20" x14ac:dyDescent="0.2">
      <c r="A316" s="2">
        <v>818</v>
      </c>
      <c r="B316" s="2" t="s">
        <v>401</v>
      </c>
      <c r="C316" s="2" t="s">
        <v>655</v>
      </c>
      <c r="D316" s="2" t="s">
        <v>66</v>
      </c>
      <c r="E316" s="2" t="s">
        <v>20</v>
      </c>
      <c r="F316" s="2">
        <v>2020</v>
      </c>
      <c r="G316" s="2">
        <v>2024</v>
      </c>
      <c r="H316" s="2">
        <f>'mpi_dataset_summary_2017-2024'!$G316-'mpi_dataset_summary_2017-2024'!$F316+1</f>
        <v>5</v>
      </c>
      <c r="I316" s="2" t="s">
        <v>2112</v>
      </c>
      <c r="J316" s="2" t="s">
        <v>2112</v>
      </c>
      <c r="K316" s="2">
        <f>IF('mpi_dataset_summary_2017-2024'!$G316=2024,1,0)</f>
        <v>1</v>
      </c>
      <c r="L316" s="2">
        <f t="shared" si="8"/>
        <v>0</v>
      </c>
      <c r="M316" s="2">
        <v>640</v>
      </c>
      <c r="N316" s="2">
        <f t="shared" si="9"/>
        <v>0.73199999999999998</v>
      </c>
      <c r="O316" s="2">
        <v>56.476138900000002</v>
      </c>
      <c r="P316" s="2">
        <v>-111.40763889999999</v>
      </c>
      <c r="Q316" s="2" t="s">
        <v>2108</v>
      </c>
      <c r="R316" s="3" t="s">
        <v>39</v>
      </c>
      <c r="S316" s="2" t="s">
        <v>22</v>
      </c>
      <c r="T316" s="2" t="s">
        <v>40</v>
      </c>
    </row>
    <row r="317" spans="1:20" x14ac:dyDescent="0.2">
      <c r="A317" s="2">
        <v>819</v>
      </c>
      <c r="B317" s="2" t="s">
        <v>656</v>
      </c>
      <c r="C317" s="2" t="s">
        <v>657</v>
      </c>
      <c r="D317" s="2" t="s">
        <v>89</v>
      </c>
      <c r="E317" s="2" t="s">
        <v>20</v>
      </c>
      <c r="F317" s="2">
        <v>2017</v>
      </c>
      <c r="G317" s="2">
        <v>2023</v>
      </c>
      <c r="H317" s="2">
        <f>'mpi_dataset_summary_2017-2024'!$G317-'mpi_dataset_summary_2017-2024'!$F317+1</f>
        <v>7</v>
      </c>
      <c r="I317" s="2" t="s">
        <v>2111</v>
      </c>
      <c r="J317" s="2" t="s">
        <v>2110</v>
      </c>
      <c r="K317" s="2">
        <f>IF('mpi_dataset_summary_2017-2024'!$G317=2024,1,0)</f>
        <v>0</v>
      </c>
      <c r="L317" s="2">
        <f t="shared" si="8"/>
        <v>1</v>
      </c>
      <c r="M317" s="2">
        <v>190</v>
      </c>
      <c r="N317" s="2">
        <f t="shared" si="9"/>
        <v>0.48299999999999998</v>
      </c>
      <c r="O317" s="2">
        <v>46.834699999999998</v>
      </c>
      <c r="P317" s="2">
        <v>-71.203299999999999</v>
      </c>
      <c r="Q317" s="2" t="s">
        <v>2108</v>
      </c>
      <c r="R317" s="3" t="s">
        <v>27</v>
      </c>
      <c r="S317" s="2" t="s">
        <v>25</v>
      </c>
      <c r="T317" s="2" t="s">
        <v>28</v>
      </c>
    </row>
    <row r="318" spans="1:20" x14ac:dyDescent="0.2">
      <c r="A318" s="2">
        <v>825</v>
      </c>
      <c r="B318" s="2" t="s">
        <v>658</v>
      </c>
      <c r="C318" s="2" t="s">
        <v>659</v>
      </c>
      <c r="D318" s="2" t="s">
        <v>89</v>
      </c>
      <c r="E318" s="2" t="s">
        <v>20</v>
      </c>
      <c r="F318" s="2">
        <v>2017</v>
      </c>
      <c r="G318" s="2">
        <v>2021</v>
      </c>
      <c r="H318" s="2">
        <f>'mpi_dataset_summary_2017-2024'!$G318-'mpi_dataset_summary_2017-2024'!$F318+1</f>
        <v>5</v>
      </c>
      <c r="I318" s="2" t="s">
        <v>2110</v>
      </c>
      <c r="J318" s="2" t="s">
        <v>2110</v>
      </c>
      <c r="K318" s="2">
        <f>IF('mpi_dataset_summary_2017-2024'!$G318=2024,1,0)</f>
        <v>0</v>
      </c>
      <c r="L318" s="2">
        <f t="shared" si="8"/>
        <v>1</v>
      </c>
      <c r="M318" s="2">
        <v>70</v>
      </c>
      <c r="N318" s="2">
        <f t="shared" si="9"/>
        <v>0.27600000000000002</v>
      </c>
      <c r="O318" s="2">
        <v>48.4651</v>
      </c>
      <c r="P318" s="2">
        <v>-71.750799999999998</v>
      </c>
      <c r="Q318" s="2" t="s">
        <v>2108</v>
      </c>
      <c r="R318" s="3" t="s">
        <v>24</v>
      </c>
      <c r="S318" s="2" t="s">
        <v>25</v>
      </c>
      <c r="T318" s="2" t="s">
        <v>45</v>
      </c>
    </row>
    <row r="319" spans="1:20" x14ac:dyDescent="0.2">
      <c r="A319" s="2">
        <v>828</v>
      </c>
      <c r="B319" s="2" t="s">
        <v>660</v>
      </c>
      <c r="C319" s="2" t="s">
        <v>661</v>
      </c>
      <c r="D319" s="2" t="s">
        <v>89</v>
      </c>
      <c r="E319" s="2" t="s">
        <v>20</v>
      </c>
      <c r="F319" s="2">
        <v>2017</v>
      </c>
      <c r="G319" s="2">
        <v>2017</v>
      </c>
      <c r="H319" s="2">
        <f>'mpi_dataset_summary_2017-2024'!$G319-'mpi_dataset_summary_2017-2024'!$F319+1</f>
        <v>1</v>
      </c>
      <c r="I319" s="2" t="s">
        <v>2110</v>
      </c>
      <c r="J319" s="2" t="s">
        <v>2110</v>
      </c>
      <c r="K319" s="2">
        <f>IF('mpi_dataset_summary_2017-2024'!$G319=2024,1,0)</f>
        <v>0</v>
      </c>
      <c r="L319" s="2">
        <f t="shared" si="8"/>
        <v>1</v>
      </c>
      <c r="M319" s="2">
        <v>59</v>
      </c>
      <c r="N319" s="2">
        <f t="shared" si="9"/>
        <v>0.253</v>
      </c>
      <c r="O319" s="2">
        <v>45.707700000000003</v>
      </c>
      <c r="P319" s="2">
        <v>-73.424599999999998</v>
      </c>
      <c r="Q319" s="2" t="s">
        <v>2108</v>
      </c>
      <c r="R319" s="3" t="s">
        <v>27</v>
      </c>
      <c r="S319" s="2" t="s">
        <v>25</v>
      </c>
      <c r="T319" s="2" t="s">
        <v>28</v>
      </c>
    </row>
    <row r="320" spans="1:20" x14ac:dyDescent="0.2">
      <c r="A320" s="2">
        <v>833</v>
      </c>
      <c r="B320" s="2" t="s">
        <v>662</v>
      </c>
      <c r="C320" s="2" t="s">
        <v>663</v>
      </c>
      <c r="D320" s="2" t="s">
        <v>69</v>
      </c>
      <c r="E320" s="2" t="s">
        <v>20</v>
      </c>
      <c r="F320" s="2">
        <v>2017</v>
      </c>
      <c r="G320" s="2">
        <v>2017</v>
      </c>
      <c r="H320" s="2">
        <f>'mpi_dataset_summary_2017-2024'!$G320-'mpi_dataset_summary_2017-2024'!$F320+1</f>
        <v>1</v>
      </c>
      <c r="I320" s="2" t="s">
        <v>2112</v>
      </c>
      <c r="J320" s="2" t="s">
        <v>2112</v>
      </c>
      <c r="K320" s="2">
        <f>IF('mpi_dataset_summary_2017-2024'!$G320=2024,1,0)</f>
        <v>0</v>
      </c>
      <c r="L320" s="2">
        <f t="shared" si="8"/>
        <v>0</v>
      </c>
      <c r="M320" s="2">
        <v>17000</v>
      </c>
      <c r="N320" s="2">
        <f t="shared" si="9"/>
        <v>0.99099999999999999</v>
      </c>
      <c r="O320" s="2">
        <v>54.318638999999997</v>
      </c>
      <c r="P320" s="2">
        <v>-130.31970699999999</v>
      </c>
      <c r="Q320" s="2" t="s">
        <v>2108</v>
      </c>
      <c r="R320" s="3" t="s">
        <v>37</v>
      </c>
      <c r="S320" s="2" t="s">
        <v>22</v>
      </c>
      <c r="T320" s="2" t="s">
        <v>38</v>
      </c>
    </row>
    <row r="321" spans="1:20" x14ac:dyDescent="0.2">
      <c r="A321" s="2">
        <v>834</v>
      </c>
      <c r="B321" s="2" t="s">
        <v>438</v>
      </c>
      <c r="C321" s="2" t="s">
        <v>664</v>
      </c>
      <c r="D321" s="2" t="s">
        <v>66</v>
      </c>
      <c r="E321" s="2" t="s">
        <v>20</v>
      </c>
      <c r="F321" s="2">
        <v>2017</v>
      </c>
      <c r="G321" s="2">
        <v>2019</v>
      </c>
      <c r="H321" s="2">
        <f>'mpi_dataset_summary_2017-2024'!$G321-'mpi_dataset_summary_2017-2024'!$F321+1</f>
        <v>3</v>
      </c>
      <c r="I321" s="2" t="s">
        <v>2113</v>
      </c>
      <c r="J321" s="2" t="s">
        <v>2110</v>
      </c>
      <c r="K321" s="2">
        <f>IF('mpi_dataset_summary_2017-2024'!$G321=2024,1,0)</f>
        <v>0</v>
      </c>
      <c r="L321" s="2">
        <f t="shared" si="8"/>
        <v>1</v>
      </c>
      <c r="M321" s="2">
        <v>500</v>
      </c>
      <c r="N321" s="2">
        <f t="shared" si="9"/>
        <v>0.67800000000000005</v>
      </c>
      <c r="O321" s="2">
        <v>55.666400000000003</v>
      </c>
      <c r="P321" s="2">
        <v>-110.714</v>
      </c>
      <c r="Q321" s="2" t="s">
        <v>2108</v>
      </c>
      <c r="R321" s="3" t="s">
        <v>39</v>
      </c>
      <c r="S321" s="2" t="s">
        <v>22</v>
      </c>
      <c r="T321" s="2" t="s">
        <v>40</v>
      </c>
    </row>
    <row r="322" spans="1:20" x14ac:dyDescent="0.2">
      <c r="A322" s="2">
        <v>837</v>
      </c>
      <c r="B322" s="2" t="s">
        <v>531</v>
      </c>
      <c r="C322" s="2" t="s">
        <v>665</v>
      </c>
      <c r="D322" s="2" t="s">
        <v>66</v>
      </c>
      <c r="E322" s="2" t="s">
        <v>20</v>
      </c>
      <c r="F322" s="2">
        <v>2017</v>
      </c>
      <c r="G322" s="2">
        <v>2017</v>
      </c>
      <c r="H322" s="2">
        <f>'mpi_dataset_summary_2017-2024'!$G322-'mpi_dataset_summary_2017-2024'!$F322+1</f>
        <v>1</v>
      </c>
      <c r="I322" s="2" t="s">
        <v>2111</v>
      </c>
      <c r="J322" s="2" t="s">
        <v>2111</v>
      </c>
      <c r="K322" s="2">
        <f>IF('mpi_dataset_summary_2017-2024'!$G322=2024,1,0)</f>
        <v>0</v>
      </c>
      <c r="L322" s="2">
        <f t="shared" ref="L322:L385" si="10">IF(J322="Under Construction",1,0)</f>
        <v>0</v>
      </c>
      <c r="M322" s="2">
        <v>460</v>
      </c>
      <c r="N322" s="2">
        <f t="shared" ref="N322:N385" si="11">_xlfn.PERCENTRANK.INC($M$2:$M$4056,M322)</f>
        <v>0.66500000000000004</v>
      </c>
      <c r="O322" s="2">
        <v>53.949001312255902</v>
      </c>
      <c r="P322" s="2">
        <v>-113.10700225830099</v>
      </c>
      <c r="Q322" s="2" t="s">
        <v>2108</v>
      </c>
      <c r="R322" s="3" t="s">
        <v>37</v>
      </c>
      <c r="S322" s="2" t="s">
        <v>22</v>
      </c>
      <c r="T322" s="2" t="s">
        <v>38</v>
      </c>
    </row>
    <row r="323" spans="1:20" x14ac:dyDescent="0.2">
      <c r="A323" s="2">
        <v>838</v>
      </c>
      <c r="B323" s="2" t="s">
        <v>531</v>
      </c>
      <c r="C323" s="2" t="s">
        <v>666</v>
      </c>
      <c r="D323" s="2" t="s">
        <v>66</v>
      </c>
      <c r="E323" s="2" t="s">
        <v>20</v>
      </c>
      <c r="F323" s="2">
        <v>2017</v>
      </c>
      <c r="G323" s="2">
        <v>2020</v>
      </c>
      <c r="H323" s="2">
        <f>'mpi_dataset_summary_2017-2024'!$G323-'mpi_dataset_summary_2017-2024'!$F323+1</f>
        <v>4</v>
      </c>
      <c r="I323" s="2" t="s">
        <v>2110</v>
      </c>
      <c r="J323" s="2" t="s">
        <v>2110</v>
      </c>
      <c r="K323" s="2">
        <f>IF('mpi_dataset_summary_2017-2024'!$G323=2024,1,0)</f>
        <v>0</v>
      </c>
      <c r="L323" s="2">
        <f t="shared" si="10"/>
        <v>1</v>
      </c>
      <c r="M323" s="2">
        <v>350</v>
      </c>
      <c r="N323" s="2">
        <f t="shared" si="11"/>
        <v>0.60299999999999998</v>
      </c>
      <c r="O323" s="2">
        <v>53.789546966552699</v>
      </c>
      <c r="P323" s="2">
        <v>-113.09952545166</v>
      </c>
      <c r="Q323" s="2" t="s">
        <v>2108</v>
      </c>
      <c r="R323" s="3" t="s">
        <v>39</v>
      </c>
      <c r="S323" s="2" t="s">
        <v>22</v>
      </c>
      <c r="T323" s="2" t="s">
        <v>40</v>
      </c>
    </row>
    <row r="324" spans="1:20" x14ac:dyDescent="0.2">
      <c r="A324" s="2">
        <v>839</v>
      </c>
      <c r="B324" s="2" t="s">
        <v>667</v>
      </c>
      <c r="C324" s="2" t="s">
        <v>668</v>
      </c>
      <c r="D324" s="2" t="s">
        <v>66</v>
      </c>
      <c r="E324" s="2" t="s">
        <v>20</v>
      </c>
      <c r="F324" s="2">
        <v>2017</v>
      </c>
      <c r="G324" s="2">
        <v>2017</v>
      </c>
      <c r="H324" s="2">
        <f>'mpi_dataset_summary_2017-2024'!$G324-'mpi_dataset_summary_2017-2024'!$F324+1</f>
        <v>1</v>
      </c>
      <c r="I324" s="2" t="s">
        <v>2110</v>
      </c>
      <c r="J324" s="2" t="s">
        <v>2110</v>
      </c>
      <c r="K324" s="2">
        <f>IF('mpi_dataset_summary_2017-2024'!$G324=2024,1,0)</f>
        <v>0</v>
      </c>
      <c r="L324" s="2">
        <f t="shared" si="10"/>
        <v>1</v>
      </c>
      <c r="M324" s="2">
        <v>200</v>
      </c>
      <c r="N324" s="2">
        <f t="shared" si="11"/>
        <v>0.49099999999999999</v>
      </c>
      <c r="O324" s="2">
        <v>53.766998291015597</v>
      </c>
      <c r="P324" s="2">
        <v>-113.057998657227</v>
      </c>
      <c r="Q324" s="2" t="s">
        <v>2108</v>
      </c>
      <c r="R324" s="3" t="s">
        <v>49</v>
      </c>
      <c r="S324" s="2" t="s">
        <v>25</v>
      </c>
      <c r="T324" s="2" t="s">
        <v>50</v>
      </c>
    </row>
    <row r="325" spans="1:20" x14ac:dyDescent="0.2">
      <c r="A325" s="2">
        <v>841</v>
      </c>
      <c r="B325" s="2" t="s">
        <v>119</v>
      </c>
      <c r="C325" s="2" t="s">
        <v>669</v>
      </c>
      <c r="D325" s="2" t="s">
        <v>66</v>
      </c>
      <c r="E325" s="2" t="s">
        <v>20</v>
      </c>
      <c r="F325" s="2">
        <v>2017</v>
      </c>
      <c r="G325" s="2">
        <v>2024</v>
      </c>
      <c r="H325" s="2">
        <f>'mpi_dataset_summary_2017-2024'!$G325-'mpi_dataset_summary_2017-2024'!$F325+1</f>
        <v>8</v>
      </c>
      <c r="I325" s="2" t="s">
        <v>2111</v>
      </c>
      <c r="J325" s="2" t="s">
        <v>2111</v>
      </c>
      <c r="K325" s="2">
        <f>IF('mpi_dataset_summary_2017-2024'!$G325=2024,1,0)</f>
        <v>1</v>
      </c>
      <c r="L325" s="2">
        <f t="shared" si="10"/>
        <v>0</v>
      </c>
      <c r="M325" s="2">
        <v>1300</v>
      </c>
      <c r="N325" s="2">
        <f t="shared" si="11"/>
        <v>0.84299999999999997</v>
      </c>
      <c r="O325" s="2">
        <v>55.527900000000002</v>
      </c>
      <c r="P325" s="2">
        <v>-110.8738</v>
      </c>
      <c r="Q325" s="2" t="s">
        <v>2108</v>
      </c>
      <c r="R325" s="3" t="s">
        <v>39</v>
      </c>
      <c r="S325" s="2" t="s">
        <v>22</v>
      </c>
      <c r="T325" s="2" t="s">
        <v>40</v>
      </c>
    </row>
    <row r="326" spans="1:20" x14ac:dyDescent="0.2">
      <c r="A326" s="2">
        <v>842</v>
      </c>
      <c r="B326" s="2" t="s">
        <v>214</v>
      </c>
      <c r="C326" s="2" t="s">
        <v>670</v>
      </c>
      <c r="D326" s="2" t="s">
        <v>89</v>
      </c>
      <c r="E326" s="2" t="s">
        <v>43</v>
      </c>
      <c r="F326" s="2">
        <v>2017</v>
      </c>
      <c r="G326" s="2">
        <v>2017</v>
      </c>
      <c r="H326" s="2">
        <f>'mpi_dataset_summary_2017-2024'!$G326-'mpi_dataset_summary_2017-2024'!$F326+1</f>
        <v>1</v>
      </c>
      <c r="I326" s="2" t="s">
        <v>2110</v>
      </c>
      <c r="J326" s="2" t="s">
        <v>2110</v>
      </c>
      <c r="K326" s="2">
        <f>IF('mpi_dataset_summary_2017-2024'!$G326=2024,1,0)</f>
        <v>0</v>
      </c>
      <c r="L326" s="2">
        <f t="shared" si="10"/>
        <v>1</v>
      </c>
      <c r="M326" s="2">
        <v>217</v>
      </c>
      <c r="N326" s="2">
        <f t="shared" si="11"/>
        <v>0.51700000000000002</v>
      </c>
      <c r="O326" s="2">
        <v>45.511299999999999</v>
      </c>
      <c r="P326" s="2">
        <v>-73.5625</v>
      </c>
      <c r="Q326" s="2" t="s">
        <v>2108</v>
      </c>
      <c r="R326" s="3" t="s">
        <v>35</v>
      </c>
      <c r="S326" s="2" t="s">
        <v>22</v>
      </c>
      <c r="T326" s="2" t="s">
        <v>45</v>
      </c>
    </row>
    <row r="327" spans="1:20" x14ac:dyDescent="0.2">
      <c r="A327" s="2">
        <v>843</v>
      </c>
      <c r="B327" s="2" t="s">
        <v>671</v>
      </c>
      <c r="C327" s="2" t="s">
        <v>672</v>
      </c>
      <c r="D327" s="2" t="s">
        <v>89</v>
      </c>
      <c r="E327" s="2" t="s">
        <v>20</v>
      </c>
      <c r="F327" s="2">
        <v>2017</v>
      </c>
      <c r="G327" s="2">
        <v>2018</v>
      </c>
      <c r="H327" s="2">
        <f>'mpi_dataset_summary_2017-2024'!$G327-'mpi_dataset_summary_2017-2024'!$F327+1</f>
        <v>2</v>
      </c>
      <c r="I327" s="2" t="s">
        <v>2111</v>
      </c>
      <c r="J327" s="2" t="s">
        <v>2111</v>
      </c>
      <c r="K327" s="2">
        <f>IF('mpi_dataset_summary_2017-2024'!$G327=2024,1,0)</f>
        <v>0</v>
      </c>
      <c r="L327" s="2">
        <f t="shared" si="10"/>
        <v>0</v>
      </c>
      <c r="M327" s="2">
        <v>675</v>
      </c>
      <c r="N327" s="2">
        <f t="shared" si="11"/>
        <v>0.73899999999999999</v>
      </c>
      <c r="O327" s="2">
        <v>50.207799999999999</v>
      </c>
      <c r="P327" s="2">
        <v>-66.368300000000005</v>
      </c>
      <c r="Q327" s="2" t="s">
        <v>2108</v>
      </c>
      <c r="R327" s="3" t="s">
        <v>37</v>
      </c>
      <c r="S327" s="2" t="s">
        <v>22</v>
      </c>
      <c r="T327" s="2" t="s">
        <v>38</v>
      </c>
    </row>
    <row r="328" spans="1:20" x14ac:dyDescent="0.2">
      <c r="A328" s="2">
        <v>846</v>
      </c>
      <c r="B328" s="2" t="s">
        <v>673</v>
      </c>
      <c r="C328" s="2" t="s">
        <v>674</v>
      </c>
      <c r="D328" s="2" t="s">
        <v>66</v>
      </c>
      <c r="E328" s="2" t="s">
        <v>20</v>
      </c>
      <c r="F328" s="2">
        <v>2017</v>
      </c>
      <c r="G328" s="2">
        <v>2020</v>
      </c>
      <c r="H328" s="2">
        <f>'mpi_dataset_summary_2017-2024'!$G328-'mpi_dataset_summary_2017-2024'!$F328+1</f>
        <v>4</v>
      </c>
      <c r="I328" s="2" t="s">
        <v>2113</v>
      </c>
      <c r="J328" s="2" t="s">
        <v>2113</v>
      </c>
      <c r="K328" s="2">
        <f>IF('mpi_dataset_summary_2017-2024'!$G328=2024,1,0)</f>
        <v>0</v>
      </c>
      <c r="L328" s="2">
        <f t="shared" si="10"/>
        <v>0</v>
      </c>
      <c r="M328" s="2">
        <v>1400</v>
      </c>
      <c r="N328" s="2">
        <f t="shared" si="11"/>
        <v>0.85699999999999998</v>
      </c>
      <c r="O328" s="2">
        <v>56.723638999999999</v>
      </c>
      <c r="P328" s="2">
        <v>-111.371093</v>
      </c>
      <c r="Q328" s="2" t="s">
        <v>2108</v>
      </c>
      <c r="R328" s="3" t="s">
        <v>41</v>
      </c>
      <c r="S328" s="2" t="s">
        <v>25</v>
      </c>
      <c r="T328" s="2" t="s">
        <v>46</v>
      </c>
    </row>
    <row r="329" spans="1:20" x14ac:dyDescent="0.2">
      <c r="A329" s="2">
        <v>847</v>
      </c>
      <c r="B329" s="2" t="s">
        <v>675</v>
      </c>
      <c r="C329" s="2" t="s">
        <v>676</v>
      </c>
      <c r="D329" s="2" t="s">
        <v>66</v>
      </c>
      <c r="E329" s="2" t="s">
        <v>20</v>
      </c>
      <c r="F329" s="2">
        <v>2017</v>
      </c>
      <c r="G329" s="2">
        <v>2022</v>
      </c>
      <c r="H329" s="2">
        <f>'mpi_dataset_summary_2017-2024'!$G329-'mpi_dataset_summary_2017-2024'!$F329+1</f>
        <v>6</v>
      </c>
      <c r="I329" s="2" t="s">
        <v>2113</v>
      </c>
      <c r="J329" s="2" t="s">
        <v>2112</v>
      </c>
      <c r="K329" s="2">
        <f>IF('mpi_dataset_summary_2017-2024'!$G329=2024,1,0)</f>
        <v>0</v>
      </c>
      <c r="L329" s="2">
        <f t="shared" si="10"/>
        <v>0</v>
      </c>
      <c r="M329" s="2">
        <v>4000</v>
      </c>
      <c r="N329" s="2">
        <f t="shared" si="11"/>
        <v>0.93600000000000005</v>
      </c>
      <c r="O329" s="2">
        <v>56.142723083496101</v>
      </c>
      <c r="P329" s="2">
        <v>-113.589797973633</v>
      </c>
      <c r="Q329" s="2" t="s">
        <v>2108</v>
      </c>
      <c r="R329" s="3" t="s">
        <v>24</v>
      </c>
      <c r="S329" s="2" t="s">
        <v>25</v>
      </c>
      <c r="T329" s="2" t="s">
        <v>26</v>
      </c>
    </row>
    <row r="330" spans="1:20" x14ac:dyDescent="0.2">
      <c r="A330" s="2">
        <v>848</v>
      </c>
      <c r="B330" s="2" t="s">
        <v>677</v>
      </c>
      <c r="C330" s="2" t="s">
        <v>678</v>
      </c>
      <c r="D330" s="2" t="s">
        <v>66</v>
      </c>
      <c r="E330" s="2" t="s">
        <v>20</v>
      </c>
      <c r="F330" s="2">
        <v>2017</v>
      </c>
      <c r="G330" s="2">
        <v>2021</v>
      </c>
      <c r="H330" s="2">
        <f>'mpi_dataset_summary_2017-2024'!$G330-'mpi_dataset_summary_2017-2024'!$F330+1</f>
        <v>5</v>
      </c>
      <c r="I330" s="2" t="s">
        <v>2111</v>
      </c>
      <c r="J330" s="2" t="s">
        <v>2111</v>
      </c>
      <c r="K330" s="2">
        <f>IF('mpi_dataset_summary_2017-2024'!$G330=2024,1,0)</f>
        <v>0</v>
      </c>
      <c r="L330" s="2">
        <f t="shared" si="10"/>
        <v>0</v>
      </c>
      <c r="M330" s="2">
        <v>4000</v>
      </c>
      <c r="N330" s="2">
        <f t="shared" si="11"/>
        <v>0.93600000000000005</v>
      </c>
      <c r="O330" s="2">
        <v>53.799999237060497</v>
      </c>
      <c r="P330" s="2">
        <v>-113.199996948242</v>
      </c>
      <c r="Q330" s="2" t="s">
        <v>2108</v>
      </c>
      <c r="R330" s="3" t="s">
        <v>37</v>
      </c>
      <c r="S330" s="2" t="s">
        <v>22</v>
      </c>
      <c r="T330" s="2" t="s">
        <v>38</v>
      </c>
    </row>
    <row r="331" spans="1:20" x14ac:dyDescent="0.2">
      <c r="A331" s="2">
        <v>849</v>
      </c>
      <c r="B331" s="2" t="s">
        <v>531</v>
      </c>
      <c r="C331" s="2" t="s">
        <v>679</v>
      </c>
      <c r="D331" s="2" t="s">
        <v>66</v>
      </c>
      <c r="E331" s="2" t="s">
        <v>20</v>
      </c>
      <c r="F331" s="2">
        <v>2017</v>
      </c>
      <c r="G331" s="2">
        <v>2017</v>
      </c>
      <c r="H331" s="2">
        <f>'mpi_dataset_summary_2017-2024'!$G331-'mpi_dataset_summary_2017-2024'!$F331+1</f>
        <v>1</v>
      </c>
      <c r="I331" s="2" t="s">
        <v>2110</v>
      </c>
      <c r="J331" s="2" t="s">
        <v>2110</v>
      </c>
      <c r="K331" s="2">
        <f>IF('mpi_dataset_summary_2017-2024'!$G331=2024,1,0)</f>
        <v>0</v>
      </c>
      <c r="L331" s="2">
        <f t="shared" si="10"/>
        <v>1</v>
      </c>
      <c r="M331" s="2">
        <v>100</v>
      </c>
      <c r="N331" s="2">
        <f t="shared" si="11"/>
        <v>0.34300000000000003</v>
      </c>
      <c r="O331" s="2">
        <v>54.391202</v>
      </c>
      <c r="P331" s="2">
        <v>-116.809679</v>
      </c>
      <c r="Q331" s="2" t="s">
        <v>2108</v>
      </c>
      <c r="R331" s="3" t="s">
        <v>35</v>
      </c>
      <c r="S331" s="2" t="s">
        <v>22</v>
      </c>
      <c r="T331" s="2" t="s">
        <v>36</v>
      </c>
    </row>
    <row r="332" spans="1:20" x14ac:dyDescent="0.2">
      <c r="A332" s="2">
        <v>850</v>
      </c>
      <c r="B332" s="2" t="s">
        <v>354</v>
      </c>
      <c r="C332" s="2" t="s">
        <v>680</v>
      </c>
      <c r="D332" s="2" t="s">
        <v>66</v>
      </c>
      <c r="E332" s="2" t="s">
        <v>20</v>
      </c>
      <c r="F332" s="2">
        <v>2017</v>
      </c>
      <c r="G332" s="2">
        <v>2024</v>
      </c>
      <c r="H332" s="2">
        <f>'mpi_dataset_summary_2017-2024'!$G332-'mpi_dataset_summary_2017-2024'!$F332+1</f>
        <v>8</v>
      </c>
      <c r="I332" s="2" t="s">
        <v>2112</v>
      </c>
      <c r="J332" s="2" t="s">
        <v>2110</v>
      </c>
      <c r="K332" s="2">
        <f>IF('mpi_dataset_summary_2017-2024'!$G332=2024,1,0)</f>
        <v>1</v>
      </c>
      <c r="L332" s="2">
        <f t="shared" si="10"/>
        <v>1</v>
      </c>
      <c r="M332" s="2">
        <v>3300</v>
      </c>
      <c r="N332" s="2">
        <f t="shared" si="11"/>
        <v>0.92500000000000004</v>
      </c>
      <c r="O332" s="2">
        <v>57.045211000000002</v>
      </c>
      <c r="P332" s="2">
        <v>-111.585088</v>
      </c>
      <c r="Q332" s="2" t="s">
        <v>2108</v>
      </c>
      <c r="R332" s="3" t="s">
        <v>41</v>
      </c>
      <c r="S332" s="2" t="s">
        <v>25</v>
      </c>
      <c r="T332" s="2" t="s">
        <v>46</v>
      </c>
    </row>
    <row r="333" spans="1:20" x14ac:dyDescent="0.2">
      <c r="A333" s="2">
        <v>854</v>
      </c>
      <c r="B333" s="2" t="s">
        <v>523</v>
      </c>
      <c r="C333" s="2" t="s">
        <v>681</v>
      </c>
      <c r="D333" s="2" t="s">
        <v>66</v>
      </c>
      <c r="E333" s="2" t="s">
        <v>20</v>
      </c>
      <c r="F333" s="2">
        <v>2017</v>
      </c>
      <c r="G333" s="2">
        <v>2021</v>
      </c>
      <c r="H333" s="2">
        <f>'mpi_dataset_summary_2017-2024'!$G333-'mpi_dataset_summary_2017-2024'!$F333+1</f>
        <v>5</v>
      </c>
      <c r="I333" s="2" t="s">
        <v>2111</v>
      </c>
      <c r="J333" s="2" t="s">
        <v>2110</v>
      </c>
      <c r="K333" s="2">
        <f>IF('mpi_dataset_summary_2017-2024'!$G333=2024,1,0)</f>
        <v>0</v>
      </c>
      <c r="L333" s="2">
        <f t="shared" si="10"/>
        <v>1</v>
      </c>
      <c r="M333" s="2">
        <v>450</v>
      </c>
      <c r="N333" s="2">
        <f t="shared" si="11"/>
        <v>0.65500000000000003</v>
      </c>
      <c r="O333" s="2">
        <v>51.178800000000003</v>
      </c>
      <c r="P333" s="2">
        <v>-113.951977</v>
      </c>
      <c r="Q333" s="2" t="s">
        <v>2108</v>
      </c>
      <c r="R333" s="3" t="s">
        <v>35</v>
      </c>
      <c r="S333" s="2" t="s">
        <v>22</v>
      </c>
      <c r="T333" s="2" t="s">
        <v>36</v>
      </c>
    </row>
    <row r="334" spans="1:20" x14ac:dyDescent="0.2">
      <c r="A334" s="2">
        <v>855</v>
      </c>
      <c r="B334" s="2" t="s">
        <v>531</v>
      </c>
      <c r="C334" s="2" t="s">
        <v>682</v>
      </c>
      <c r="D334" s="2" t="s">
        <v>66</v>
      </c>
      <c r="E334" s="2" t="s">
        <v>20</v>
      </c>
      <c r="F334" s="2">
        <v>2017</v>
      </c>
      <c r="G334" s="2">
        <v>2017</v>
      </c>
      <c r="H334" s="2">
        <f>'mpi_dataset_summary_2017-2024'!$G334-'mpi_dataset_summary_2017-2024'!$F334+1</f>
        <v>1</v>
      </c>
      <c r="I334" s="2" t="s">
        <v>2110</v>
      </c>
      <c r="J334" s="2" t="s">
        <v>2110</v>
      </c>
      <c r="K334" s="2">
        <f>IF('mpi_dataset_summary_2017-2024'!$G334=2024,1,0)</f>
        <v>0</v>
      </c>
      <c r="L334" s="2">
        <f t="shared" si="10"/>
        <v>1</v>
      </c>
      <c r="M334" s="2">
        <v>2445</v>
      </c>
      <c r="N334" s="2">
        <f t="shared" si="11"/>
        <v>0.91100000000000003</v>
      </c>
      <c r="O334" s="2">
        <v>53.592500000000001</v>
      </c>
      <c r="P334" s="2">
        <v>-113.336027</v>
      </c>
      <c r="Q334" s="2" t="s">
        <v>2108</v>
      </c>
      <c r="R334" s="3" t="s">
        <v>35</v>
      </c>
      <c r="S334" s="2" t="s">
        <v>22</v>
      </c>
      <c r="T334" s="2" t="s">
        <v>36</v>
      </c>
    </row>
    <row r="335" spans="1:20" x14ac:dyDescent="0.2">
      <c r="A335" s="2">
        <v>857</v>
      </c>
      <c r="B335" s="2" t="s">
        <v>683</v>
      </c>
      <c r="C335" s="2" t="s">
        <v>683</v>
      </c>
      <c r="D335" s="2" t="s">
        <v>185</v>
      </c>
      <c r="E335" s="2" t="s">
        <v>20</v>
      </c>
      <c r="F335" s="2">
        <v>2017</v>
      </c>
      <c r="G335" s="2">
        <v>2024</v>
      </c>
      <c r="H335" s="2">
        <f>'mpi_dataset_summary_2017-2024'!$G335-'mpi_dataset_summary_2017-2024'!$F335+1</f>
        <v>8</v>
      </c>
      <c r="I335" s="2" t="s">
        <v>2113</v>
      </c>
      <c r="J335" s="2" t="s">
        <v>2111</v>
      </c>
      <c r="K335" s="2">
        <f>IF('mpi_dataset_summary_2017-2024'!$G335=2024,1,0)</f>
        <v>1</v>
      </c>
      <c r="L335" s="2">
        <f t="shared" si="10"/>
        <v>0</v>
      </c>
      <c r="M335" s="2">
        <v>8000</v>
      </c>
      <c r="N335" s="2">
        <f t="shared" si="11"/>
        <v>0.96899999999999997</v>
      </c>
      <c r="O335" s="2">
        <v>45.596587999999997</v>
      </c>
      <c r="P335" s="2">
        <v>-61.356844000000002</v>
      </c>
      <c r="Q335" s="2" t="s">
        <v>2108</v>
      </c>
      <c r="R335" s="3" t="s">
        <v>37</v>
      </c>
      <c r="S335" s="2" t="s">
        <v>22</v>
      </c>
      <c r="T335" s="2" t="s">
        <v>38</v>
      </c>
    </row>
    <row r="336" spans="1:20" x14ac:dyDescent="0.2">
      <c r="A336" s="2">
        <v>858</v>
      </c>
      <c r="B336" s="2" t="s">
        <v>684</v>
      </c>
      <c r="C336" s="2" t="s">
        <v>685</v>
      </c>
      <c r="D336" s="2" t="s">
        <v>66</v>
      </c>
      <c r="E336" s="2" t="s">
        <v>20</v>
      </c>
      <c r="F336" s="2">
        <v>2020</v>
      </c>
      <c r="G336" s="2">
        <v>2024</v>
      </c>
      <c r="H336" s="2">
        <f>'mpi_dataset_summary_2017-2024'!$G336-'mpi_dataset_summary_2017-2024'!$F336+1</f>
        <v>5</v>
      </c>
      <c r="I336" s="2" t="s">
        <v>2112</v>
      </c>
      <c r="J336" s="2" t="s">
        <v>2112</v>
      </c>
      <c r="K336" s="2">
        <f>IF('mpi_dataset_summary_2017-2024'!$G336=2024,1,0)</f>
        <v>1</v>
      </c>
      <c r="L336" s="2">
        <f t="shared" si="10"/>
        <v>0</v>
      </c>
      <c r="M336" s="2">
        <v>6000</v>
      </c>
      <c r="N336" s="2">
        <f t="shared" si="11"/>
        <v>0.95799999999999996</v>
      </c>
      <c r="O336" s="2">
        <v>56.193600000000004</v>
      </c>
      <c r="P336" s="2">
        <v>-110.95059999999999</v>
      </c>
      <c r="Q336" s="2" t="s">
        <v>2108</v>
      </c>
      <c r="R336" s="3" t="s">
        <v>39</v>
      </c>
      <c r="S336" s="2" t="s">
        <v>22</v>
      </c>
      <c r="T336" s="2" t="s">
        <v>40</v>
      </c>
    </row>
    <row r="337" spans="1:20" x14ac:dyDescent="0.2">
      <c r="A337" s="2">
        <v>862</v>
      </c>
      <c r="B337" s="2" t="s">
        <v>360</v>
      </c>
      <c r="C337" s="2" t="s">
        <v>686</v>
      </c>
      <c r="D337" s="2" t="s">
        <v>69</v>
      </c>
      <c r="E337" s="2" t="s">
        <v>20</v>
      </c>
      <c r="F337" s="2">
        <v>2017</v>
      </c>
      <c r="G337" s="2">
        <v>2024</v>
      </c>
      <c r="H337" s="2">
        <f>'mpi_dataset_summary_2017-2024'!$G337-'mpi_dataset_summary_2017-2024'!$F337+1</f>
        <v>8</v>
      </c>
      <c r="I337" s="2" t="s">
        <v>2112</v>
      </c>
      <c r="J337" s="2" t="s">
        <v>2112</v>
      </c>
      <c r="K337" s="2">
        <f>IF('mpi_dataset_summary_2017-2024'!$G337=2024,1,0)</f>
        <v>1</v>
      </c>
      <c r="L337" s="2">
        <f t="shared" si="10"/>
        <v>0</v>
      </c>
      <c r="M337" s="2">
        <v>870</v>
      </c>
      <c r="N337" s="2">
        <f t="shared" si="11"/>
        <v>0.78900000000000003</v>
      </c>
      <c r="O337" s="2">
        <v>56.968715000000003</v>
      </c>
      <c r="P337" s="2">
        <v>-122.439746</v>
      </c>
      <c r="Q337" s="2" t="s">
        <v>2107</v>
      </c>
      <c r="R337" s="3" t="s">
        <v>33</v>
      </c>
      <c r="S337" s="2" t="s">
        <v>25</v>
      </c>
      <c r="T337" s="2" t="s">
        <v>34</v>
      </c>
    </row>
    <row r="338" spans="1:20" x14ac:dyDescent="0.2">
      <c r="A338" s="2">
        <v>863</v>
      </c>
      <c r="B338" s="2" t="s">
        <v>687</v>
      </c>
      <c r="C338" s="2" t="s">
        <v>688</v>
      </c>
      <c r="D338" s="2" t="s">
        <v>89</v>
      </c>
      <c r="E338" s="2" t="s">
        <v>20</v>
      </c>
      <c r="F338" s="2">
        <v>2017</v>
      </c>
      <c r="G338" s="2">
        <v>2020</v>
      </c>
      <c r="H338" s="2">
        <f>'mpi_dataset_summary_2017-2024'!$G338-'mpi_dataset_summary_2017-2024'!$F338+1</f>
        <v>4</v>
      </c>
      <c r="I338" s="2" t="s">
        <v>2111</v>
      </c>
      <c r="J338" s="2" t="s">
        <v>2112</v>
      </c>
      <c r="K338" s="2">
        <f>IF('mpi_dataset_summary_2017-2024'!$G338=2024,1,0)</f>
        <v>0</v>
      </c>
      <c r="L338" s="2">
        <f t="shared" si="10"/>
        <v>0</v>
      </c>
      <c r="M338" s="2">
        <v>7800</v>
      </c>
      <c r="N338" s="2">
        <f t="shared" si="11"/>
        <v>0.96799999999999997</v>
      </c>
      <c r="O338" s="2">
        <v>48.445900000000002</v>
      </c>
      <c r="P338" s="2">
        <v>-71.071700000000007</v>
      </c>
      <c r="Q338" s="2" t="s">
        <v>2108</v>
      </c>
      <c r="R338" s="3" t="s">
        <v>37</v>
      </c>
      <c r="S338" s="2" t="s">
        <v>22</v>
      </c>
      <c r="T338" s="2" t="s">
        <v>38</v>
      </c>
    </row>
    <row r="339" spans="1:20" x14ac:dyDescent="0.2">
      <c r="A339" s="2">
        <v>865</v>
      </c>
      <c r="B339" s="2" t="s">
        <v>430</v>
      </c>
      <c r="C339" s="2" t="s">
        <v>689</v>
      </c>
      <c r="D339" s="2" t="s">
        <v>69</v>
      </c>
      <c r="E339" s="2" t="s">
        <v>20</v>
      </c>
      <c r="F339" s="2">
        <v>2017</v>
      </c>
      <c r="G339" s="2">
        <v>2024</v>
      </c>
      <c r="H339" s="2">
        <f>'mpi_dataset_summary_2017-2024'!$G339-'mpi_dataset_summary_2017-2024'!$F339+1</f>
        <v>8</v>
      </c>
      <c r="I339" s="2" t="s">
        <v>2112</v>
      </c>
      <c r="J339" s="2" t="s">
        <v>2112</v>
      </c>
      <c r="K339" s="2">
        <f>IF('mpi_dataset_summary_2017-2024'!$G339=2024,1,0)</f>
        <v>1</v>
      </c>
      <c r="L339" s="2">
        <f t="shared" si="10"/>
        <v>0</v>
      </c>
      <c r="M339" s="2">
        <v>144.69999999999999</v>
      </c>
      <c r="N339" s="2">
        <f t="shared" si="11"/>
        <v>0.437</v>
      </c>
      <c r="O339" s="2">
        <v>51.822198</v>
      </c>
      <c r="P339" s="2">
        <v>-119.00528</v>
      </c>
      <c r="Q339" s="2" t="s">
        <v>2107</v>
      </c>
      <c r="R339" s="3" t="s">
        <v>31</v>
      </c>
      <c r="S339" s="2" t="s">
        <v>22</v>
      </c>
      <c r="T339" s="2" t="s">
        <v>32</v>
      </c>
    </row>
    <row r="340" spans="1:20" x14ac:dyDescent="0.2">
      <c r="A340" s="2">
        <v>867</v>
      </c>
      <c r="B340" s="2" t="s">
        <v>690</v>
      </c>
      <c r="C340" s="2" t="s">
        <v>691</v>
      </c>
      <c r="D340" s="2" t="s">
        <v>69</v>
      </c>
      <c r="E340" s="2" t="s">
        <v>20</v>
      </c>
      <c r="F340" s="2">
        <v>2017</v>
      </c>
      <c r="G340" s="2">
        <v>2017</v>
      </c>
      <c r="H340" s="2">
        <f>'mpi_dataset_summary_2017-2024'!$G340-'mpi_dataset_summary_2017-2024'!$F340+1</f>
        <v>1</v>
      </c>
      <c r="I340" s="2" t="s">
        <v>2111</v>
      </c>
      <c r="J340" s="2" t="s">
        <v>2111</v>
      </c>
      <c r="K340" s="2">
        <f>IF('mpi_dataset_summary_2017-2024'!$G340=2024,1,0)</f>
        <v>0</v>
      </c>
      <c r="L340" s="2">
        <f t="shared" si="10"/>
        <v>0</v>
      </c>
      <c r="M340" s="2">
        <v>350</v>
      </c>
      <c r="N340" s="2">
        <f t="shared" si="11"/>
        <v>0.60299999999999998</v>
      </c>
      <c r="O340" s="2">
        <v>57.313566999999999</v>
      </c>
      <c r="P340" s="2">
        <v>-120.96550499999999</v>
      </c>
      <c r="Q340" s="2" t="s">
        <v>2108</v>
      </c>
      <c r="R340" s="3" t="s">
        <v>41</v>
      </c>
      <c r="S340" s="2" t="s">
        <v>25</v>
      </c>
      <c r="T340" s="2" t="s">
        <v>46</v>
      </c>
    </row>
    <row r="341" spans="1:20" x14ac:dyDescent="0.2">
      <c r="A341" s="2">
        <v>868</v>
      </c>
      <c r="B341" s="2" t="s">
        <v>365</v>
      </c>
      <c r="C341" s="2" t="s">
        <v>692</v>
      </c>
      <c r="D341" s="2" t="s">
        <v>69</v>
      </c>
      <c r="E341" s="2" t="s">
        <v>20</v>
      </c>
      <c r="F341" s="2">
        <v>2017</v>
      </c>
      <c r="G341" s="2">
        <v>2023</v>
      </c>
      <c r="H341" s="2">
        <f>'mpi_dataset_summary_2017-2024'!$G341-'mpi_dataset_summary_2017-2024'!$F341+1</f>
        <v>7</v>
      </c>
      <c r="I341" s="2" t="s">
        <v>2113</v>
      </c>
      <c r="J341" s="2" t="s">
        <v>2110</v>
      </c>
      <c r="K341" s="2">
        <f>IF('mpi_dataset_summary_2017-2024'!$G341=2024,1,0)</f>
        <v>0</v>
      </c>
      <c r="L341" s="2">
        <f t="shared" si="10"/>
        <v>1</v>
      </c>
      <c r="M341" s="2">
        <v>1630</v>
      </c>
      <c r="N341" s="2">
        <f t="shared" si="11"/>
        <v>0.88100000000000001</v>
      </c>
      <c r="O341" s="2">
        <v>49.725895899999998</v>
      </c>
      <c r="P341" s="2">
        <v>-114.884334</v>
      </c>
      <c r="Q341" s="2" t="s">
        <v>2107</v>
      </c>
      <c r="R341" s="3" t="s">
        <v>21</v>
      </c>
      <c r="S341" s="2" t="s">
        <v>22</v>
      </c>
      <c r="T341" s="2" t="s">
        <v>23</v>
      </c>
    </row>
    <row r="342" spans="1:20" x14ac:dyDescent="0.2">
      <c r="A342" s="2">
        <v>869</v>
      </c>
      <c r="B342" s="2" t="s">
        <v>693</v>
      </c>
      <c r="C342" s="2" t="s">
        <v>694</v>
      </c>
      <c r="D342" s="2" t="s">
        <v>69</v>
      </c>
      <c r="E342" s="2" t="s">
        <v>43</v>
      </c>
      <c r="F342" s="2">
        <v>2017</v>
      </c>
      <c r="G342" s="2">
        <v>2019</v>
      </c>
      <c r="H342" s="2">
        <f>'mpi_dataset_summary_2017-2024'!$G342-'mpi_dataset_summary_2017-2024'!$F342+1</f>
        <v>3</v>
      </c>
      <c r="I342" s="2" t="s">
        <v>2110</v>
      </c>
      <c r="J342" s="2" t="s">
        <v>2110</v>
      </c>
      <c r="K342" s="2">
        <f>IF('mpi_dataset_summary_2017-2024'!$G342=2024,1,0)</f>
        <v>0</v>
      </c>
      <c r="L342" s="2">
        <f t="shared" si="10"/>
        <v>1</v>
      </c>
      <c r="M342" s="2">
        <v>74</v>
      </c>
      <c r="N342" s="2">
        <f t="shared" si="11"/>
        <v>0.28999999999999998</v>
      </c>
      <c r="O342" s="2">
        <v>49.830227499999999</v>
      </c>
      <c r="P342" s="2">
        <v>-123.13461</v>
      </c>
      <c r="Q342" s="2" t="s">
        <v>2108</v>
      </c>
      <c r="R342" s="3" t="s">
        <v>24</v>
      </c>
      <c r="S342" s="2" t="s">
        <v>25</v>
      </c>
      <c r="T342" s="2" t="s">
        <v>26</v>
      </c>
    </row>
    <row r="343" spans="1:20" x14ac:dyDescent="0.2">
      <c r="A343" s="2">
        <v>870</v>
      </c>
      <c r="B343" s="2" t="s">
        <v>693</v>
      </c>
      <c r="C343" s="2" t="s">
        <v>695</v>
      </c>
      <c r="D343" s="2" t="s">
        <v>69</v>
      </c>
      <c r="E343" s="2" t="s">
        <v>43</v>
      </c>
      <c r="F343" s="2">
        <v>2017</v>
      </c>
      <c r="G343" s="2">
        <v>2018</v>
      </c>
      <c r="H343" s="2">
        <f>'mpi_dataset_summary_2017-2024'!$G343-'mpi_dataset_summary_2017-2024'!$F343+1</f>
        <v>2</v>
      </c>
      <c r="I343" s="2" t="s">
        <v>2110</v>
      </c>
      <c r="J343" s="2" t="s">
        <v>2110</v>
      </c>
      <c r="K343" s="2">
        <f>IF('mpi_dataset_summary_2017-2024'!$G343=2024,1,0)</f>
        <v>0</v>
      </c>
      <c r="L343" s="2">
        <f t="shared" si="10"/>
        <v>1</v>
      </c>
      <c r="M343" s="2">
        <v>49</v>
      </c>
      <c r="N343" s="2">
        <f t="shared" si="11"/>
        <v>0.21199999999999999</v>
      </c>
      <c r="O343" s="2">
        <v>55.760368999999997</v>
      </c>
      <c r="P343" s="2">
        <v>-120.23777699999999</v>
      </c>
      <c r="Q343" s="2" t="s">
        <v>2108</v>
      </c>
      <c r="R343" s="3" t="s">
        <v>24</v>
      </c>
      <c r="S343" s="2" t="s">
        <v>25</v>
      </c>
      <c r="T343" s="2" t="s">
        <v>26</v>
      </c>
    </row>
    <row r="344" spans="1:20" x14ac:dyDescent="0.2">
      <c r="A344" s="2">
        <v>873</v>
      </c>
      <c r="B344" s="2" t="s">
        <v>696</v>
      </c>
      <c r="C344" s="2" t="s">
        <v>697</v>
      </c>
      <c r="D344" s="2" t="s">
        <v>69</v>
      </c>
      <c r="E344" s="2" t="s">
        <v>20</v>
      </c>
      <c r="F344" s="2">
        <v>2021</v>
      </c>
      <c r="G344" s="2">
        <v>2021</v>
      </c>
      <c r="H344" s="2">
        <f>'mpi_dataset_summary_2017-2024'!$G344-'mpi_dataset_summary_2017-2024'!$F344+1</f>
        <v>1</v>
      </c>
      <c r="I344" s="2" t="s">
        <v>2113</v>
      </c>
      <c r="J344" s="2" t="s">
        <v>2113</v>
      </c>
      <c r="K344" s="2">
        <f>IF('mpi_dataset_summary_2017-2024'!$G344=2024,1,0)</f>
        <v>0</v>
      </c>
      <c r="L344" s="2">
        <f t="shared" si="10"/>
        <v>0</v>
      </c>
      <c r="M344" s="2">
        <v>0</v>
      </c>
      <c r="N344" s="2">
        <f t="shared" si="11"/>
        <v>0</v>
      </c>
      <c r="O344" s="2">
        <v>54.312193999999998</v>
      </c>
      <c r="P344" s="2">
        <v>-130.32708299999999</v>
      </c>
      <c r="Q344" s="2" t="s">
        <v>2108</v>
      </c>
      <c r="R344" s="3" t="s">
        <v>37</v>
      </c>
      <c r="S344" s="2" t="s">
        <v>22</v>
      </c>
      <c r="T344" s="2" t="s">
        <v>38</v>
      </c>
    </row>
    <row r="345" spans="1:20" x14ac:dyDescent="0.2">
      <c r="A345" s="2">
        <v>875</v>
      </c>
      <c r="B345" s="2" t="s">
        <v>698</v>
      </c>
      <c r="C345" s="2" t="s">
        <v>699</v>
      </c>
      <c r="D345" s="2" t="s">
        <v>69</v>
      </c>
      <c r="E345" s="2" t="s">
        <v>20</v>
      </c>
      <c r="F345" s="2">
        <v>2017</v>
      </c>
      <c r="G345" s="2">
        <v>2018</v>
      </c>
      <c r="H345" s="2">
        <f>'mpi_dataset_summary_2017-2024'!$G345-'mpi_dataset_summary_2017-2024'!$F345+1</f>
        <v>2</v>
      </c>
      <c r="I345" s="2" t="s">
        <v>2112</v>
      </c>
      <c r="J345" s="2" t="s">
        <v>2112</v>
      </c>
      <c r="K345" s="2">
        <f>IF('mpi_dataset_summary_2017-2024'!$G345=2024,1,0)</f>
        <v>0</v>
      </c>
      <c r="L345" s="2">
        <f t="shared" si="10"/>
        <v>0</v>
      </c>
      <c r="M345" s="2">
        <v>30000</v>
      </c>
      <c r="N345" s="2">
        <f t="shared" si="11"/>
        <v>0.997</v>
      </c>
      <c r="O345" s="2">
        <v>48.832253000000001</v>
      </c>
      <c r="P345" s="2">
        <v>-125.13594500000001</v>
      </c>
      <c r="Q345" s="2" t="s">
        <v>2108</v>
      </c>
      <c r="R345" s="3" t="s">
        <v>37</v>
      </c>
      <c r="S345" s="2" t="s">
        <v>22</v>
      </c>
      <c r="T345" s="2" t="s">
        <v>38</v>
      </c>
    </row>
    <row r="346" spans="1:20" x14ac:dyDescent="0.2">
      <c r="A346" s="2">
        <v>876</v>
      </c>
      <c r="B346" s="2" t="s">
        <v>700</v>
      </c>
      <c r="C346" s="2" t="s">
        <v>701</v>
      </c>
      <c r="D346" s="2" t="s">
        <v>69</v>
      </c>
      <c r="E346" s="2" t="s">
        <v>20</v>
      </c>
      <c r="F346" s="2">
        <v>2017</v>
      </c>
      <c r="G346" s="2">
        <v>2018</v>
      </c>
      <c r="H346" s="2">
        <f>'mpi_dataset_summary_2017-2024'!$G346-'mpi_dataset_summary_2017-2024'!$F346+1</f>
        <v>2</v>
      </c>
      <c r="I346" s="2" t="s">
        <v>2112</v>
      </c>
      <c r="J346" s="2" t="s">
        <v>2112</v>
      </c>
      <c r="K346" s="2">
        <f>IF('mpi_dataset_summary_2017-2024'!$G346=2024,1,0)</f>
        <v>0</v>
      </c>
      <c r="L346" s="2">
        <f t="shared" si="10"/>
        <v>0</v>
      </c>
      <c r="M346" s="2">
        <v>0</v>
      </c>
      <c r="N346" s="2">
        <f t="shared" si="11"/>
        <v>0</v>
      </c>
      <c r="O346" s="2">
        <v>55.457120000000003</v>
      </c>
      <c r="P346" s="2">
        <v>-129.47783999999999</v>
      </c>
      <c r="Q346" s="2" t="s">
        <v>2108</v>
      </c>
      <c r="R346" s="3" t="s">
        <v>37</v>
      </c>
      <c r="S346" s="2" t="s">
        <v>22</v>
      </c>
      <c r="T346" s="2" t="s">
        <v>38</v>
      </c>
    </row>
    <row r="347" spans="1:20" x14ac:dyDescent="0.2">
      <c r="A347" s="2">
        <v>878</v>
      </c>
      <c r="B347" s="2" t="s">
        <v>702</v>
      </c>
      <c r="C347" s="2" t="s">
        <v>703</v>
      </c>
      <c r="D347" s="2" t="s">
        <v>69</v>
      </c>
      <c r="E347" s="2" t="s">
        <v>20</v>
      </c>
      <c r="F347" s="2">
        <v>2017</v>
      </c>
      <c r="G347" s="2">
        <v>2017</v>
      </c>
      <c r="H347" s="2">
        <f>'mpi_dataset_summary_2017-2024'!$G347-'mpi_dataset_summary_2017-2024'!$F347+1</f>
        <v>1</v>
      </c>
      <c r="I347" s="2" t="s">
        <v>2112</v>
      </c>
      <c r="J347" s="2" t="s">
        <v>2112</v>
      </c>
      <c r="K347" s="2">
        <f>IF('mpi_dataset_summary_2017-2024'!$G347=2024,1,0)</f>
        <v>0</v>
      </c>
      <c r="L347" s="2">
        <f t="shared" si="10"/>
        <v>0</v>
      </c>
      <c r="M347" s="2">
        <v>10000</v>
      </c>
      <c r="N347" s="2">
        <f t="shared" si="11"/>
        <v>0.97599999999999998</v>
      </c>
      <c r="O347" s="2">
        <v>54.644660999999999</v>
      </c>
      <c r="P347" s="2">
        <v>-130.360229</v>
      </c>
      <c r="Q347" s="2" t="s">
        <v>2108</v>
      </c>
      <c r="R347" s="3" t="s">
        <v>37</v>
      </c>
      <c r="S347" s="2" t="s">
        <v>22</v>
      </c>
      <c r="T347" s="2" t="s">
        <v>38</v>
      </c>
    </row>
    <row r="348" spans="1:20" x14ac:dyDescent="0.2">
      <c r="A348" s="2">
        <v>882</v>
      </c>
      <c r="B348" s="2" t="s">
        <v>704</v>
      </c>
      <c r="C348" s="2" t="s">
        <v>705</v>
      </c>
      <c r="D348" s="2" t="s">
        <v>69</v>
      </c>
      <c r="E348" s="2" t="s">
        <v>20</v>
      </c>
      <c r="F348" s="2">
        <v>2017</v>
      </c>
      <c r="G348" s="2">
        <v>2019</v>
      </c>
      <c r="H348" s="2">
        <f>'mpi_dataset_summary_2017-2024'!$G348-'mpi_dataset_summary_2017-2024'!$F348+1</f>
        <v>3</v>
      </c>
      <c r="I348" s="2" t="s">
        <v>2112</v>
      </c>
      <c r="J348" s="2" t="s">
        <v>2111</v>
      </c>
      <c r="K348" s="2">
        <f>IF('mpi_dataset_summary_2017-2024'!$G348=2024,1,0)</f>
        <v>0</v>
      </c>
      <c r="L348" s="2">
        <f t="shared" si="10"/>
        <v>0</v>
      </c>
      <c r="M348" s="2">
        <v>25000</v>
      </c>
      <c r="N348" s="2">
        <f t="shared" si="11"/>
        <v>0.995</v>
      </c>
      <c r="O348" s="2">
        <v>54.216493999999997</v>
      </c>
      <c r="P348" s="2">
        <v>-130.25311199999999</v>
      </c>
      <c r="Q348" s="2" t="s">
        <v>2108</v>
      </c>
      <c r="R348" s="3" t="s">
        <v>37</v>
      </c>
      <c r="S348" s="2" t="s">
        <v>22</v>
      </c>
      <c r="T348" s="2" t="s">
        <v>38</v>
      </c>
    </row>
    <row r="349" spans="1:20" x14ac:dyDescent="0.2">
      <c r="A349" s="2">
        <v>885</v>
      </c>
      <c r="B349" s="2" t="s">
        <v>706</v>
      </c>
      <c r="C349" s="2" t="s">
        <v>707</v>
      </c>
      <c r="D349" s="2" t="s">
        <v>69</v>
      </c>
      <c r="E349" s="2" t="s">
        <v>20</v>
      </c>
      <c r="F349" s="2">
        <v>2017</v>
      </c>
      <c r="G349" s="2">
        <v>2024</v>
      </c>
      <c r="H349" s="2">
        <f>'mpi_dataset_summary_2017-2024'!$G349-'mpi_dataset_summary_2017-2024'!$F349+1</f>
        <v>8</v>
      </c>
      <c r="I349" s="2" t="s">
        <v>2112</v>
      </c>
      <c r="J349" s="2" t="s">
        <v>2112</v>
      </c>
      <c r="K349" s="2">
        <f>IF('mpi_dataset_summary_2017-2024'!$G349=2024,1,0)</f>
        <v>1</v>
      </c>
      <c r="L349" s="2">
        <f t="shared" si="10"/>
        <v>0</v>
      </c>
      <c r="M349" s="2">
        <v>1300</v>
      </c>
      <c r="N349" s="2">
        <f t="shared" si="11"/>
        <v>0.84299999999999997</v>
      </c>
      <c r="O349" s="2">
        <v>54.040483999999999</v>
      </c>
      <c r="P349" s="2">
        <v>-128.648436</v>
      </c>
      <c r="Q349" s="2" t="s">
        <v>2108</v>
      </c>
      <c r="R349" s="3" t="s">
        <v>35</v>
      </c>
      <c r="S349" s="2" t="s">
        <v>22</v>
      </c>
      <c r="T349" s="2" t="s">
        <v>36</v>
      </c>
    </row>
    <row r="350" spans="1:20" x14ac:dyDescent="0.2">
      <c r="A350" s="2">
        <v>886</v>
      </c>
      <c r="B350" s="2" t="s">
        <v>708</v>
      </c>
      <c r="C350" s="2" t="s">
        <v>709</v>
      </c>
      <c r="D350" s="2" t="s">
        <v>89</v>
      </c>
      <c r="E350" s="2" t="s">
        <v>20</v>
      </c>
      <c r="F350" s="2">
        <v>2017</v>
      </c>
      <c r="G350" s="2">
        <v>2017</v>
      </c>
      <c r="H350" s="2">
        <f>'mpi_dataset_summary_2017-2024'!$G350-'mpi_dataset_summary_2017-2024'!$F350+1</f>
        <v>1</v>
      </c>
      <c r="I350" s="2" t="s">
        <v>2112</v>
      </c>
      <c r="J350" s="2" t="s">
        <v>2112</v>
      </c>
      <c r="K350" s="2">
        <f>IF('mpi_dataset_summary_2017-2024'!$G350=2024,1,0)</f>
        <v>0</v>
      </c>
      <c r="L350" s="2">
        <f t="shared" si="10"/>
        <v>0</v>
      </c>
      <c r="M350" s="2">
        <v>270</v>
      </c>
      <c r="N350" s="2">
        <f t="shared" si="11"/>
        <v>0.55800000000000005</v>
      </c>
      <c r="O350" s="2">
        <v>46.040300000000002</v>
      </c>
      <c r="P350" s="2">
        <v>-73.134699999999995</v>
      </c>
      <c r="Q350" s="2" t="s">
        <v>2107</v>
      </c>
      <c r="R350" s="3" t="s">
        <v>29</v>
      </c>
      <c r="S350" s="2" t="s">
        <v>22</v>
      </c>
      <c r="T350" s="2" t="s">
        <v>30</v>
      </c>
    </row>
    <row r="351" spans="1:20" x14ac:dyDescent="0.2">
      <c r="A351" s="2">
        <v>888</v>
      </c>
      <c r="B351" s="2" t="s">
        <v>710</v>
      </c>
      <c r="C351" s="2" t="s">
        <v>711</v>
      </c>
      <c r="D351" s="2" t="s">
        <v>89</v>
      </c>
      <c r="E351" s="2" t="s">
        <v>20</v>
      </c>
      <c r="F351" s="2">
        <v>2018</v>
      </c>
      <c r="G351" s="2">
        <v>2018</v>
      </c>
      <c r="H351" s="2">
        <f>'mpi_dataset_summary_2017-2024'!$G351-'mpi_dataset_summary_2017-2024'!$F351+1</f>
        <v>1</v>
      </c>
      <c r="I351" s="2" t="s">
        <v>2112</v>
      </c>
      <c r="J351" s="2" t="s">
        <v>2112</v>
      </c>
      <c r="K351" s="2">
        <f>IF('mpi_dataset_summary_2017-2024'!$G351=2024,1,0)</f>
        <v>0</v>
      </c>
      <c r="L351" s="2">
        <f t="shared" si="10"/>
        <v>0</v>
      </c>
      <c r="M351" s="2">
        <v>570</v>
      </c>
      <c r="N351" s="2">
        <f t="shared" si="11"/>
        <v>0.70599999999999996</v>
      </c>
      <c r="O351" s="2">
        <v>46.363999999999997</v>
      </c>
      <c r="P351" s="2">
        <v>-72.393000000000001</v>
      </c>
      <c r="Q351" s="2" t="s">
        <v>2108</v>
      </c>
      <c r="R351" s="3" t="s">
        <v>37</v>
      </c>
      <c r="S351" s="2" t="s">
        <v>22</v>
      </c>
      <c r="T351" s="2" t="s">
        <v>38</v>
      </c>
    </row>
    <row r="352" spans="1:20" x14ac:dyDescent="0.2">
      <c r="A352" s="2">
        <v>890</v>
      </c>
      <c r="B352" s="2" t="s">
        <v>712</v>
      </c>
      <c r="C352" s="2" t="s">
        <v>713</v>
      </c>
      <c r="D352" s="2" t="s">
        <v>89</v>
      </c>
      <c r="E352" s="2" t="s">
        <v>20</v>
      </c>
      <c r="F352" s="2">
        <v>2017</v>
      </c>
      <c r="G352" s="2">
        <v>2018</v>
      </c>
      <c r="H352" s="2">
        <f>'mpi_dataset_summary_2017-2024'!$G352-'mpi_dataset_summary_2017-2024'!$F352+1</f>
        <v>2</v>
      </c>
      <c r="I352" s="2" t="s">
        <v>2111</v>
      </c>
      <c r="J352" s="2" t="s">
        <v>2111</v>
      </c>
      <c r="K352" s="2">
        <f>IF('mpi_dataset_summary_2017-2024'!$G352=2024,1,0)</f>
        <v>0</v>
      </c>
      <c r="L352" s="2">
        <f t="shared" si="10"/>
        <v>0</v>
      </c>
      <c r="M352" s="2">
        <v>400</v>
      </c>
      <c r="N352" s="2">
        <f t="shared" si="11"/>
        <v>0.63500000000000001</v>
      </c>
      <c r="O352" s="2">
        <v>56.441000000000003</v>
      </c>
      <c r="P352" s="2">
        <v>-72.507800000000003</v>
      </c>
      <c r="Q352" s="2" t="s">
        <v>2108</v>
      </c>
      <c r="R352" s="3" t="s">
        <v>41</v>
      </c>
      <c r="S352" s="2" t="s">
        <v>25</v>
      </c>
      <c r="T352" s="2" t="s">
        <v>46</v>
      </c>
    </row>
    <row r="353" spans="1:20" x14ac:dyDescent="0.2">
      <c r="A353" s="2">
        <v>891</v>
      </c>
      <c r="B353" s="2" t="s">
        <v>714</v>
      </c>
      <c r="C353" s="2" t="s">
        <v>715</v>
      </c>
      <c r="D353" s="2" t="s">
        <v>126</v>
      </c>
      <c r="E353" s="2" t="s">
        <v>20</v>
      </c>
      <c r="F353" s="2">
        <v>2018</v>
      </c>
      <c r="G353" s="2">
        <v>2024</v>
      </c>
      <c r="H353" s="2">
        <f>'mpi_dataset_summary_2017-2024'!$G353-'mpi_dataset_summary_2017-2024'!$F353+1</f>
        <v>7</v>
      </c>
      <c r="I353" s="2" t="s">
        <v>2113</v>
      </c>
      <c r="J353" s="2" t="s">
        <v>2113</v>
      </c>
      <c r="K353" s="2">
        <f>IF('mpi_dataset_summary_2017-2024'!$G353=2024,1,0)</f>
        <v>1</v>
      </c>
      <c r="L353" s="2">
        <f t="shared" si="10"/>
        <v>0</v>
      </c>
      <c r="M353" s="2">
        <v>126.721</v>
      </c>
      <c r="N353" s="2">
        <f t="shared" si="11"/>
        <v>0.40899999999999997</v>
      </c>
      <c r="O353" s="2">
        <v>64.445237000000006</v>
      </c>
      <c r="P353" s="2">
        <v>-110.695595</v>
      </c>
      <c r="Q353" s="2" t="s">
        <v>2107</v>
      </c>
      <c r="R353" s="3" t="s">
        <v>41</v>
      </c>
      <c r="S353" s="2" t="s">
        <v>22</v>
      </c>
      <c r="T353" s="2" t="s">
        <v>42</v>
      </c>
    </row>
    <row r="354" spans="1:20" x14ac:dyDescent="0.2">
      <c r="A354" s="2">
        <v>892</v>
      </c>
      <c r="B354" s="2" t="s">
        <v>716</v>
      </c>
      <c r="C354" s="2" t="s">
        <v>717</v>
      </c>
      <c r="D354" s="2" t="s">
        <v>126</v>
      </c>
      <c r="E354" s="2" t="s">
        <v>20</v>
      </c>
      <c r="F354" s="2">
        <v>2017</v>
      </c>
      <c r="G354" s="2">
        <v>2019</v>
      </c>
      <c r="H354" s="2">
        <f>'mpi_dataset_summary_2017-2024'!$G354-'mpi_dataset_summary_2017-2024'!$F354+1</f>
        <v>3</v>
      </c>
      <c r="I354" s="2" t="s">
        <v>2110</v>
      </c>
      <c r="J354" s="2" t="s">
        <v>2110</v>
      </c>
      <c r="K354" s="2">
        <f>IF('mpi_dataset_summary_2017-2024'!$G354=2024,1,0)</f>
        <v>0</v>
      </c>
      <c r="L354" s="2">
        <f t="shared" si="10"/>
        <v>1</v>
      </c>
      <c r="M354" s="2">
        <v>350</v>
      </c>
      <c r="N354" s="2">
        <f t="shared" si="11"/>
        <v>0.60299999999999998</v>
      </c>
      <c r="O354" s="2">
        <v>64.493475000000004</v>
      </c>
      <c r="P354" s="2">
        <v>-110.250648</v>
      </c>
      <c r="Q354" s="2" t="s">
        <v>2107</v>
      </c>
      <c r="R354" s="3" t="s">
        <v>33</v>
      </c>
      <c r="S354" s="2" t="s">
        <v>25</v>
      </c>
      <c r="T354" s="2" t="s">
        <v>34</v>
      </c>
    </row>
    <row r="355" spans="1:20" x14ac:dyDescent="0.2">
      <c r="A355" s="2">
        <v>893</v>
      </c>
      <c r="B355" s="2" t="s">
        <v>718</v>
      </c>
      <c r="C355" s="2" t="s">
        <v>719</v>
      </c>
      <c r="D355" s="2" t="s">
        <v>66</v>
      </c>
      <c r="E355" s="2" t="s">
        <v>20</v>
      </c>
      <c r="F355" s="2">
        <v>2017</v>
      </c>
      <c r="G355" s="2">
        <v>2024</v>
      </c>
      <c r="H355" s="2">
        <f>'mpi_dataset_summary_2017-2024'!$G355-'mpi_dataset_summary_2017-2024'!$F355+1</f>
        <v>8</v>
      </c>
      <c r="I355" s="2" t="s">
        <v>2111</v>
      </c>
      <c r="J355" s="2" t="s">
        <v>2111</v>
      </c>
      <c r="K355" s="2">
        <f>IF('mpi_dataset_summary_2017-2024'!$G355=2024,1,0)</f>
        <v>1</v>
      </c>
      <c r="L355" s="2">
        <f t="shared" si="10"/>
        <v>0</v>
      </c>
      <c r="M355" s="2">
        <v>300</v>
      </c>
      <c r="N355" s="2">
        <f t="shared" si="11"/>
        <v>0.57399999999999995</v>
      </c>
      <c r="O355" s="2">
        <v>56.548158800000003</v>
      </c>
      <c r="P355" s="2">
        <v>-117.8880444</v>
      </c>
      <c r="Q355" s="2" t="s">
        <v>2107</v>
      </c>
      <c r="R355" s="3" t="s">
        <v>41</v>
      </c>
      <c r="S355" s="2" t="s">
        <v>22</v>
      </c>
      <c r="T355" s="2" t="s">
        <v>42</v>
      </c>
    </row>
    <row r="356" spans="1:20" x14ac:dyDescent="0.2">
      <c r="A356" s="2">
        <v>894</v>
      </c>
      <c r="B356" s="2" t="s">
        <v>720</v>
      </c>
      <c r="C356" s="2" t="s">
        <v>721</v>
      </c>
      <c r="D356" s="2" t="s">
        <v>380</v>
      </c>
      <c r="E356" s="2" t="s">
        <v>20</v>
      </c>
      <c r="F356" s="2">
        <v>2017</v>
      </c>
      <c r="G356" s="2">
        <v>2024</v>
      </c>
      <c r="H356" s="2">
        <f>'mpi_dataset_summary_2017-2024'!$G356-'mpi_dataset_summary_2017-2024'!$F356+1</f>
        <v>8</v>
      </c>
      <c r="I356" s="2" t="s">
        <v>2112</v>
      </c>
      <c r="J356" s="2" t="s">
        <v>2112</v>
      </c>
      <c r="K356" s="2">
        <f>IF('mpi_dataset_summary_2017-2024'!$G356=2024,1,0)</f>
        <v>1</v>
      </c>
      <c r="L356" s="2">
        <f t="shared" si="10"/>
        <v>0</v>
      </c>
      <c r="M356" s="2">
        <v>317</v>
      </c>
      <c r="N356" s="2">
        <f t="shared" si="11"/>
        <v>0.58699999999999997</v>
      </c>
      <c r="O356" s="2">
        <v>62.847527999999997</v>
      </c>
      <c r="P356" s="2">
        <v>-139.515693</v>
      </c>
      <c r="Q356" s="2" t="s">
        <v>2107</v>
      </c>
      <c r="R356" s="3" t="s">
        <v>29</v>
      </c>
      <c r="S356" s="2" t="s">
        <v>22</v>
      </c>
      <c r="T356" s="2" t="s">
        <v>30</v>
      </c>
    </row>
    <row r="357" spans="1:20" x14ac:dyDescent="0.2">
      <c r="A357" s="2">
        <v>895</v>
      </c>
      <c r="B357" s="2" t="s">
        <v>722</v>
      </c>
      <c r="C357" s="2" t="s">
        <v>723</v>
      </c>
      <c r="D357" s="2" t="s">
        <v>161</v>
      </c>
      <c r="E357" s="2" t="s">
        <v>20</v>
      </c>
      <c r="F357" s="2">
        <v>2017</v>
      </c>
      <c r="G357" s="2">
        <v>2017</v>
      </c>
      <c r="H357" s="2">
        <f>'mpi_dataset_summary_2017-2024'!$G357-'mpi_dataset_summary_2017-2024'!$F357+1</f>
        <v>1</v>
      </c>
      <c r="I357" s="2" t="s">
        <v>2111</v>
      </c>
      <c r="J357" s="2" t="s">
        <v>2111</v>
      </c>
      <c r="K357" s="2">
        <f>IF('mpi_dataset_summary_2017-2024'!$G357=2024,1,0)</f>
        <v>0</v>
      </c>
      <c r="L357" s="2">
        <f t="shared" si="10"/>
        <v>0</v>
      </c>
      <c r="M357" s="2">
        <v>300</v>
      </c>
      <c r="N357" s="2">
        <f t="shared" si="11"/>
        <v>0.57399999999999995</v>
      </c>
      <c r="O357" s="2">
        <v>49.987208000000003</v>
      </c>
      <c r="P357" s="2">
        <v>-81.534773000000001</v>
      </c>
      <c r="Q357" s="2" t="s">
        <v>2108</v>
      </c>
      <c r="R357" s="3" t="s">
        <v>41</v>
      </c>
      <c r="S357" s="2" t="s">
        <v>25</v>
      </c>
      <c r="T357" s="2" t="s">
        <v>46</v>
      </c>
    </row>
    <row r="358" spans="1:20" x14ac:dyDescent="0.2">
      <c r="A358" s="2">
        <v>896</v>
      </c>
      <c r="B358" s="2" t="s">
        <v>724</v>
      </c>
      <c r="C358" s="2" t="s">
        <v>725</v>
      </c>
      <c r="D358" s="2" t="s">
        <v>110</v>
      </c>
      <c r="E358" s="2" t="s">
        <v>20</v>
      </c>
      <c r="F358" s="2">
        <v>2024</v>
      </c>
      <c r="G358" s="2">
        <v>2024</v>
      </c>
      <c r="H358" s="2">
        <f>'mpi_dataset_summary_2017-2024'!$G358-'mpi_dataset_summary_2017-2024'!$F358+1</f>
        <v>1</v>
      </c>
      <c r="I358" s="2" t="s">
        <v>2111</v>
      </c>
      <c r="J358" s="2" t="s">
        <v>2111</v>
      </c>
      <c r="K358" s="2">
        <f>IF('mpi_dataset_summary_2017-2024'!$G358=2024,1,0)</f>
        <v>1</v>
      </c>
      <c r="L358" s="2">
        <f t="shared" si="10"/>
        <v>0</v>
      </c>
      <c r="M358" s="2">
        <v>650</v>
      </c>
      <c r="N358" s="2">
        <f t="shared" si="11"/>
        <v>0.73299999999999998</v>
      </c>
      <c r="O358" s="2">
        <v>52.255288999999998</v>
      </c>
      <c r="P358" s="2">
        <v>-106.674981</v>
      </c>
      <c r="Q358" s="2" t="s">
        <v>2107</v>
      </c>
      <c r="R358" s="3" t="s">
        <v>33</v>
      </c>
      <c r="S358" s="2" t="s">
        <v>25</v>
      </c>
      <c r="T358" s="2" t="s">
        <v>34</v>
      </c>
    </row>
    <row r="359" spans="1:20" x14ac:dyDescent="0.2">
      <c r="A359" s="2">
        <v>900</v>
      </c>
      <c r="B359" s="2" t="s">
        <v>214</v>
      </c>
      <c r="C359" s="2" t="s">
        <v>726</v>
      </c>
      <c r="D359" s="2" t="s">
        <v>89</v>
      </c>
      <c r="E359" s="2" t="s">
        <v>43</v>
      </c>
      <c r="F359" s="2">
        <v>2017</v>
      </c>
      <c r="G359" s="2">
        <v>2020</v>
      </c>
      <c r="H359" s="2">
        <f>'mpi_dataset_summary_2017-2024'!$G359-'mpi_dataset_summary_2017-2024'!$F359+1</f>
        <v>4</v>
      </c>
      <c r="I359" s="2" t="s">
        <v>2110</v>
      </c>
      <c r="J359" s="2" t="s">
        <v>2110</v>
      </c>
      <c r="K359" s="2">
        <f>IF('mpi_dataset_summary_2017-2024'!$G359=2024,1,0)</f>
        <v>0</v>
      </c>
      <c r="L359" s="2">
        <f t="shared" si="10"/>
        <v>1</v>
      </c>
      <c r="M359" s="2">
        <v>1344</v>
      </c>
      <c r="N359" s="2">
        <f t="shared" si="11"/>
        <v>0.85199999999999998</v>
      </c>
      <c r="O359" s="2">
        <v>45.684899999999999</v>
      </c>
      <c r="P359" s="2">
        <v>-73.733800000000002</v>
      </c>
      <c r="Q359" s="2" t="s">
        <v>2108</v>
      </c>
      <c r="R359" s="3" t="s">
        <v>24</v>
      </c>
      <c r="S359" s="2" t="s">
        <v>25</v>
      </c>
      <c r="T359" s="2" t="s">
        <v>45</v>
      </c>
    </row>
    <row r="360" spans="1:20" x14ac:dyDescent="0.2">
      <c r="A360" s="2">
        <v>902</v>
      </c>
      <c r="B360" s="2" t="s">
        <v>727</v>
      </c>
      <c r="C360" s="2" t="s">
        <v>728</v>
      </c>
      <c r="D360" s="2" t="s">
        <v>66</v>
      </c>
      <c r="E360" s="2" t="s">
        <v>20</v>
      </c>
      <c r="F360" s="2">
        <v>2017</v>
      </c>
      <c r="G360" s="2">
        <v>2017</v>
      </c>
      <c r="H360" s="2">
        <f>'mpi_dataset_summary_2017-2024'!$G360-'mpi_dataset_summary_2017-2024'!$F360+1</f>
        <v>1</v>
      </c>
      <c r="I360" s="2" t="s">
        <v>2110</v>
      </c>
      <c r="J360" s="2" t="s">
        <v>2110</v>
      </c>
      <c r="K360" s="2">
        <f>IF('mpi_dataset_summary_2017-2024'!$G360=2024,1,0)</f>
        <v>0</v>
      </c>
      <c r="L360" s="2">
        <f t="shared" si="10"/>
        <v>1</v>
      </c>
      <c r="M360" s="2">
        <v>199</v>
      </c>
      <c r="N360" s="2">
        <f t="shared" si="11"/>
        <v>0.48899999999999999</v>
      </c>
      <c r="O360" s="2">
        <v>57.305833300000003</v>
      </c>
      <c r="P360" s="2">
        <v>-111.6736111</v>
      </c>
      <c r="Q360" s="2" t="s">
        <v>2108</v>
      </c>
      <c r="R360" s="3" t="s">
        <v>35</v>
      </c>
      <c r="S360" s="2" t="s">
        <v>22</v>
      </c>
      <c r="T360" s="2" t="s">
        <v>36</v>
      </c>
    </row>
    <row r="361" spans="1:20" x14ac:dyDescent="0.2">
      <c r="A361" s="2">
        <v>903</v>
      </c>
      <c r="B361" s="2" t="s">
        <v>283</v>
      </c>
      <c r="C361" s="2" t="s">
        <v>729</v>
      </c>
      <c r="D361" s="2" t="s">
        <v>66</v>
      </c>
      <c r="E361" s="2" t="s">
        <v>20</v>
      </c>
      <c r="F361" s="2">
        <v>2017</v>
      </c>
      <c r="G361" s="2">
        <v>2019</v>
      </c>
      <c r="H361" s="2">
        <f>'mpi_dataset_summary_2017-2024'!$G361-'mpi_dataset_summary_2017-2024'!$F361+1</f>
        <v>3</v>
      </c>
      <c r="I361" s="2" t="s">
        <v>2113</v>
      </c>
      <c r="J361" s="2" t="s">
        <v>2113</v>
      </c>
      <c r="K361" s="2">
        <f>IF('mpi_dataset_summary_2017-2024'!$G361=2024,1,0)</f>
        <v>0</v>
      </c>
      <c r="L361" s="2">
        <f t="shared" si="10"/>
        <v>0</v>
      </c>
      <c r="M361" s="2">
        <v>170</v>
      </c>
      <c r="N361" s="2">
        <f t="shared" si="11"/>
        <v>0.46500000000000002</v>
      </c>
      <c r="O361" s="2">
        <v>54.323</v>
      </c>
      <c r="P361" s="2">
        <v>-110.25</v>
      </c>
      <c r="Q361" s="2" t="s">
        <v>2108</v>
      </c>
      <c r="R361" s="3" t="s">
        <v>39</v>
      </c>
      <c r="S361" s="2" t="s">
        <v>22</v>
      </c>
      <c r="T361" s="2" t="s">
        <v>40</v>
      </c>
    </row>
    <row r="362" spans="1:20" x14ac:dyDescent="0.2">
      <c r="A362" s="2">
        <v>906</v>
      </c>
      <c r="B362" s="2" t="s">
        <v>730</v>
      </c>
      <c r="C362" s="2" t="s">
        <v>731</v>
      </c>
      <c r="D362" s="2" t="s">
        <v>66</v>
      </c>
      <c r="E362" s="2" t="s">
        <v>20</v>
      </c>
      <c r="F362" s="2">
        <v>2017</v>
      </c>
      <c r="G362" s="2">
        <v>2022</v>
      </c>
      <c r="H362" s="2">
        <f>'mpi_dataset_summary_2017-2024'!$G362-'mpi_dataset_summary_2017-2024'!$F362+1</f>
        <v>6</v>
      </c>
      <c r="I362" s="2" t="s">
        <v>2111</v>
      </c>
      <c r="J362" s="2" t="s">
        <v>2111</v>
      </c>
      <c r="K362" s="2">
        <f>IF('mpi_dataset_summary_2017-2024'!$G362=2024,1,0)</f>
        <v>0</v>
      </c>
      <c r="L362" s="2">
        <f t="shared" si="10"/>
        <v>0</v>
      </c>
      <c r="M362" s="2">
        <v>190</v>
      </c>
      <c r="N362" s="2">
        <f t="shared" si="11"/>
        <v>0.48299999999999998</v>
      </c>
      <c r="O362" s="2">
        <v>52.019444</v>
      </c>
      <c r="P362" s="2">
        <v>-109.703389</v>
      </c>
      <c r="Q362" s="2" t="s">
        <v>2108</v>
      </c>
      <c r="R362" s="3" t="s">
        <v>41</v>
      </c>
      <c r="S362" s="2" t="s">
        <v>25</v>
      </c>
      <c r="T362" s="2" t="s">
        <v>46</v>
      </c>
    </row>
    <row r="363" spans="1:20" x14ac:dyDescent="0.2">
      <c r="A363" s="2">
        <v>907</v>
      </c>
      <c r="B363" s="2" t="s">
        <v>732</v>
      </c>
      <c r="C363" s="2" t="s">
        <v>733</v>
      </c>
      <c r="D363" s="2" t="s">
        <v>89</v>
      </c>
      <c r="E363" s="2" t="s">
        <v>20</v>
      </c>
      <c r="F363" s="2">
        <v>2017</v>
      </c>
      <c r="G363" s="2">
        <v>2017</v>
      </c>
      <c r="H363" s="2">
        <f>'mpi_dataset_summary_2017-2024'!$G363-'mpi_dataset_summary_2017-2024'!$F363+1</f>
        <v>1</v>
      </c>
      <c r="I363" s="2" t="s">
        <v>2110</v>
      </c>
      <c r="J363" s="2" t="s">
        <v>2110</v>
      </c>
      <c r="K363" s="2">
        <f>IF('mpi_dataset_summary_2017-2024'!$G363=2024,1,0)</f>
        <v>0</v>
      </c>
      <c r="L363" s="2">
        <f t="shared" si="10"/>
        <v>1</v>
      </c>
      <c r="M363" s="2">
        <v>350</v>
      </c>
      <c r="N363" s="2">
        <f t="shared" si="11"/>
        <v>0.60299999999999998</v>
      </c>
      <c r="O363" s="2">
        <v>48.413699999999999</v>
      </c>
      <c r="P363" s="2">
        <v>-77.809200000000004</v>
      </c>
      <c r="Q363" s="2" t="s">
        <v>2107</v>
      </c>
      <c r="R363" s="3" t="s">
        <v>33</v>
      </c>
      <c r="S363" s="2" t="s">
        <v>25</v>
      </c>
      <c r="T363" s="2" t="s">
        <v>34</v>
      </c>
    </row>
    <row r="364" spans="1:20" x14ac:dyDescent="0.2">
      <c r="A364" s="2">
        <v>910</v>
      </c>
      <c r="B364" s="2" t="s">
        <v>635</v>
      </c>
      <c r="C364" s="2" t="s">
        <v>734</v>
      </c>
      <c r="D364" s="2" t="s">
        <v>110</v>
      </c>
      <c r="E364" s="2" t="s">
        <v>20</v>
      </c>
      <c r="F364" s="2">
        <v>2017</v>
      </c>
      <c r="G364" s="2">
        <v>2017</v>
      </c>
      <c r="H364" s="2">
        <f>'mpi_dataset_summary_2017-2024'!$G364-'mpi_dataset_summary_2017-2024'!$F364+1</f>
        <v>1</v>
      </c>
      <c r="I364" s="2" t="s">
        <v>2111</v>
      </c>
      <c r="J364" s="2" t="s">
        <v>2111</v>
      </c>
      <c r="K364" s="2">
        <f>IF('mpi_dataset_summary_2017-2024'!$G364=2024,1,0)</f>
        <v>0</v>
      </c>
      <c r="L364" s="2">
        <f t="shared" si="10"/>
        <v>0</v>
      </c>
      <c r="M364" s="2">
        <v>150</v>
      </c>
      <c r="N364" s="2">
        <f t="shared" si="11"/>
        <v>0.442</v>
      </c>
      <c r="O364" s="2">
        <v>54.1568562</v>
      </c>
      <c r="P364" s="2">
        <v>-108.2802842</v>
      </c>
      <c r="Q364" s="2" t="s">
        <v>2109</v>
      </c>
      <c r="R364" s="3" t="s">
        <v>58</v>
      </c>
      <c r="S364" s="2" t="s">
        <v>22</v>
      </c>
      <c r="T364" s="2" t="s">
        <v>59</v>
      </c>
    </row>
    <row r="365" spans="1:20" x14ac:dyDescent="0.2">
      <c r="A365" s="2">
        <v>912</v>
      </c>
      <c r="B365" s="2" t="s">
        <v>735</v>
      </c>
      <c r="C365" s="2" t="s">
        <v>736</v>
      </c>
      <c r="D365" s="2" t="s">
        <v>83</v>
      </c>
      <c r="E365" s="2" t="s">
        <v>20</v>
      </c>
      <c r="F365" s="2">
        <v>2017</v>
      </c>
      <c r="G365" s="2">
        <v>2017</v>
      </c>
      <c r="H365" s="2">
        <f>'mpi_dataset_summary_2017-2024'!$G365-'mpi_dataset_summary_2017-2024'!$F365+1</f>
        <v>1</v>
      </c>
      <c r="I365" s="2" t="s">
        <v>2110</v>
      </c>
      <c r="J365" s="2" t="s">
        <v>2110</v>
      </c>
      <c r="K365" s="2">
        <f>IF('mpi_dataset_summary_2017-2024'!$G365=2024,1,0)</f>
        <v>0</v>
      </c>
      <c r="L365" s="2">
        <f t="shared" si="10"/>
        <v>1</v>
      </c>
      <c r="M365" s="2">
        <v>150</v>
      </c>
      <c r="N365" s="2">
        <f t="shared" si="11"/>
        <v>0.442</v>
      </c>
      <c r="O365" s="2">
        <v>47.571831000000003</v>
      </c>
      <c r="P365" s="2">
        <v>-52.699948999999997</v>
      </c>
      <c r="Q365" s="2" t="s">
        <v>2108</v>
      </c>
      <c r="R365" s="3" t="s">
        <v>37</v>
      </c>
      <c r="S365" s="2" t="s">
        <v>22</v>
      </c>
      <c r="T365" s="2" t="s">
        <v>38</v>
      </c>
    </row>
    <row r="366" spans="1:20" x14ac:dyDescent="0.2">
      <c r="A366" s="2">
        <v>915</v>
      </c>
      <c r="B366" s="2" t="s">
        <v>737</v>
      </c>
      <c r="C366" s="2" t="s">
        <v>738</v>
      </c>
      <c r="D366" s="2" t="s">
        <v>89</v>
      </c>
      <c r="E366" s="2" t="s">
        <v>43</v>
      </c>
      <c r="F366" s="2">
        <v>2017</v>
      </c>
      <c r="G366" s="2">
        <v>2017</v>
      </c>
      <c r="H366" s="2">
        <f>'mpi_dataset_summary_2017-2024'!$G366-'mpi_dataset_summary_2017-2024'!$F366+1</f>
        <v>1</v>
      </c>
      <c r="I366" s="2" t="s">
        <v>2110</v>
      </c>
      <c r="J366" s="2" t="s">
        <v>2110</v>
      </c>
      <c r="K366" s="2">
        <f>IF('mpi_dataset_summary_2017-2024'!$G366=2024,1,0)</f>
        <v>0</v>
      </c>
      <c r="L366" s="2">
        <f t="shared" si="10"/>
        <v>1</v>
      </c>
      <c r="M366" s="2">
        <v>75</v>
      </c>
      <c r="N366" s="2">
        <f t="shared" si="11"/>
        <v>0.29299999999999998</v>
      </c>
      <c r="O366" s="2">
        <v>49.020200000000003</v>
      </c>
      <c r="P366" s="2">
        <v>-72.489099999999993</v>
      </c>
      <c r="Q366" s="2" t="s">
        <v>2108</v>
      </c>
      <c r="R366" s="3" t="s">
        <v>24</v>
      </c>
      <c r="S366" s="2" t="s">
        <v>25</v>
      </c>
      <c r="T366" s="2" t="s">
        <v>26</v>
      </c>
    </row>
    <row r="367" spans="1:20" x14ac:dyDescent="0.2">
      <c r="A367" s="2">
        <v>918</v>
      </c>
      <c r="B367" s="2" t="s">
        <v>739</v>
      </c>
      <c r="C367" s="2" t="s">
        <v>740</v>
      </c>
      <c r="D367" s="2" t="s">
        <v>380</v>
      </c>
      <c r="E367" s="2" t="s">
        <v>20</v>
      </c>
      <c r="F367" s="2">
        <v>2017</v>
      </c>
      <c r="G367" s="2">
        <v>2020</v>
      </c>
      <c r="H367" s="2">
        <f>'mpi_dataset_summary_2017-2024'!$G367-'mpi_dataset_summary_2017-2024'!$F367+1</f>
        <v>4</v>
      </c>
      <c r="I367" s="2" t="s">
        <v>2112</v>
      </c>
      <c r="J367" s="2" t="s">
        <v>2111</v>
      </c>
      <c r="K367" s="2">
        <f>IF('mpi_dataset_summary_2017-2024'!$G367=2024,1,0)</f>
        <v>0</v>
      </c>
      <c r="L367" s="2">
        <f t="shared" si="10"/>
        <v>0</v>
      </c>
      <c r="M367" s="2">
        <v>100</v>
      </c>
      <c r="N367" s="2">
        <f t="shared" si="11"/>
        <v>0.34300000000000003</v>
      </c>
      <c r="O367" s="2">
        <v>66.553196999999997</v>
      </c>
      <c r="P367" s="2">
        <v>-137.83910299999999</v>
      </c>
      <c r="Q367" s="2" t="s">
        <v>2108</v>
      </c>
      <c r="R367" s="3" t="s">
        <v>39</v>
      </c>
      <c r="S367" s="2" t="s">
        <v>22</v>
      </c>
      <c r="T367" s="2" t="s">
        <v>40</v>
      </c>
    </row>
    <row r="368" spans="1:20" x14ac:dyDescent="0.2">
      <c r="A368" s="2">
        <v>919</v>
      </c>
      <c r="B368" s="2" t="s">
        <v>741</v>
      </c>
      <c r="C368" s="2" t="s">
        <v>742</v>
      </c>
      <c r="D368" s="2" t="s">
        <v>380</v>
      </c>
      <c r="E368" s="2" t="s">
        <v>20</v>
      </c>
      <c r="F368" s="2">
        <v>2017</v>
      </c>
      <c r="G368" s="2">
        <v>2021</v>
      </c>
      <c r="H368" s="2">
        <f>'mpi_dataset_summary_2017-2024'!$G368-'mpi_dataset_summary_2017-2024'!$F368+1</f>
        <v>5</v>
      </c>
      <c r="I368" s="2" t="s">
        <v>2111</v>
      </c>
      <c r="J368" s="2" t="s">
        <v>2111</v>
      </c>
      <c r="K368" s="2">
        <f>IF('mpi_dataset_summary_2017-2024'!$G368=2024,1,0)</f>
        <v>0</v>
      </c>
      <c r="L368" s="2">
        <f t="shared" si="10"/>
        <v>0</v>
      </c>
      <c r="M368" s="2">
        <v>110.1</v>
      </c>
      <c r="N368" s="2">
        <f t="shared" si="11"/>
        <v>0.376</v>
      </c>
      <c r="O368" s="2">
        <v>64.253050000000002</v>
      </c>
      <c r="P368" s="2">
        <v>-134.33528799999999</v>
      </c>
      <c r="Q368" s="2" t="s">
        <v>2107</v>
      </c>
      <c r="R368" s="3" t="s">
        <v>29</v>
      </c>
      <c r="S368" s="2" t="s">
        <v>22</v>
      </c>
      <c r="T368" s="2" t="s">
        <v>30</v>
      </c>
    </row>
    <row r="369" spans="1:20" x14ac:dyDescent="0.2">
      <c r="A369" s="2">
        <v>921</v>
      </c>
      <c r="B369" s="2" t="s">
        <v>743</v>
      </c>
      <c r="C369" s="2" t="s">
        <v>744</v>
      </c>
      <c r="D369" s="2" t="s">
        <v>89</v>
      </c>
      <c r="E369" s="2" t="s">
        <v>20</v>
      </c>
      <c r="F369" s="2">
        <v>2017</v>
      </c>
      <c r="G369" s="2">
        <v>2018</v>
      </c>
      <c r="H369" s="2">
        <f>'mpi_dataset_summary_2017-2024'!$G369-'mpi_dataset_summary_2017-2024'!$F369+1</f>
        <v>2</v>
      </c>
      <c r="I369" s="2" t="s">
        <v>2111</v>
      </c>
      <c r="J369" s="2" t="s">
        <v>2111</v>
      </c>
      <c r="K369" s="2">
        <f>IF('mpi_dataset_summary_2017-2024'!$G369=2024,1,0)</f>
        <v>0</v>
      </c>
      <c r="L369" s="2">
        <f t="shared" si="10"/>
        <v>0</v>
      </c>
      <c r="M369" s="2">
        <v>73</v>
      </c>
      <c r="N369" s="2">
        <f t="shared" si="11"/>
        <v>0.28599999999999998</v>
      </c>
      <c r="O369" s="2">
        <v>49.728299999999997</v>
      </c>
      <c r="P369" s="2">
        <v>-77.746300000000005</v>
      </c>
      <c r="Q369" s="2" t="s">
        <v>2107</v>
      </c>
      <c r="R369" s="3" t="s">
        <v>29</v>
      </c>
      <c r="S369" s="2" t="s">
        <v>22</v>
      </c>
      <c r="T369" s="2" t="s">
        <v>30</v>
      </c>
    </row>
    <row r="370" spans="1:20" x14ac:dyDescent="0.2">
      <c r="A370" s="2">
        <v>928</v>
      </c>
      <c r="B370" s="2" t="s">
        <v>745</v>
      </c>
      <c r="C370" s="2" t="s">
        <v>746</v>
      </c>
      <c r="D370" s="2" t="s">
        <v>69</v>
      </c>
      <c r="E370" s="2" t="s">
        <v>20</v>
      </c>
      <c r="F370" s="2">
        <v>2017</v>
      </c>
      <c r="G370" s="2">
        <v>2024</v>
      </c>
      <c r="H370" s="2">
        <f>'mpi_dataset_summary_2017-2024'!$G370-'mpi_dataset_summary_2017-2024'!$F370+1</f>
        <v>8</v>
      </c>
      <c r="I370" s="2" t="s">
        <v>2110</v>
      </c>
      <c r="J370" s="2" t="s">
        <v>2110</v>
      </c>
      <c r="K370" s="2">
        <f>IF('mpi_dataset_summary_2017-2024'!$G370=2024,1,0)</f>
        <v>1</v>
      </c>
      <c r="L370" s="2">
        <f t="shared" si="10"/>
        <v>1</v>
      </c>
      <c r="M370" s="2">
        <v>50</v>
      </c>
      <c r="N370" s="2">
        <f t="shared" si="11"/>
        <v>0.214</v>
      </c>
      <c r="O370" s="2">
        <v>49.335625</v>
      </c>
      <c r="P370" s="2">
        <v>-117.737002</v>
      </c>
      <c r="Q370" s="2" t="s">
        <v>2109</v>
      </c>
      <c r="R370" s="3" t="s">
        <v>58</v>
      </c>
      <c r="S370" s="2" t="s">
        <v>22</v>
      </c>
      <c r="T370" s="2" t="s">
        <v>59</v>
      </c>
    </row>
    <row r="371" spans="1:20" x14ac:dyDescent="0.2">
      <c r="A371" s="2">
        <v>931</v>
      </c>
      <c r="B371" s="2" t="s">
        <v>747</v>
      </c>
      <c r="C371" s="2" t="s">
        <v>748</v>
      </c>
      <c r="D371" s="2" t="s">
        <v>89</v>
      </c>
      <c r="E371" s="2" t="s">
        <v>20</v>
      </c>
      <c r="F371" s="2">
        <v>2017</v>
      </c>
      <c r="G371" s="2">
        <v>2017</v>
      </c>
      <c r="H371" s="2">
        <f>'mpi_dataset_summary_2017-2024'!$G371-'mpi_dataset_summary_2017-2024'!$F371+1</f>
        <v>1</v>
      </c>
      <c r="I371" s="2" t="s">
        <v>2111</v>
      </c>
      <c r="J371" s="2" t="s">
        <v>2111</v>
      </c>
      <c r="K371" s="2">
        <f>IF('mpi_dataset_summary_2017-2024'!$G371=2024,1,0)</f>
        <v>0</v>
      </c>
      <c r="L371" s="2">
        <f t="shared" si="10"/>
        <v>0</v>
      </c>
      <c r="M371" s="2">
        <v>19</v>
      </c>
      <c r="N371" s="2">
        <f t="shared" si="11"/>
        <v>8.5999999999999993E-2</v>
      </c>
      <c r="O371" s="2">
        <v>46.3264</v>
      </c>
      <c r="P371" s="2">
        <v>-73.8977</v>
      </c>
      <c r="Q371" s="2" t="s">
        <v>2108</v>
      </c>
      <c r="R371" s="3" t="s">
        <v>24</v>
      </c>
      <c r="S371" s="2" t="s">
        <v>25</v>
      </c>
      <c r="T371" s="2" t="s">
        <v>26</v>
      </c>
    </row>
    <row r="372" spans="1:20" x14ac:dyDescent="0.2">
      <c r="A372" s="2">
        <v>936</v>
      </c>
      <c r="B372" s="2" t="s">
        <v>749</v>
      </c>
      <c r="C372" s="2" t="s">
        <v>750</v>
      </c>
      <c r="D372" s="2" t="s">
        <v>89</v>
      </c>
      <c r="E372" s="2" t="s">
        <v>20</v>
      </c>
      <c r="F372" s="2">
        <v>2017</v>
      </c>
      <c r="G372" s="2">
        <v>2024</v>
      </c>
      <c r="H372" s="2">
        <f>'mpi_dataset_summary_2017-2024'!$G372-'mpi_dataset_summary_2017-2024'!$F372+1</f>
        <v>8</v>
      </c>
      <c r="I372" s="2" t="s">
        <v>2112</v>
      </c>
      <c r="J372" s="2" t="s">
        <v>2110</v>
      </c>
      <c r="K372" s="2">
        <f>IF('mpi_dataset_summary_2017-2024'!$G372=2024,1,0)</f>
        <v>1</v>
      </c>
      <c r="L372" s="2">
        <f t="shared" si="10"/>
        <v>1</v>
      </c>
      <c r="M372" s="2">
        <v>51</v>
      </c>
      <c r="N372" s="2">
        <f t="shared" si="11"/>
        <v>0.23</v>
      </c>
      <c r="O372" s="2">
        <v>48.099809999999998</v>
      </c>
      <c r="P372" s="2">
        <v>-77.644166999999996</v>
      </c>
      <c r="Q372" s="2" t="s">
        <v>2107</v>
      </c>
      <c r="R372" s="3" t="s">
        <v>29</v>
      </c>
      <c r="S372" s="2" t="s">
        <v>22</v>
      </c>
      <c r="T372" s="2" t="s">
        <v>30</v>
      </c>
    </row>
    <row r="373" spans="1:20" x14ac:dyDescent="0.2">
      <c r="A373" s="2">
        <v>937</v>
      </c>
      <c r="B373" s="2" t="s">
        <v>751</v>
      </c>
      <c r="C373" s="2" t="s">
        <v>752</v>
      </c>
      <c r="D373" s="2" t="s">
        <v>69</v>
      </c>
      <c r="E373" s="2" t="s">
        <v>20</v>
      </c>
      <c r="F373" s="2">
        <v>2017</v>
      </c>
      <c r="G373" s="2">
        <v>2021</v>
      </c>
      <c r="H373" s="2">
        <f>'mpi_dataset_summary_2017-2024'!$G373-'mpi_dataset_summary_2017-2024'!$F373+1</f>
        <v>5</v>
      </c>
      <c r="I373" s="2" t="s">
        <v>2112</v>
      </c>
      <c r="J373" s="2" t="s">
        <v>2111</v>
      </c>
      <c r="K373" s="2">
        <f>IF('mpi_dataset_summary_2017-2024'!$G373=2024,1,0)</f>
        <v>0</v>
      </c>
      <c r="L373" s="2">
        <f t="shared" si="10"/>
        <v>0</v>
      </c>
      <c r="M373" s="2">
        <v>0</v>
      </c>
      <c r="N373" s="2">
        <f t="shared" si="11"/>
        <v>0</v>
      </c>
      <c r="O373" s="2">
        <v>55.92848</v>
      </c>
      <c r="P373" s="2">
        <v>-129.98962700000001</v>
      </c>
      <c r="Q373" s="2" t="s">
        <v>2108</v>
      </c>
      <c r="R373" s="3" t="s">
        <v>37</v>
      </c>
      <c r="S373" s="2" t="s">
        <v>22</v>
      </c>
      <c r="T373" s="2" t="s">
        <v>38</v>
      </c>
    </row>
    <row r="374" spans="1:20" x14ac:dyDescent="0.2">
      <c r="A374" s="2">
        <v>938</v>
      </c>
      <c r="B374" s="2" t="s">
        <v>753</v>
      </c>
      <c r="C374" s="2" t="s">
        <v>754</v>
      </c>
      <c r="D374" s="2" t="s">
        <v>69</v>
      </c>
      <c r="E374" s="2" t="s">
        <v>20</v>
      </c>
      <c r="F374" s="2">
        <v>2017</v>
      </c>
      <c r="G374" s="2">
        <v>2024</v>
      </c>
      <c r="H374" s="2">
        <f>'mpi_dataset_summary_2017-2024'!$G374-'mpi_dataset_summary_2017-2024'!$F374+1</f>
        <v>8</v>
      </c>
      <c r="I374" s="2" t="s">
        <v>2112</v>
      </c>
      <c r="J374" s="2" t="s">
        <v>2111</v>
      </c>
      <c r="K374" s="2">
        <f>IF('mpi_dataset_summary_2017-2024'!$G374=2024,1,0)</f>
        <v>1</v>
      </c>
      <c r="L374" s="2">
        <f t="shared" si="10"/>
        <v>0</v>
      </c>
      <c r="M374" s="2">
        <v>4600</v>
      </c>
      <c r="N374" s="2">
        <f t="shared" si="11"/>
        <v>0.94599999999999995</v>
      </c>
      <c r="O374" s="2">
        <v>53.925410999999997</v>
      </c>
      <c r="P374" s="2">
        <v>-128.727915</v>
      </c>
      <c r="Q374" s="2" t="s">
        <v>2108</v>
      </c>
      <c r="R374" s="3" t="s">
        <v>37</v>
      </c>
      <c r="S374" s="2" t="s">
        <v>22</v>
      </c>
      <c r="T374" s="2" t="s">
        <v>38</v>
      </c>
    </row>
    <row r="375" spans="1:20" x14ac:dyDescent="0.2">
      <c r="A375" s="2">
        <v>939</v>
      </c>
      <c r="B375" s="2" t="s">
        <v>755</v>
      </c>
      <c r="C375" s="2" t="s">
        <v>756</v>
      </c>
      <c r="D375" s="2" t="s">
        <v>69</v>
      </c>
      <c r="E375" s="2" t="s">
        <v>20</v>
      </c>
      <c r="F375" s="2">
        <v>2017</v>
      </c>
      <c r="G375" s="2">
        <v>2021</v>
      </c>
      <c r="H375" s="2">
        <f>'mpi_dataset_summary_2017-2024'!$G375-'mpi_dataset_summary_2017-2024'!$F375+1</f>
        <v>5</v>
      </c>
      <c r="I375" s="2" t="s">
        <v>2112</v>
      </c>
      <c r="J375" s="2" t="s">
        <v>2111</v>
      </c>
      <c r="K375" s="2">
        <f>IF('mpi_dataset_summary_2017-2024'!$G375=2024,1,0)</f>
        <v>0</v>
      </c>
      <c r="L375" s="2">
        <f t="shared" si="10"/>
        <v>0</v>
      </c>
      <c r="M375" s="2">
        <v>0</v>
      </c>
      <c r="N375" s="2">
        <f t="shared" si="11"/>
        <v>0</v>
      </c>
      <c r="O375" s="2" t="s">
        <v>2114</v>
      </c>
      <c r="P375" s="2" t="s">
        <v>2114</v>
      </c>
      <c r="Q375" s="2" t="s">
        <v>2108</v>
      </c>
      <c r="R375" s="3" t="s">
        <v>24</v>
      </c>
      <c r="S375" s="2" t="s">
        <v>25</v>
      </c>
      <c r="T375" s="2" t="s">
        <v>26</v>
      </c>
    </row>
    <row r="376" spans="1:20" x14ac:dyDescent="0.2">
      <c r="A376" s="2">
        <v>942</v>
      </c>
      <c r="B376" s="2" t="s">
        <v>757</v>
      </c>
      <c r="C376" s="2" t="s">
        <v>758</v>
      </c>
      <c r="D376" s="2" t="s">
        <v>69</v>
      </c>
      <c r="E376" s="2" t="s">
        <v>20</v>
      </c>
      <c r="F376" s="2">
        <v>2017</v>
      </c>
      <c r="G376" s="2">
        <v>2024</v>
      </c>
      <c r="H376" s="2">
        <f>'mpi_dataset_summary_2017-2024'!$G376-'mpi_dataset_summary_2017-2024'!$F376+1</f>
        <v>8</v>
      </c>
      <c r="I376" s="2" t="s">
        <v>2111</v>
      </c>
      <c r="J376" s="2" t="s">
        <v>2111</v>
      </c>
      <c r="K376" s="2">
        <f>IF('mpi_dataset_summary_2017-2024'!$G376=2024,1,0)</f>
        <v>1</v>
      </c>
      <c r="L376" s="2">
        <f t="shared" si="10"/>
        <v>0</v>
      </c>
      <c r="M376" s="2">
        <v>270</v>
      </c>
      <c r="N376" s="2">
        <f t="shared" si="11"/>
        <v>0.55800000000000005</v>
      </c>
      <c r="O376" s="2" t="s">
        <v>2114</v>
      </c>
      <c r="P376" s="2" t="s">
        <v>2114</v>
      </c>
      <c r="Q376" s="2" t="s">
        <v>2108</v>
      </c>
      <c r="R376" s="3" t="s">
        <v>37</v>
      </c>
      <c r="S376" s="2" t="s">
        <v>22</v>
      </c>
      <c r="T376" s="2" t="s">
        <v>38</v>
      </c>
    </row>
    <row r="377" spans="1:20" x14ac:dyDescent="0.2">
      <c r="A377" s="2">
        <v>943</v>
      </c>
      <c r="B377" s="2" t="s">
        <v>759</v>
      </c>
      <c r="C377" s="2" t="s">
        <v>760</v>
      </c>
      <c r="D377" s="2" t="s">
        <v>69</v>
      </c>
      <c r="E377" s="2" t="s">
        <v>20</v>
      </c>
      <c r="F377" s="2">
        <v>2017</v>
      </c>
      <c r="G377" s="2">
        <v>2024</v>
      </c>
      <c r="H377" s="2">
        <f>'mpi_dataset_summary_2017-2024'!$G377-'mpi_dataset_summary_2017-2024'!$F377+1</f>
        <v>8</v>
      </c>
      <c r="I377" s="2" t="s">
        <v>2112</v>
      </c>
      <c r="J377" s="2" t="s">
        <v>2112</v>
      </c>
      <c r="K377" s="2">
        <f>IF('mpi_dataset_summary_2017-2024'!$G377=2024,1,0)</f>
        <v>1</v>
      </c>
      <c r="L377" s="2">
        <f t="shared" si="10"/>
        <v>0</v>
      </c>
      <c r="M377" s="2">
        <v>1100</v>
      </c>
      <c r="N377" s="2">
        <f t="shared" si="11"/>
        <v>0.82199999999999995</v>
      </c>
      <c r="O377" s="2">
        <v>49.141797599999997</v>
      </c>
      <c r="P377" s="2">
        <v>-123.023505</v>
      </c>
      <c r="Q377" s="2" t="s">
        <v>2108</v>
      </c>
      <c r="R377" s="3" t="s">
        <v>37</v>
      </c>
      <c r="S377" s="2" t="s">
        <v>22</v>
      </c>
      <c r="T377" s="2" t="s">
        <v>38</v>
      </c>
    </row>
    <row r="378" spans="1:20" x14ac:dyDescent="0.2">
      <c r="A378" s="2">
        <v>944</v>
      </c>
      <c r="B378" s="2" t="s">
        <v>761</v>
      </c>
      <c r="C378" s="2" t="s">
        <v>762</v>
      </c>
      <c r="D378" s="2" t="s">
        <v>83</v>
      </c>
      <c r="E378" s="2" t="s">
        <v>20</v>
      </c>
      <c r="F378" s="2">
        <v>2017</v>
      </c>
      <c r="G378" s="2">
        <v>2020</v>
      </c>
      <c r="H378" s="2">
        <f>'mpi_dataset_summary_2017-2024'!$G378-'mpi_dataset_summary_2017-2024'!$F378+1</f>
        <v>4</v>
      </c>
      <c r="I378" s="2" t="s">
        <v>2110</v>
      </c>
      <c r="J378" s="2" t="s">
        <v>2110</v>
      </c>
      <c r="K378" s="2">
        <f>IF('mpi_dataset_summary_2017-2024'!$G378=2024,1,0)</f>
        <v>0</v>
      </c>
      <c r="L378" s="2">
        <f t="shared" si="10"/>
        <v>1</v>
      </c>
      <c r="M378" s="2">
        <v>2551.36</v>
      </c>
      <c r="N378" s="2">
        <f t="shared" si="11"/>
        <v>0.91600000000000004</v>
      </c>
      <c r="O378" s="2">
        <v>56.339568999999997</v>
      </c>
      <c r="P378" s="2">
        <v>-62.096443000000001</v>
      </c>
      <c r="Q378" s="2" t="s">
        <v>2107</v>
      </c>
      <c r="R378" s="3" t="s">
        <v>29</v>
      </c>
      <c r="S378" s="2" t="s">
        <v>22</v>
      </c>
      <c r="T378" s="2" t="s">
        <v>30</v>
      </c>
    </row>
    <row r="379" spans="1:20" x14ac:dyDescent="0.2">
      <c r="A379" s="2">
        <v>946</v>
      </c>
      <c r="B379" s="2" t="s">
        <v>763</v>
      </c>
      <c r="C379" s="2" t="s">
        <v>746</v>
      </c>
      <c r="D379" s="2" t="s">
        <v>89</v>
      </c>
      <c r="E379" s="2" t="s">
        <v>20</v>
      </c>
      <c r="F379" s="2">
        <v>2017</v>
      </c>
      <c r="G379" s="2">
        <v>2018</v>
      </c>
      <c r="H379" s="2">
        <f>'mpi_dataset_summary_2017-2024'!$G379-'mpi_dataset_summary_2017-2024'!$F379+1</f>
        <v>2</v>
      </c>
      <c r="I379" s="2" t="s">
        <v>2111</v>
      </c>
      <c r="J379" s="2" t="s">
        <v>2111</v>
      </c>
      <c r="K379" s="2">
        <f>IF('mpi_dataset_summary_2017-2024'!$G379=2024,1,0)</f>
        <v>0</v>
      </c>
      <c r="L379" s="2">
        <f t="shared" si="10"/>
        <v>0</v>
      </c>
      <c r="M379" s="2">
        <v>53</v>
      </c>
      <c r="N379" s="2">
        <f t="shared" si="11"/>
        <v>0.23599999999999999</v>
      </c>
      <c r="O379" s="2">
        <v>48.115540000000003</v>
      </c>
      <c r="P379" s="2">
        <v>-77.778943999999996</v>
      </c>
      <c r="Q379" s="2" t="s">
        <v>2109</v>
      </c>
      <c r="R379" s="3" t="s">
        <v>58</v>
      </c>
      <c r="S379" s="2" t="s">
        <v>22</v>
      </c>
      <c r="T379" s="2" t="s">
        <v>59</v>
      </c>
    </row>
    <row r="380" spans="1:20" x14ac:dyDescent="0.2">
      <c r="A380" s="2">
        <v>947</v>
      </c>
      <c r="B380" s="2" t="s">
        <v>465</v>
      </c>
      <c r="C380" s="2" t="s">
        <v>764</v>
      </c>
      <c r="D380" s="2" t="s">
        <v>161</v>
      </c>
      <c r="E380" s="2" t="s">
        <v>20</v>
      </c>
      <c r="F380" s="2">
        <v>2017</v>
      </c>
      <c r="G380" s="2">
        <v>2017</v>
      </c>
      <c r="H380" s="2">
        <f>'mpi_dataset_summary_2017-2024'!$G380-'mpi_dataset_summary_2017-2024'!$F380+1</f>
        <v>1</v>
      </c>
      <c r="I380" s="2" t="s">
        <v>2112</v>
      </c>
      <c r="J380" s="2" t="s">
        <v>2112</v>
      </c>
      <c r="K380" s="2">
        <f>IF('mpi_dataset_summary_2017-2024'!$G380=2024,1,0)</f>
        <v>0</v>
      </c>
      <c r="L380" s="2">
        <f t="shared" si="10"/>
        <v>0</v>
      </c>
      <c r="M380" s="2">
        <v>1500</v>
      </c>
      <c r="N380" s="2">
        <f t="shared" si="11"/>
        <v>0.86399999999999999</v>
      </c>
      <c r="O380" s="2">
        <v>43.728667999999999</v>
      </c>
      <c r="P380" s="2">
        <v>-79.275099999999995</v>
      </c>
      <c r="Q380" s="2" t="s">
        <v>2108</v>
      </c>
      <c r="R380" s="3" t="s">
        <v>35</v>
      </c>
      <c r="S380" s="2" t="s">
        <v>22</v>
      </c>
      <c r="T380" s="2" t="s">
        <v>36</v>
      </c>
    </row>
    <row r="381" spans="1:20" x14ac:dyDescent="0.2">
      <c r="A381" s="2">
        <v>949</v>
      </c>
      <c r="B381" s="2" t="s">
        <v>214</v>
      </c>
      <c r="C381" s="2" t="s">
        <v>765</v>
      </c>
      <c r="D381" s="2" t="s">
        <v>89</v>
      </c>
      <c r="E381" s="2" t="s">
        <v>43</v>
      </c>
      <c r="F381" s="2">
        <v>2017</v>
      </c>
      <c r="G381" s="2">
        <v>2017</v>
      </c>
      <c r="H381" s="2">
        <f>'mpi_dataset_summary_2017-2024'!$G381-'mpi_dataset_summary_2017-2024'!$F381+1</f>
        <v>1</v>
      </c>
      <c r="I381" s="2" t="s">
        <v>2110</v>
      </c>
      <c r="J381" s="2" t="s">
        <v>2110</v>
      </c>
      <c r="K381" s="2">
        <f>IF('mpi_dataset_summary_2017-2024'!$G381=2024,1,0)</f>
        <v>0</v>
      </c>
      <c r="L381" s="2">
        <f t="shared" si="10"/>
        <v>1</v>
      </c>
      <c r="M381" s="2">
        <v>1340</v>
      </c>
      <c r="N381" s="2">
        <f t="shared" si="11"/>
        <v>0.85</v>
      </c>
      <c r="O381" s="2">
        <v>45.721699999999998</v>
      </c>
      <c r="P381" s="2">
        <v>-73.7072</v>
      </c>
      <c r="Q381" s="2" t="s">
        <v>2108</v>
      </c>
      <c r="R381" s="3" t="s">
        <v>24</v>
      </c>
      <c r="S381" s="2" t="s">
        <v>25</v>
      </c>
      <c r="T381" s="2" t="s">
        <v>26</v>
      </c>
    </row>
    <row r="382" spans="1:20" x14ac:dyDescent="0.2">
      <c r="A382" s="2">
        <v>951</v>
      </c>
      <c r="B382" s="2" t="s">
        <v>766</v>
      </c>
      <c r="C382" s="2" t="s">
        <v>767</v>
      </c>
      <c r="D382" s="2" t="s">
        <v>126</v>
      </c>
      <c r="E382" s="2" t="s">
        <v>20</v>
      </c>
      <c r="F382" s="2">
        <v>2017</v>
      </c>
      <c r="G382" s="2">
        <v>2019</v>
      </c>
      <c r="H382" s="2">
        <f>'mpi_dataset_summary_2017-2024'!$G382-'mpi_dataset_summary_2017-2024'!$F382+1</f>
        <v>3</v>
      </c>
      <c r="I382" s="2" t="s">
        <v>2113</v>
      </c>
      <c r="J382" s="2" t="s">
        <v>2113</v>
      </c>
      <c r="K382" s="2">
        <f>IF('mpi_dataset_summary_2017-2024'!$G382=2024,1,0)</f>
        <v>0</v>
      </c>
      <c r="L382" s="2">
        <f t="shared" si="10"/>
        <v>0</v>
      </c>
      <c r="M382" s="2">
        <v>840</v>
      </c>
      <c r="N382" s="2">
        <f t="shared" si="11"/>
        <v>0.78600000000000003</v>
      </c>
      <c r="O382" s="2">
        <v>64.445237000000006</v>
      </c>
      <c r="P382" s="2">
        <v>-110.695595</v>
      </c>
      <c r="Q382" s="2" t="s">
        <v>2107</v>
      </c>
      <c r="R382" s="3" t="s">
        <v>29</v>
      </c>
      <c r="S382" s="2" t="s">
        <v>22</v>
      </c>
      <c r="T382" s="2" t="s">
        <v>30</v>
      </c>
    </row>
    <row r="383" spans="1:20" x14ac:dyDescent="0.2">
      <c r="A383" s="2">
        <v>952</v>
      </c>
      <c r="B383" s="2" t="s">
        <v>768</v>
      </c>
      <c r="C383" s="2" t="s">
        <v>769</v>
      </c>
      <c r="D383" s="2" t="s">
        <v>89</v>
      </c>
      <c r="E383" s="2" t="s">
        <v>20</v>
      </c>
      <c r="F383" s="2">
        <v>2017</v>
      </c>
      <c r="G383" s="2">
        <v>2022</v>
      </c>
      <c r="H383" s="2">
        <f>'mpi_dataset_summary_2017-2024'!$G383-'mpi_dataset_summary_2017-2024'!$F383+1</f>
        <v>6</v>
      </c>
      <c r="I383" s="2" t="s">
        <v>2112</v>
      </c>
      <c r="J383" s="2" t="s">
        <v>2110</v>
      </c>
      <c r="K383" s="2">
        <f>IF('mpi_dataset_summary_2017-2024'!$G383=2024,1,0)</f>
        <v>0</v>
      </c>
      <c r="L383" s="2">
        <f t="shared" si="10"/>
        <v>1</v>
      </c>
      <c r="M383" s="2">
        <v>1000</v>
      </c>
      <c r="N383" s="2">
        <f t="shared" si="11"/>
        <v>0.80500000000000005</v>
      </c>
      <c r="O383" s="2">
        <v>61.6877</v>
      </c>
      <c r="P383" s="2">
        <v>-73.677199999999999</v>
      </c>
      <c r="Q383" s="2" t="s">
        <v>2107</v>
      </c>
      <c r="R383" s="3" t="s">
        <v>41</v>
      </c>
      <c r="S383" s="2" t="s">
        <v>22</v>
      </c>
      <c r="T383" s="2" t="s">
        <v>42</v>
      </c>
    </row>
    <row r="384" spans="1:20" x14ac:dyDescent="0.2">
      <c r="A384" s="2">
        <v>954</v>
      </c>
      <c r="B384" s="2" t="s">
        <v>770</v>
      </c>
      <c r="C384" s="2" t="s">
        <v>771</v>
      </c>
      <c r="D384" s="2" t="s">
        <v>69</v>
      </c>
      <c r="E384" s="2" t="s">
        <v>20</v>
      </c>
      <c r="F384" s="2">
        <v>2017</v>
      </c>
      <c r="G384" s="2">
        <v>2019</v>
      </c>
      <c r="H384" s="2">
        <f>'mpi_dataset_summary_2017-2024'!$G384-'mpi_dataset_summary_2017-2024'!$F384+1</f>
        <v>3</v>
      </c>
      <c r="I384" s="2" t="s">
        <v>2111</v>
      </c>
      <c r="J384" s="2" t="s">
        <v>2110</v>
      </c>
      <c r="K384" s="2">
        <f>IF('mpi_dataset_summary_2017-2024'!$G384=2024,1,0)</f>
        <v>0</v>
      </c>
      <c r="L384" s="2">
        <f t="shared" si="10"/>
        <v>1</v>
      </c>
      <c r="M384" s="2">
        <v>100</v>
      </c>
      <c r="N384" s="2">
        <f t="shared" si="11"/>
        <v>0.34300000000000003</v>
      </c>
      <c r="O384" s="2">
        <v>56.246614000000001</v>
      </c>
      <c r="P384" s="2">
        <v>-120.84764699999999</v>
      </c>
      <c r="Q384" s="2" t="s">
        <v>2108</v>
      </c>
      <c r="R384" s="3" t="s">
        <v>41</v>
      </c>
      <c r="S384" s="2" t="s">
        <v>25</v>
      </c>
      <c r="T384" s="2" t="s">
        <v>46</v>
      </c>
    </row>
    <row r="385" spans="1:20" x14ac:dyDescent="0.2">
      <c r="A385" s="2">
        <v>955</v>
      </c>
      <c r="B385" s="2" t="s">
        <v>770</v>
      </c>
      <c r="C385" s="2" t="s">
        <v>772</v>
      </c>
      <c r="D385" s="2" t="s">
        <v>69</v>
      </c>
      <c r="E385" s="2" t="s">
        <v>20</v>
      </c>
      <c r="F385" s="2">
        <v>2017</v>
      </c>
      <c r="G385" s="2">
        <v>2018</v>
      </c>
      <c r="H385" s="2">
        <f>'mpi_dataset_summary_2017-2024'!$G385-'mpi_dataset_summary_2017-2024'!$F385+1</f>
        <v>2</v>
      </c>
      <c r="I385" s="2" t="s">
        <v>2113</v>
      </c>
      <c r="J385" s="2" t="s">
        <v>2110</v>
      </c>
      <c r="K385" s="2">
        <f>IF('mpi_dataset_summary_2017-2024'!$G385=2024,1,0)</f>
        <v>0</v>
      </c>
      <c r="L385" s="2">
        <f t="shared" si="10"/>
        <v>1</v>
      </c>
      <c r="M385" s="2">
        <v>450</v>
      </c>
      <c r="N385" s="2">
        <f t="shared" si="11"/>
        <v>0.65500000000000003</v>
      </c>
      <c r="O385" s="2">
        <v>54.224372000000002</v>
      </c>
      <c r="P385" s="2">
        <v>-130.32818700000001</v>
      </c>
      <c r="Q385" s="2" t="s">
        <v>2108</v>
      </c>
      <c r="R385" s="3" t="s">
        <v>37</v>
      </c>
      <c r="S385" s="2" t="s">
        <v>22</v>
      </c>
      <c r="T385" s="2" t="s">
        <v>38</v>
      </c>
    </row>
    <row r="386" spans="1:20" x14ac:dyDescent="0.2">
      <c r="A386" s="2">
        <v>956</v>
      </c>
      <c r="B386" s="2" t="s">
        <v>773</v>
      </c>
      <c r="C386" s="2" t="s">
        <v>774</v>
      </c>
      <c r="D386" s="2" t="s">
        <v>66</v>
      </c>
      <c r="E386" s="2" t="s">
        <v>20</v>
      </c>
      <c r="F386" s="2">
        <v>2017</v>
      </c>
      <c r="G386" s="2">
        <v>2024</v>
      </c>
      <c r="H386" s="2">
        <f>'mpi_dataset_summary_2017-2024'!$G386-'mpi_dataset_summary_2017-2024'!$F386+1</f>
        <v>8</v>
      </c>
      <c r="I386" s="2" t="s">
        <v>2111</v>
      </c>
      <c r="J386" s="2" t="s">
        <v>2111</v>
      </c>
      <c r="K386" s="2">
        <f>IF('mpi_dataset_summary_2017-2024'!$G386=2024,1,0)</f>
        <v>1</v>
      </c>
      <c r="L386" s="2">
        <f t="shared" ref="L386:L449" si="12">IF(J386="Under Construction",1,0)</f>
        <v>0</v>
      </c>
      <c r="M386" s="2">
        <v>500</v>
      </c>
      <c r="N386" s="2">
        <f t="shared" ref="N386:N449" si="13">_xlfn.PERCENTRANK.INC($M$2:$M$4056,M386)</f>
        <v>0.67800000000000005</v>
      </c>
      <c r="O386" s="2">
        <v>49.739198000000002</v>
      </c>
      <c r="P386" s="2">
        <v>-114.300651</v>
      </c>
      <c r="Q386" s="2" t="s">
        <v>2108</v>
      </c>
      <c r="R386" s="3" t="s">
        <v>35</v>
      </c>
      <c r="S386" s="2" t="s">
        <v>22</v>
      </c>
      <c r="T386" s="2" t="s">
        <v>36</v>
      </c>
    </row>
    <row r="387" spans="1:20" x14ac:dyDescent="0.2">
      <c r="A387" s="2">
        <v>957</v>
      </c>
      <c r="B387" s="2" t="s">
        <v>775</v>
      </c>
      <c r="C387" s="2" t="s">
        <v>776</v>
      </c>
      <c r="D387" s="2" t="s">
        <v>69</v>
      </c>
      <c r="E387" s="2" t="s">
        <v>20</v>
      </c>
      <c r="F387" s="2">
        <v>2017</v>
      </c>
      <c r="G387" s="2">
        <v>2024</v>
      </c>
      <c r="H387" s="2">
        <f>'mpi_dataset_summary_2017-2024'!$G387-'mpi_dataset_summary_2017-2024'!$F387+1</f>
        <v>8</v>
      </c>
      <c r="I387" s="2" t="s">
        <v>2111</v>
      </c>
      <c r="J387" s="2" t="s">
        <v>2111</v>
      </c>
      <c r="K387" s="2">
        <f>IF('mpi_dataset_summary_2017-2024'!$G387=2024,1,0)</f>
        <v>1</v>
      </c>
      <c r="L387" s="2">
        <f t="shared" si="12"/>
        <v>0</v>
      </c>
      <c r="M387" s="2">
        <v>600</v>
      </c>
      <c r="N387" s="2">
        <f t="shared" si="13"/>
        <v>0.71399999999999997</v>
      </c>
      <c r="O387" s="2">
        <v>56.700659999999999</v>
      </c>
      <c r="P387" s="2">
        <v>-128.762292</v>
      </c>
      <c r="Q387" s="2" t="s">
        <v>2107</v>
      </c>
      <c r="R387" s="3" t="s">
        <v>21</v>
      </c>
      <c r="S387" s="2" t="s">
        <v>22</v>
      </c>
      <c r="T387" s="2" t="s">
        <v>23</v>
      </c>
    </row>
    <row r="388" spans="1:20" x14ac:dyDescent="0.2">
      <c r="A388" s="2">
        <v>958</v>
      </c>
      <c r="B388" s="2" t="s">
        <v>104</v>
      </c>
      <c r="C388" s="2" t="s">
        <v>777</v>
      </c>
      <c r="D388" s="2" t="s">
        <v>69</v>
      </c>
      <c r="E388" s="2" t="s">
        <v>43</v>
      </c>
      <c r="F388" s="2">
        <v>2017</v>
      </c>
      <c r="G388" s="2">
        <v>2020</v>
      </c>
      <c r="H388" s="2">
        <f>'mpi_dataset_summary_2017-2024'!$G388-'mpi_dataset_summary_2017-2024'!$F388+1</f>
        <v>4</v>
      </c>
      <c r="I388" s="2" t="s">
        <v>2112</v>
      </c>
      <c r="J388" s="2" t="s">
        <v>2110</v>
      </c>
      <c r="K388" s="2">
        <f>IF('mpi_dataset_summary_2017-2024'!$G388=2024,1,0)</f>
        <v>0</v>
      </c>
      <c r="L388" s="2">
        <f t="shared" si="12"/>
        <v>1</v>
      </c>
      <c r="M388" s="2">
        <v>21</v>
      </c>
      <c r="N388" s="2">
        <f t="shared" si="13"/>
        <v>0.104</v>
      </c>
      <c r="O388" s="2">
        <v>49.283513999999997</v>
      </c>
      <c r="P388" s="2">
        <v>-125.679419</v>
      </c>
      <c r="Q388" s="2" t="s">
        <v>2108</v>
      </c>
      <c r="R388" s="3" t="s">
        <v>35</v>
      </c>
      <c r="S388" s="2" t="s">
        <v>22</v>
      </c>
      <c r="T388" s="2" t="s">
        <v>45</v>
      </c>
    </row>
    <row r="389" spans="1:20" x14ac:dyDescent="0.2">
      <c r="A389" s="2">
        <v>962</v>
      </c>
      <c r="B389" s="2" t="s">
        <v>104</v>
      </c>
      <c r="C389" s="2" t="s">
        <v>778</v>
      </c>
      <c r="D389" s="2" t="s">
        <v>69</v>
      </c>
      <c r="E389" s="2" t="s">
        <v>43</v>
      </c>
      <c r="F389" s="2">
        <v>2017</v>
      </c>
      <c r="G389" s="2">
        <v>2018</v>
      </c>
      <c r="H389" s="2">
        <f>'mpi_dataset_summary_2017-2024'!$G389-'mpi_dataset_summary_2017-2024'!$F389+1</f>
        <v>2</v>
      </c>
      <c r="I389" s="2" t="s">
        <v>2110</v>
      </c>
      <c r="J389" s="2" t="s">
        <v>2110</v>
      </c>
      <c r="K389" s="2">
        <f>IF('mpi_dataset_summary_2017-2024'!$G389=2024,1,0)</f>
        <v>0</v>
      </c>
      <c r="L389" s="2">
        <f t="shared" si="12"/>
        <v>1</v>
      </c>
      <c r="M389" s="2">
        <v>40</v>
      </c>
      <c r="N389" s="2">
        <f t="shared" si="13"/>
        <v>0.17799999999999999</v>
      </c>
      <c r="O389" s="2">
        <v>49.091794</v>
      </c>
      <c r="P389" s="2">
        <v>-123.042209</v>
      </c>
      <c r="Q389" s="2" t="s">
        <v>2108</v>
      </c>
      <c r="R389" s="3" t="s">
        <v>35</v>
      </c>
      <c r="S389" s="2" t="s">
        <v>22</v>
      </c>
      <c r="T389" s="2" t="s">
        <v>36</v>
      </c>
    </row>
    <row r="390" spans="1:20" x14ac:dyDescent="0.2">
      <c r="A390" s="2">
        <v>963</v>
      </c>
      <c r="B390" s="2" t="s">
        <v>104</v>
      </c>
      <c r="C390" s="2" t="s">
        <v>779</v>
      </c>
      <c r="D390" s="2" t="s">
        <v>69</v>
      </c>
      <c r="E390" s="2" t="s">
        <v>43</v>
      </c>
      <c r="F390" s="2">
        <v>2017</v>
      </c>
      <c r="G390" s="2">
        <v>2018</v>
      </c>
      <c r="H390" s="2">
        <f>'mpi_dataset_summary_2017-2024'!$G390-'mpi_dataset_summary_2017-2024'!$F390+1</f>
        <v>2</v>
      </c>
      <c r="I390" s="2" t="s">
        <v>2110</v>
      </c>
      <c r="J390" s="2" t="s">
        <v>2110</v>
      </c>
      <c r="K390" s="2">
        <f>IF('mpi_dataset_summary_2017-2024'!$G390=2024,1,0)</f>
        <v>0</v>
      </c>
      <c r="L390" s="2">
        <f t="shared" si="12"/>
        <v>1</v>
      </c>
      <c r="M390" s="2">
        <v>56</v>
      </c>
      <c r="N390" s="2">
        <f t="shared" si="13"/>
        <v>0.247</v>
      </c>
      <c r="O390" s="2">
        <v>50.673940000000002</v>
      </c>
      <c r="P390" s="2">
        <v>-120.383922</v>
      </c>
      <c r="Q390" s="2" t="s">
        <v>2108</v>
      </c>
      <c r="R390" s="3" t="s">
        <v>35</v>
      </c>
      <c r="S390" s="2" t="s">
        <v>22</v>
      </c>
      <c r="T390" s="2" t="s">
        <v>36</v>
      </c>
    </row>
    <row r="391" spans="1:20" x14ac:dyDescent="0.2">
      <c r="A391" s="2">
        <v>964</v>
      </c>
      <c r="B391" s="2" t="s">
        <v>104</v>
      </c>
      <c r="C391" s="2" t="s">
        <v>780</v>
      </c>
      <c r="D391" s="2" t="s">
        <v>69</v>
      </c>
      <c r="E391" s="2" t="s">
        <v>43</v>
      </c>
      <c r="F391" s="2">
        <v>2017</v>
      </c>
      <c r="G391" s="2">
        <v>2020</v>
      </c>
      <c r="H391" s="2">
        <f>'mpi_dataset_summary_2017-2024'!$G391-'mpi_dataset_summary_2017-2024'!$F391+1</f>
        <v>4</v>
      </c>
      <c r="I391" s="2" t="s">
        <v>2110</v>
      </c>
      <c r="J391" s="2" t="s">
        <v>2110</v>
      </c>
      <c r="K391" s="2">
        <f>IF('mpi_dataset_summary_2017-2024'!$G391=2024,1,0)</f>
        <v>0</v>
      </c>
      <c r="L391" s="2">
        <f t="shared" si="12"/>
        <v>1</v>
      </c>
      <c r="M391" s="2">
        <v>53</v>
      </c>
      <c r="N391" s="2">
        <f t="shared" si="13"/>
        <v>0.23599999999999999</v>
      </c>
      <c r="O391" s="2">
        <v>56.135937499999997</v>
      </c>
      <c r="P391" s="2">
        <v>-121.00049970000001</v>
      </c>
      <c r="Q391" s="2" t="s">
        <v>2108</v>
      </c>
      <c r="R391" s="3" t="s">
        <v>24</v>
      </c>
      <c r="S391" s="2" t="s">
        <v>25</v>
      </c>
      <c r="T391" s="2" t="s">
        <v>26</v>
      </c>
    </row>
    <row r="392" spans="1:20" x14ac:dyDescent="0.2">
      <c r="A392" s="2">
        <v>965</v>
      </c>
      <c r="B392" s="2" t="s">
        <v>104</v>
      </c>
      <c r="C392" s="2" t="s">
        <v>781</v>
      </c>
      <c r="D392" s="2" t="s">
        <v>69</v>
      </c>
      <c r="E392" s="2" t="s">
        <v>43</v>
      </c>
      <c r="F392" s="2">
        <v>2017</v>
      </c>
      <c r="G392" s="2">
        <v>2024</v>
      </c>
      <c r="H392" s="2">
        <f>'mpi_dataset_summary_2017-2024'!$G392-'mpi_dataset_summary_2017-2024'!$F392+1</f>
        <v>8</v>
      </c>
      <c r="I392" s="2" t="s">
        <v>2110</v>
      </c>
      <c r="J392" s="2" t="s">
        <v>2110</v>
      </c>
      <c r="K392" s="2">
        <f>IF('mpi_dataset_summary_2017-2024'!$G392=2024,1,0)</f>
        <v>1</v>
      </c>
      <c r="L392" s="2">
        <f t="shared" si="12"/>
        <v>1</v>
      </c>
      <c r="M392" s="2">
        <v>75</v>
      </c>
      <c r="N392" s="2">
        <f t="shared" si="13"/>
        <v>0.29299999999999998</v>
      </c>
      <c r="O392" s="2">
        <v>56.016669999999998</v>
      </c>
      <c r="P392" s="2">
        <v>-122.2027447</v>
      </c>
      <c r="Q392" s="2" t="s">
        <v>2108</v>
      </c>
      <c r="R392" s="3" t="s">
        <v>41</v>
      </c>
      <c r="S392" s="2" t="s">
        <v>25</v>
      </c>
      <c r="T392" s="2" t="s">
        <v>46</v>
      </c>
    </row>
    <row r="393" spans="1:20" x14ac:dyDescent="0.2">
      <c r="A393" s="2">
        <v>966</v>
      </c>
      <c r="B393" s="2" t="s">
        <v>104</v>
      </c>
      <c r="C393" s="2" t="s">
        <v>782</v>
      </c>
      <c r="D393" s="2" t="s">
        <v>69</v>
      </c>
      <c r="E393" s="2" t="s">
        <v>43</v>
      </c>
      <c r="F393" s="2">
        <v>2017</v>
      </c>
      <c r="G393" s="2">
        <v>2019</v>
      </c>
      <c r="H393" s="2">
        <f>'mpi_dataset_summary_2017-2024'!$G393-'mpi_dataset_summary_2017-2024'!$F393+1</f>
        <v>3</v>
      </c>
      <c r="I393" s="2" t="s">
        <v>2110</v>
      </c>
      <c r="J393" s="2" t="s">
        <v>2110</v>
      </c>
      <c r="K393" s="2">
        <f>IF('mpi_dataset_summary_2017-2024'!$G393=2024,1,0)</f>
        <v>0</v>
      </c>
      <c r="L393" s="2">
        <f t="shared" si="12"/>
        <v>1</v>
      </c>
      <c r="M393" s="2">
        <v>93</v>
      </c>
      <c r="N393" s="2">
        <f t="shared" si="13"/>
        <v>0.33300000000000002</v>
      </c>
      <c r="O393" s="2">
        <v>49.266565999999997</v>
      </c>
      <c r="P393" s="2">
        <v>-123.016964</v>
      </c>
      <c r="Q393" s="2" t="s">
        <v>2108</v>
      </c>
      <c r="R393" s="3" t="s">
        <v>35</v>
      </c>
      <c r="S393" s="2" t="s">
        <v>22</v>
      </c>
      <c r="T393" s="2" t="s">
        <v>36</v>
      </c>
    </row>
    <row r="394" spans="1:20" x14ac:dyDescent="0.2">
      <c r="A394" s="2">
        <v>967</v>
      </c>
      <c r="B394" s="2" t="s">
        <v>693</v>
      </c>
      <c r="C394" s="2" t="s">
        <v>783</v>
      </c>
      <c r="D394" s="2" t="s">
        <v>69</v>
      </c>
      <c r="E394" s="2" t="s">
        <v>43</v>
      </c>
      <c r="F394" s="2">
        <v>2017</v>
      </c>
      <c r="G394" s="2">
        <v>2018</v>
      </c>
      <c r="H394" s="2">
        <f>'mpi_dataset_summary_2017-2024'!$G394-'mpi_dataset_summary_2017-2024'!$F394+1</f>
        <v>2</v>
      </c>
      <c r="I394" s="2" t="s">
        <v>2110</v>
      </c>
      <c r="J394" s="2" t="s">
        <v>2110</v>
      </c>
      <c r="K394" s="2">
        <f>IF('mpi_dataset_summary_2017-2024'!$G394=2024,1,0)</f>
        <v>0</v>
      </c>
      <c r="L394" s="2">
        <f t="shared" si="12"/>
        <v>1</v>
      </c>
      <c r="M394" s="2">
        <v>40</v>
      </c>
      <c r="N394" s="2">
        <f t="shared" si="13"/>
        <v>0.17799999999999999</v>
      </c>
      <c r="O394" s="2">
        <v>50.020198999999998</v>
      </c>
      <c r="P394" s="2">
        <v>-125.25364999999999</v>
      </c>
      <c r="Q394" s="2" t="s">
        <v>2108</v>
      </c>
      <c r="R394" s="3" t="s">
        <v>35</v>
      </c>
      <c r="S394" s="2" t="s">
        <v>22</v>
      </c>
      <c r="T394" s="2" t="s">
        <v>36</v>
      </c>
    </row>
    <row r="395" spans="1:20" x14ac:dyDescent="0.2">
      <c r="A395" s="2">
        <v>968</v>
      </c>
      <c r="B395" s="2" t="s">
        <v>693</v>
      </c>
      <c r="C395" s="2" t="s">
        <v>784</v>
      </c>
      <c r="D395" s="2" t="s">
        <v>69</v>
      </c>
      <c r="E395" s="2" t="s">
        <v>43</v>
      </c>
      <c r="F395" s="2">
        <v>2017</v>
      </c>
      <c r="G395" s="2">
        <v>2018</v>
      </c>
      <c r="H395" s="2">
        <f>'mpi_dataset_summary_2017-2024'!$G395-'mpi_dataset_summary_2017-2024'!$F395+1</f>
        <v>2</v>
      </c>
      <c r="I395" s="2" t="s">
        <v>2110</v>
      </c>
      <c r="J395" s="2" t="s">
        <v>2110</v>
      </c>
      <c r="K395" s="2">
        <f>IF('mpi_dataset_summary_2017-2024'!$G395=2024,1,0)</f>
        <v>0</v>
      </c>
      <c r="L395" s="2">
        <f t="shared" si="12"/>
        <v>1</v>
      </c>
      <c r="M395" s="2">
        <v>45</v>
      </c>
      <c r="N395" s="2">
        <f t="shared" si="13"/>
        <v>0.19400000000000001</v>
      </c>
      <c r="O395" s="2">
        <v>50.020198999999998</v>
      </c>
      <c r="P395" s="2">
        <v>-125.25364999999999</v>
      </c>
      <c r="Q395" s="2" t="s">
        <v>2108</v>
      </c>
      <c r="R395" s="3" t="s">
        <v>24</v>
      </c>
      <c r="S395" s="2" t="s">
        <v>25</v>
      </c>
      <c r="T395" s="2" t="s">
        <v>26</v>
      </c>
    </row>
    <row r="396" spans="1:20" x14ac:dyDescent="0.2">
      <c r="A396" s="2">
        <v>969</v>
      </c>
      <c r="B396" s="2" t="s">
        <v>785</v>
      </c>
      <c r="C396" s="2" t="s">
        <v>786</v>
      </c>
      <c r="D396" s="2" t="s">
        <v>66</v>
      </c>
      <c r="E396" s="2" t="s">
        <v>43</v>
      </c>
      <c r="F396" s="2">
        <v>2017</v>
      </c>
      <c r="G396" s="2">
        <v>2017</v>
      </c>
      <c r="H396" s="2">
        <f>'mpi_dataset_summary_2017-2024'!$G396-'mpi_dataset_summary_2017-2024'!$F396+1</f>
        <v>1</v>
      </c>
      <c r="I396" s="2" t="s">
        <v>2110</v>
      </c>
      <c r="J396" s="2" t="s">
        <v>2110</v>
      </c>
      <c r="K396" s="2">
        <f>IF('mpi_dataset_summary_2017-2024'!$G396=2024,1,0)</f>
        <v>0</v>
      </c>
      <c r="L396" s="2">
        <f t="shared" si="12"/>
        <v>1</v>
      </c>
      <c r="M396" s="2">
        <v>55</v>
      </c>
      <c r="N396" s="2">
        <f t="shared" si="13"/>
        <v>0.24199999999999999</v>
      </c>
      <c r="O396" s="2">
        <v>50.087001800537102</v>
      </c>
      <c r="P396" s="2">
        <v>-110.73200225830099</v>
      </c>
      <c r="Q396" s="2" t="s">
        <v>2108</v>
      </c>
      <c r="R396" s="3" t="s">
        <v>53</v>
      </c>
      <c r="S396" s="2" t="s">
        <v>25</v>
      </c>
      <c r="T396" s="2" t="s">
        <v>45</v>
      </c>
    </row>
    <row r="397" spans="1:20" x14ac:dyDescent="0.2">
      <c r="A397" s="2">
        <v>970</v>
      </c>
      <c r="B397" s="2" t="s">
        <v>787</v>
      </c>
      <c r="C397" s="2" t="s">
        <v>788</v>
      </c>
      <c r="D397" s="2" t="s">
        <v>69</v>
      </c>
      <c r="E397" s="2" t="s">
        <v>20</v>
      </c>
      <c r="F397" s="2">
        <v>2017</v>
      </c>
      <c r="G397" s="2">
        <v>2024</v>
      </c>
      <c r="H397" s="2">
        <f>'mpi_dataset_summary_2017-2024'!$G397-'mpi_dataset_summary_2017-2024'!$F397+1</f>
        <v>8</v>
      </c>
      <c r="I397" s="2" t="s">
        <v>2112</v>
      </c>
      <c r="J397" s="2" t="s">
        <v>2110</v>
      </c>
      <c r="K397" s="2">
        <f>IF('mpi_dataset_summary_2017-2024'!$G397=2024,1,0)</f>
        <v>1</v>
      </c>
      <c r="L397" s="2">
        <f t="shared" si="12"/>
        <v>1</v>
      </c>
      <c r="M397" s="2">
        <v>100</v>
      </c>
      <c r="N397" s="2">
        <f t="shared" si="13"/>
        <v>0.34300000000000003</v>
      </c>
      <c r="O397" s="2">
        <v>49.278184000000003</v>
      </c>
      <c r="P397" s="2">
        <v>-123.112438</v>
      </c>
      <c r="Q397" s="2" t="s">
        <v>2108</v>
      </c>
      <c r="R397" s="3" t="s">
        <v>24</v>
      </c>
      <c r="S397" s="2" t="s">
        <v>25</v>
      </c>
      <c r="T397" s="2" t="s">
        <v>26</v>
      </c>
    </row>
    <row r="398" spans="1:20" x14ac:dyDescent="0.2">
      <c r="A398" s="2">
        <v>971</v>
      </c>
      <c r="B398" s="2" t="s">
        <v>789</v>
      </c>
      <c r="C398" s="2" t="s">
        <v>790</v>
      </c>
      <c r="D398" s="2" t="s">
        <v>69</v>
      </c>
      <c r="E398" s="2" t="s">
        <v>20</v>
      </c>
      <c r="F398" s="2">
        <v>2017</v>
      </c>
      <c r="G398" s="2">
        <v>2017</v>
      </c>
      <c r="H398" s="2">
        <f>'mpi_dataset_summary_2017-2024'!$G398-'mpi_dataset_summary_2017-2024'!$F398+1</f>
        <v>1</v>
      </c>
      <c r="I398" s="2" t="s">
        <v>2110</v>
      </c>
      <c r="J398" s="2" t="s">
        <v>2110</v>
      </c>
      <c r="K398" s="2">
        <f>IF('mpi_dataset_summary_2017-2024'!$G398=2024,1,0)</f>
        <v>0</v>
      </c>
      <c r="L398" s="2">
        <f t="shared" si="12"/>
        <v>1</v>
      </c>
      <c r="M398" s="2">
        <v>860</v>
      </c>
      <c r="N398" s="2">
        <f t="shared" si="13"/>
        <v>0.78800000000000003</v>
      </c>
      <c r="O398" s="2">
        <v>55.837542999999997</v>
      </c>
      <c r="P398" s="2">
        <v>-120.550968</v>
      </c>
      <c r="Q398" s="2" t="s">
        <v>2108</v>
      </c>
      <c r="R398" s="3" t="s">
        <v>37</v>
      </c>
      <c r="S398" s="2" t="s">
        <v>22</v>
      </c>
      <c r="T398" s="2" t="s">
        <v>38</v>
      </c>
    </row>
    <row r="399" spans="1:20" x14ac:dyDescent="0.2">
      <c r="A399" s="2">
        <v>972</v>
      </c>
      <c r="B399" s="2" t="s">
        <v>791</v>
      </c>
      <c r="C399" s="2" t="s">
        <v>792</v>
      </c>
      <c r="D399" s="2" t="s">
        <v>69</v>
      </c>
      <c r="E399" s="2" t="s">
        <v>20</v>
      </c>
      <c r="F399" s="2">
        <v>2017</v>
      </c>
      <c r="G399" s="2">
        <v>2022</v>
      </c>
      <c r="H399" s="2">
        <f>'mpi_dataset_summary_2017-2024'!$G399-'mpi_dataset_summary_2017-2024'!$F399+1</f>
        <v>6</v>
      </c>
      <c r="I399" s="2" t="s">
        <v>2111</v>
      </c>
      <c r="J399" s="2" t="s">
        <v>2111</v>
      </c>
      <c r="K399" s="2">
        <f>IF('mpi_dataset_summary_2017-2024'!$G399=2024,1,0)</f>
        <v>0</v>
      </c>
      <c r="L399" s="2">
        <f t="shared" si="12"/>
        <v>0</v>
      </c>
      <c r="M399" s="2">
        <v>18000</v>
      </c>
      <c r="N399" s="2">
        <f t="shared" si="13"/>
        <v>0.99199999999999999</v>
      </c>
      <c r="O399" s="2">
        <v>54.2685198</v>
      </c>
      <c r="P399" s="2">
        <v>-130.304303</v>
      </c>
      <c r="Q399" s="2" t="s">
        <v>2108</v>
      </c>
      <c r="R399" s="3" t="s">
        <v>35</v>
      </c>
      <c r="S399" s="2" t="s">
        <v>22</v>
      </c>
      <c r="T399" s="2" t="s">
        <v>36</v>
      </c>
    </row>
    <row r="400" spans="1:20" x14ac:dyDescent="0.2">
      <c r="A400" s="2">
        <v>973</v>
      </c>
      <c r="B400" s="2" t="s">
        <v>170</v>
      </c>
      <c r="C400" s="2" t="s">
        <v>793</v>
      </c>
      <c r="D400" s="2" t="s">
        <v>66</v>
      </c>
      <c r="E400" s="2" t="s">
        <v>20</v>
      </c>
      <c r="F400" s="2">
        <v>2017</v>
      </c>
      <c r="G400" s="2">
        <v>2017</v>
      </c>
      <c r="H400" s="2">
        <f>'mpi_dataset_summary_2017-2024'!$G400-'mpi_dataset_summary_2017-2024'!$F400+1</f>
        <v>1</v>
      </c>
      <c r="I400" s="2" t="s">
        <v>2110</v>
      </c>
      <c r="J400" s="2" t="s">
        <v>2110</v>
      </c>
      <c r="K400" s="2">
        <f>IF('mpi_dataset_summary_2017-2024'!$G400=2024,1,0)</f>
        <v>0</v>
      </c>
      <c r="L400" s="2">
        <f t="shared" si="12"/>
        <v>1</v>
      </c>
      <c r="M400" s="2">
        <v>1400</v>
      </c>
      <c r="N400" s="2">
        <f t="shared" si="13"/>
        <v>0.85699999999999998</v>
      </c>
      <c r="O400" s="2">
        <v>53.925373</v>
      </c>
      <c r="P400" s="2">
        <v>-113.037806</v>
      </c>
      <c r="Q400" s="2" t="s">
        <v>2108</v>
      </c>
      <c r="R400" s="3" t="s">
        <v>35</v>
      </c>
      <c r="S400" s="2" t="s">
        <v>22</v>
      </c>
      <c r="T400" s="2" t="s">
        <v>36</v>
      </c>
    </row>
    <row r="401" spans="1:20" x14ac:dyDescent="0.2">
      <c r="A401" s="2">
        <v>974</v>
      </c>
      <c r="B401" s="2" t="s">
        <v>794</v>
      </c>
      <c r="C401" s="2" t="s">
        <v>795</v>
      </c>
      <c r="D401" s="2" t="s">
        <v>69</v>
      </c>
      <c r="E401" s="2" t="s">
        <v>20</v>
      </c>
      <c r="F401" s="2">
        <v>2017</v>
      </c>
      <c r="G401" s="2">
        <v>2024</v>
      </c>
      <c r="H401" s="2">
        <f>'mpi_dataset_summary_2017-2024'!$G401-'mpi_dataset_summary_2017-2024'!$F401+1</f>
        <v>8</v>
      </c>
      <c r="I401" s="2" t="s">
        <v>2111</v>
      </c>
      <c r="J401" s="2" t="s">
        <v>2112</v>
      </c>
      <c r="K401" s="2">
        <f>IF('mpi_dataset_summary_2017-2024'!$G401=2024,1,0)</f>
        <v>1</v>
      </c>
      <c r="L401" s="2">
        <f t="shared" si="12"/>
        <v>0</v>
      </c>
      <c r="M401" s="2">
        <v>120</v>
      </c>
      <c r="N401" s="2">
        <f t="shared" si="13"/>
        <v>0.38900000000000001</v>
      </c>
      <c r="O401" s="2">
        <v>54.445639999999997</v>
      </c>
      <c r="P401" s="2">
        <v>-128.5403</v>
      </c>
      <c r="Q401" s="2" t="s">
        <v>2108</v>
      </c>
      <c r="R401" s="3" t="s">
        <v>24</v>
      </c>
      <c r="S401" s="2" t="s">
        <v>25</v>
      </c>
      <c r="T401" s="2" t="s">
        <v>26</v>
      </c>
    </row>
    <row r="402" spans="1:20" x14ac:dyDescent="0.2">
      <c r="A402" s="2">
        <v>975</v>
      </c>
      <c r="B402" s="2" t="s">
        <v>796</v>
      </c>
      <c r="C402" s="2" t="s">
        <v>797</v>
      </c>
      <c r="D402" s="2" t="s">
        <v>66</v>
      </c>
      <c r="E402" s="2" t="s">
        <v>20</v>
      </c>
      <c r="F402" s="2">
        <v>2017</v>
      </c>
      <c r="G402" s="2">
        <v>2017</v>
      </c>
      <c r="H402" s="2">
        <f>'mpi_dataset_summary_2017-2024'!$G402-'mpi_dataset_summary_2017-2024'!$F402+1</f>
        <v>1</v>
      </c>
      <c r="I402" s="2" t="s">
        <v>2111</v>
      </c>
      <c r="J402" s="2" t="s">
        <v>2111</v>
      </c>
      <c r="K402" s="2">
        <f>IF('mpi_dataset_summary_2017-2024'!$G402=2024,1,0)</f>
        <v>0</v>
      </c>
      <c r="L402" s="2">
        <f t="shared" si="12"/>
        <v>0</v>
      </c>
      <c r="M402" s="2">
        <v>45</v>
      </c>
      <c r="N402" s="2">
        <f t="shared" si="13"/>
        <v>0.19400000000000001</v>
      </c>
      <c r="O402" s="2">
        <v>53.553634643554702</v>
      </c>
      <c r="P402" s="2">
        <v>-113.67350769043</v>
      </c>
      <c r="Q402" s="2" t="s">
        <v>2108</v>
      </c>
      <c r="R402" s="3" t="s">
        <v>37</v>
      </c>
      <c r="S402" s="2" t="s">
        <v>22</v>
      </c>
      <c r="T402" s="2" t="s">
        <v>38</v>
      </c>
    </row>
    <row r="403" spans="1:20" x14ac:dyDescent="0.2">
      <c r="A403" s="2">
        <v>976</v>
      </c>
      <c r="B403" s="2" t="s">
        <v>798</v>
      </c>
      <c r="C403" s="2" t="s">
        <v>799</v>
      </c>
      <c r="D403" s="2" t="s">
        <v>66</v>
      </c>
      <c r="E403" s="2" t="s">
        <v>20</v>
      </c>
      <c r="F403" s="2">
        <v>2017</v>
      </c>
      <c r="G403" s="2">
        <v>2017</v>
      </c>
      <c r="H403" s="2">
        <f>'mpi_dataset_summary_2017-2024'!$G403-'mpi_dataset_summary_2017-2024'!$F403+1</f>
        <v>1</v>
      </c>
      <c r="I403" s="2" t="s">
        <v>2111</v>
      </c>
      <c r="J403" s="2" t="s">
        <v>2111</v>
      </c>
      <c r="K403" s="2">
        <f>IF('mpi_dataset_summary_2017-2024'!$G403=2024,1,0)</f>
        <v>0</v>
      </c>
      <c r="L403" s="2">
        <f t="shared" si="12"/>
        <v>0</v>
      </c>
      <c r="M403" s="2">
        <v>1920</v>
      </c>
      <c r="N403" s="2">
        <f t="shared" si="13"/>
        <v>0.89300000000000002</v>
      </c>
      <c r="O403" s="2">
        <v>53.790584564208999</v>
      </c>
      <c r="P403" s="2">
        <v>-112.84275054931599</v>
      </c>
      <c r="Q403" s="2" t="s">
        <v>2108</v>
      </c>
      <c r="R403" s="3" t="s">
        <v>37</v>
      </c>
      <c r="S403" s="2" t="s">
        <v>22</v>
      </c>
      <c r="T403" s="2" t="s">
        <v>38</v>
      </c>
    </row>
    <row r="404" spans="1:20" x14ac:dyDescent="0.2">
      <c r="A404" s="2">
        <v>977</v>
      </c>
      <c r="B404" s="2" t="s">
        <v>433</v>
      </c>
      <c r="C404" s="2" t="s">
        <v>800</v>
      </c>
      <c r="D404" s="2" t="s">
        <v>66</v>
      </c>
      <c r="E404" s="2" t="s">
        <v>20</v>
      </c>
      <c r="F404" s="2">
        <v>2017</v>
      </c>
      <c r="G404" s="2">
        <v>2017</v>
      </c>
      <c r="H404" s="2">
        <f>'mpi_dataset_summary_2017-2024'!$G404-'mpi_dataset_summary_2017-2024'!$F404+1</f>
        <v>1</v>
      </c>
      <c r="I404" s="2" t="s">
        <v>2110</v>
      </c>
      <c r="J404" s="2" t="s">
        <v>2110</v>
      </c>
      <c r="K404" s="2">
        <f>IF('mpi_dataset_summary_2017-2024'!$G404=2024,1,0)</f>
        <v>0</v>
      </c>
      <c r="L404" s="2">
        <f t="shared" si="12"/>
        <v>1</v>
      </c>
      <c r="M404" s="2">
        <v>672</v>
      </c>
      <c r="N404" s="2">
        <f t="shared" si="13"/>
        <v>0.73799999999999999</v>
      </c>
      <c r="O404" s="2">
        <v>53.527992248535199</v>
      </c>
      <c r="P404" s="2">
        <v>-113.36408996582</v>
      </c>
      <c r="Q404" s="2" t="s">
        <v>2108</v>
      </c>
      <c r="R404" s="3" t="s">
        <v>37</v>
      </c>
      <c r="S404" s="2" t="s">
        <v>22</v>
      </c>
      <c r="T404" s="2" t="s">
        <v>38</v>
      </c>
    </row>
    <row r="405" spans="1:20" x14ac:dyDescent="0.2">
      <c r="A405" s="2">
        <v>978</v>
      </c>
      <c r="B405" s="2" t="s">
        <v>433</v>
      </c>
      <c r="C405" s="2" t="s">
        <v>801</v>
      </c>
      <c r="D405" s="2" t="s">
        <v>66</v>
      </c>
      <c r="E405" s="2" t="s">
        <v>20</v>
      </c>
      <c r="F405" s="2">
        <v>2017</v>
      </c>
      <c r="G405" s="2">
        <v>2017</v>
      </c>
      <c r="H405" s="2">
        <f>'mpi_dataset_summary_2017-2024'!$G405-'mpi_dataset_summary_2017-2024'!$F405+1</f>
        <v>1</v>
      </c>
      <c r="I405" s="2" t="s">
        <v>2111</v>
      </c>
      <c r="J405" s="2" t="s">
        <v>2111</v>
      </c>
      <c r="K405" s="2">
        <f>IF('mpi_dataset_summary_2017-2024'!$G405=2024,1,0)</f>
        <v>0</v>
      </c>
      <c r="L405" s="2">
        <f t="shared" si="12"/>
        <v>0</v>
      </c>
      <c r="M405" s="2">
        <v>90</v>
      </c>
      <c r="N405" s="2">
        <f t="shared" si="13"/>
        <v>0.32900000000000001</v>
      </c>
      <c r="O405" s="2">
        <v>53.531883239746101</v>
      </c>
      <c r="P405" s="2">
        <v>-113.367141723633</v>
      </c>
      <c r="Q405" s="2" t="s">
        <v>2108</v>
      </c>
      <c r="R405" s="3" t="s">
        <v>37</v>
      </c>
      <c r="S405" s="2" t="s">
        <v>22</v>
      </c>
      <c r="T405" s="2" t="s">
        <v>38</v>
      </c>
    </row>
    <row r="406" spans="1:20" x14ac:dyDescent="0.2">
      <c r="A406" s="2">
        <v>979</v>
      </c>
      <c r="B406" s="2" t="s">
        <v>700</v>
      </c>
      <c r="C406" s="2" t="s">
        <v>701</v>
      </c>
      <c r="D406" s="2" t="s">
        <v>69</v>
      </c>
      <c r="E406" s="2" t="s">
        <v>20</v>
      </c>
      <c r="F406" s="2">
        <v>2017</v>
      </c>
      <c r="G406" s="2">
        <v>2021</v>
      </c>
      <c r="H406" s="2">
        <f>'mpi_dataset_summary_2017-2024'!$G406-'mpi_dataset_summary_2017-2024'!$F406+1</f>
        <v>5</v>
      </c>
      <c r="I406" s="2" t="s">
        <v>2112</v>
      </c>
      <c r="J406" s="2" t="s">
        <v>2111</v>
      </c>
      <c r="K406" s="2">
        <f>IF('mpi_dataset_summary_2017-2024'!$G406=2024,1,0)</f>
        <v>0</v>
      </c>
      <c r="L406" s="2">
        <f t="shared" si="12"/>
        <v>0</v>
      </c>
      <c r="M406" s="2">
        <v>34000</v>
      </c>
      <c r="N406" s="2">
        <f t="shared" si="13"/>
        <v>0.999</v>
      </c>
      <c r="O406" s="2">
        <v>55.457120000000003</v>
      </c>
      <c r="P406" s="2">
        <v>-129.47783999999999</v>
      </c>
      <c r="Q406" s="2" t="s">
        <v>2108</v>
      </c>
      <c r="R406" s="3" t="s">
        <v>37</v>
      </c>
      <c r="S406" s="2" t="s">
        <v>22</v>
      </c>
      <c r="T406" s="2" t="s">
        <v>38</v>
      </c>
    </row>
    <row r="407" spans="1:20" x14ac:dyDescent="0.2">
      <c r="A407" s="2">
        <v>980</v>
      </c>
      <c r="B407" s="2" t="s">
        <v>581</v>
      </c>
      <c r="C407" s="2" t="s">
        <v>802</v>
      </c>
      <c r="D407" s="2" t="s">
        <v>69</v>
      </c>
      <c r="E407" s="2" t="s">
        <v>20</v>
      </c>
      <c r="F407" s="2">
        <v>2017</v>
      </c>
      <c r="G407" s="2">
        <v>2023</v>
      </c>
      <c r="H407" s="2">
        <f>'mpi_dataset_summary_2017-2024'!$G407-'mpi_dataset_summary_2017-2024'!$F407+1</f>
        <v>7</v>
      </c>
      <c r="I407" s="2" t="s">
        <v>2112</v>
      </c>
      <c r="J407" s="2" t="s">
        <v>2111</v>
      </c>
      <c r="K407" s="2">
        <f>IF('mpi_dataset_summary_2017-2024'!$G407=2024,1,0)</f>
        <v>0</v>
      </c>
      <c r="L407" s="2">
        <f t="shared" si="12"/>
        <v>0</v>
      </c>
      <c r="M407" s="2">
        <v>400</v>
      </c>
      <c r="N407" s="2">
        <f t="shared" si="13"/>
        <v>0.63500000000000001</v>
      </c>
      <c r="O407" s="2">
        <v>53.912778000000003</v>
      </c>
      <c r="P407" s="2">
        <v>-123.40388900000001</v>
      </c>
      <c r="Q407" s="2" t="s">
        <v>2108</v>
      </c>
      <c r="R407" s="3" t="s">
        <v>24</v>
      </c>
      <c r="S407" s="2" t="s">
        <v>25</v>
      </c>
      <c r="T407" s="2" t="s">
        <v>26</v>
      </c>
    </row>
    <row r="408" spans="1:20" x14ac:dyDescent="0.2">
      <c r="A408" s="2">
        <v>981</v>
      </c>
      <c r="B408" s="2" t="s">
        <v>531</v>
      </c>
      <c r="C408" s="2" t="s">
        <v>803</v>
      </c>
      <c r="D408" s="2" t="s">
        <v>66</v>
      </c>
      <c r="E408" s="2" t="s">
        <v>20</v>
      </c>
      <c r="F408" s="2">
        <v>2017</v>
      </c>
      <c r="G408" s="2">
        <v>2017</v>
      </c>
      <c r="H408" s="2">
        <f>'mpi_dataset_summary_2017-2024'!$G408-'mpi_dataset_summary_2017-2024'!$F408+1</f>
        <v>1</v>
      </c>
      <c r="I408" s="2" t="s">
        <v>2110</v>
      </c>
      <c r="J408" s="2" t="s">
        <v>2110</v>
      </c>
      <c r="K408" s="2">
        <f>IF('mpi_dataset_summary_2017-2024'!$G408=2024,1,0)</f>
        <v>0</v>
      </c>
      <c r="L408" s="2">
        <f t="shared" si="12"/>
        <v>1</v>
      </c>
      <c r="M408" s="2">
        <v>180</v>
      </c>
      <c r="N408" s="2">
        <f t="shared" si="13"/>
        <v>0.47499999999999998</v>
      </c>
      <c r="O408" s="2">
        <v>53.815319061279297</v>
      </c>
      <c r="P408" s="2">
        <v>-113.12973022460901</v>
      </c>
      <c r="Q408" s="2" t="s">
        <v>2108</v>
      </c>
      <c r="R408" s="3" t="s">
        <v>37</v>
      </c>
      <c r="S408" s="2" t="s">
        <v>22</v>
      </c>
      <c r="T408" s="2" t="s">
        <v>38</v>
      </c>
    </row>
    <row r="409" spans="1:20" x14ac:dyDescent="0.2">
      <c r="A409" s="2">
        <v>982</v>
      </c>
      <c r="B409" s="2" t="s">
        <v>804</v>
      </c>
      <c r="C409" s="2" t="s">
        <v>805</v>
      </c>
      <c r="D409" s="2" t="s">
        <v>69</v>
      </c>
      <c r="E409" s="2" t="s">
        <v>20</v>
      </c>
      <c r="F409" s="2">
        <v>2017</v>
      </c>
      <c r="G409" s="2">
        <v>2018</v>
      </c>
      <c r="H409" s="2">
        <f>'mpi_dataset_summary_2017-2024'!$G409-'mpi_dataset_summary_2017-2024'!$F409+1</f>
        <v>2</v>
      </c>
      <c r="I409" s="2" t="s">
        <v>2112</v>
      </c>
      <c r="J409" s="2" t="s">
        <v>2112</v>
      </c>
      <c r="K409" s="2">
        <f>IF('mpi_dataset_summary_2017-2024'!$G409=2024,1,0)</f>
        <v>0</v>
      </c>
      <c r="L409" s="2">
        <f t="shared" si="12"/>
        <v>0</v>
      </c>
      <c r="M409" s="2">
        <v>210</v>
      </c>
      <c r="N409" s="2">
        <f t="shared" si="13"/>
        <v>0.51200000000000001</v>
      </c>
      <c r="O409" s="2">
        <v>56.799672000000001</v>
      </c>
      <c r="P409" s="2">
        <v>-121.939706</v>
      </c>
      <c r="Q409" s="2" t="s">
        <v>2108</v>
      </c>
      <c r="R409" s="3" t="s">
        <v>41</v>
      </c>
      <c r="S409" s="2" t="s">
        <v>25</v>
      </c>
      <c r="T409" s="2" t="s">
        <v>46</v>
      </c>
    </row>
    <row r="410" spans="1:20" x14ac:dyDescent="0.2">
      <c r="A410" s="2">
        <v>983</v>
      </c>
      <c r="B410" s="2" t="s">
        <v>806</v>
      </c>
      <c r="C410" s="2" t="s">
        <v>807</v>
      </c>
      <c r="D410" s="2" t="s">
        <v>69</v>
      </c>
      <c r="E410" s="2" t="s">
        <v>20</v>
      </c>
      <c r="F410" s="2">
        <v>2017</v>
      </c>
      <c r="G410" s="2">
        <v>2024</v>
      </c>
      <c r="H410" s="2">
        <f>'mpi_dataset_summary_2017-2024'!$G410-'mpi_dataset_summary_2017-2024'!$F410+1</f>
        <v>8</v>
      </c>
      <c r="I410" s="2" t="s">
        <v>2112</v>
      </c>
      <c r="J410" s="2" t="s">
        <v>2112</v>
      </c>
      <c r="K410" s="2">
        <f>IF('mpi_dataset_summary_2017-2024'!$G410=2024,1,0)</f>
        <v>1</v>
      </c>
      <c r="L410" s="2">
        <f t="shared" si="12"/>
        <v>0</v>
      </c>
      <c r="M410" s="2">
        <v>480</v>
      </c>
      <c r="N410" s="2">
        <f t="shared" si="13"/>
        <v>0.67100000000000004</v>
      </c>
      <c r="O410" s="2">
        <v>54.808663000000003</v>
      </c>
      <c r="P410" s="2">
        <v>-120.375011</v>
      </c>
      <c r="Q410" s="2" t="s">
        <v>2108</v>
      </c>
      <c r="R410" s="3" t="s">
        <v>24</v>
      </c>
      <c r="S410" s="2" t="s">
        <v>25</v>
      </c>
      <c r="T410" s="2" t="s">
        <v>26</v>
      </c>
    </row>
    <row r="411" spans="1:20" x14ac:dyDescent="0.2">
      <c r="A411" s="2">
        <v>984</v>
      </c>
      <c r="B411" s="2" t="s">
        <v>808</v>
      </c>
      <c r="C411" s="2" t="s">
        <v>809</v>
      </c>
      <c r="D411" s="2" t="s">
        <v>69</v>
      </c>
      <c r="E411" s="2" t="s">
        <v>20</v>
      </c>
      <c r="F411" s="2">
        <v>2017</v>
      </c>
      <c r="G411" s="2">
        <v>2019</v>
      </c>
      <c r="H411" s="2">
        <f>'mpi_dataset_summary_2017-2024'!$G411-'mpi_dataset_summary_2017-2024'!$F411+1</f>
        <v>3</v>
      </c>
      <c r="I411" s="2" t="s">
        <v>2111</v>
      </c>
      <c r="J411" s="2" t="s">
        <v>2111</v>
      </c>
      <c r="K411" s="2">
        <f>IF('mpi_dataset_summary_2017-2024'!$G411=2024,1,0)</f>
        <v>0</v>
      </c>
      <c r="L411" s="2">
        <f t="shared" si="12"/>
        <v>0</v>
      </c>
      <c r="M411" s="2">
        <v>38</v>
      </c>
      <c r="N411" s="2">
        <f t="shared" si="13"/>
        <v>0.17399999999999999</v>
      </c>
      <c r="O411" s="2">
        <v>49.888106999999998</v>
      </c>
      <c r="P411" s="2">
        <v>-119.485567</v>
      </c>
      <c r="Q411" s="2" t="s">
        <v>2108</v>
      </c>
      <c r="R411" s="3" t="s">
        <v>24</v>
      </c>
      <c r="S411" s="2" t="s">
        <v>25</v>
      </c>
      <c r="T411" s="2" t="s">
        <v>26</v>
      </c>
    </row>
    <row r="412" spans="1:20" x14ac:dyDescent="0.2">
      <c r="A412" s="2">
        <v>985</v>
      </c>
      <c r="B412" s="2" t="s">
        <v>810</v>
      </c>
      <c r="C412" s="2" t="s">
        <v>810</v>
      </c>
      <c r="D412" s="2" t="s">
        <v>69</v>
      </c>
      <c r="E412" s="2" t="s">
        <v>20</v>
      </c>
      <c r="F412" s="2">
        <v>2017</v>
      </c>
      <c r="G412" s="2">
        <v>2017</v>
      </c>
      <c r="H412" s="2">
        <f>'mpi_dataset_summary_2017-2024'!$G412-'mpi_dataset_summary_2017-2024'!$F412+1</f>
        <v>1</v>
      </c>
      <c r="I412" s="2" t="s">
        <v>2111</v>
      </c>
      <c r="J412" s="2" t="s">
        <v>2111</v>
      </c>
      <c r="K412" s="2">
        <f>IF('mpi_dataset_summary_2017-2024'!$G412=2024,1,0)</f>
        <v>0</v>
      </c>
      <c r="L412" s="2">
        <f t="shared" si="12"/>
        <v>0</v>
      </c>
      <c r="M412" s="2">
        <v>45</v>
      </c>
      <c r="N412" s="2">
        <f t="shared" si="13"/>
        <v>0.19400000000000001</v>
      </c>
      <c r="O412" s="2" t="s">
        <v>2114</v>
      </c>
      <c r="P412" s="2">
        <v>-119.334853</v>
      </c>
      <c r="Q412" s="2" t="s">
        <v>2108</v>
      </c>
      <c r="R412" s="3" t="s">
        <v>27</v>
      </c>
      <c r="S412" s="2" t="s">
        <v>25</v>
      </c>
      <c r="T412" s="2" t="s">
        <v>28</v>
      </c>
    </row>
    <row r="413" spans="1:20" x14ac:dyDescent="0.2">
      <c r="A413" s="2">
        <v>987</v>
      </c>
      <c r="B413" s="2" t="s">
        <v>811</v>
      </c>
      <c r="C413" s="2" t="s">
        <v>812</v>
      </c>
      <c r="D413" s="2" t="s">
        <v>69</v>
      </c>
      <c r="E413" s="2" t="s">
        <v>20</v>
      </c>
      <c r="F413" s="2">
        <v>2017</v>
      </c>
      <c r="G413" s="2">
        <v>2017</v>
      </c>
      <c r="H413" s="2">
        <f>'mpi_dataset_summary_2017-2024'!$G413-'mpi_dataset_summary_2017-2024'!$F413+1</f>
        <v>1</v>
      </c>
      <c r="I413" s="2" t="s">
        <v>2113</v>
      </c>
      <c r="J413" s="2" t="s">
        <v>2113</v>
      </c>
      <c r="K413" s="2">
        <f>IF('mpi_dataset_summary_2017-2024'!$G413=2024,1,0)</f>
        <v>0</v>
      </c>
      <c r="L413" s="2">
        <f t="shared" si="12"/>
        <v>0</v>
      </c>
      <c r="M413" s="2">
        <v>715</v>
      </c>
      <c r="N413" s="2">
        <f t="shared" si="13"/>
        <v>0.751</v>
      </c>
      <c r="O413" s="2">
        <v>56.002882</v>
      </c>
      <c r="P413" s="2">
        <v>-120.68527400000001</v>
      </c>
      <c r="Q413" s="2" t="s">
        <v>2108</v>
      </c>
      <c r="R413" s="3" t="s">
        <v>37</v>
      </c>
      <c r="S413" s="2" t="s">
        <v>22</v>
      </c>
      <c r="T413" s="2" t="s">
        <v>38</v>
      </c>
    </row>
    <row r="414" spans="1:20" x14ac:dyDescent="0.2">
      <c r="A414" s="2">
        <v>988</v>
      </c>
      <c r="B414" s="2" t="s">
        <v>813</v>
      </c>
      <c r="C414" s="2" t="s">
        <v>814</v>
      </c>
      <c r="D414" s="2" t="s">
        <v>69</v>
      </c>
      <c r="E414" s="2" t="s">
        <v>20</v>
      </c>
      <c r="F414" s="2">
        <v>2017</v>
      </c>
      <c r="G414" s="2">
        <v>2019</v>
      </c>
      <c r="H414" s="2">
        <f>'mpi_dataset_summary_2017-2024'!$G414-'mpi_dataset_summary_2017-2024'!$F414+1</f>
        <v>3</v>
      </c>
      <c r="I414" s="2" t="s">
        <v>2110</v>
      </c>
      <c r="J414" s="2" t="s">
        <v>2110</v>
      </c>
      <c r="K414" s="2">
        <f>IF('mpi_dataset_summary_2017-2024'!$G414=2024,1,0)</f>
        <v>0</v>
      </c>
      <c r="L414" s="2">
        <f t="shared" si="12"/>
        <v>1</v>
      </c>
      <c r="M414" s="2">
        <v>45</v>
      </c>
      <c r="N414" s="2">
        <f t="shared" si="13"/>
        <v>0.19400000000000001</v>
      </c>
      <c r="O414" s="2">
        <v>56.070970000000003</v>
      </c>
      <c r="P414" s="2">
        <v>-120.90042099999999</v>
      </c>
      <c r="Q414" s="2" t="s">
        <v>2108</v>
      </c>
      <c r="R414" s="3" t="s">
        <v>24</v>
      </c>
      <c r="S414" s="2" t="s">
        <v>25</v>
      </c>
      <c r="T414" s="2" t="s">
        <v>26</v>
      </c>
    </row>
    <row r="415" spans="1:20" x14ac:dyDescent="0.2">
      <c r="A415" s="2">
        <v>989</v>
      </c>
      <c r="B415" s="2" t="s">
        <v>813</v>
      </c>
      <c r="C415" s="2" t="s">
        <v>815</v>
      </c>
      <c r="D415" s="2" t="s">
        <v>69</v>
      </c>
      <c r="E415" s="2" t="s">
        <v>20</v>
      </c>
      <c r="F415" s="2">
        <v>2017</v>
      </c>
      <c r="G415" s="2">
        <v>2017</v>
      </c>
      <c r="H415" s="2">
        <f>'mpi_dataset_summary_2017-2024'!$G415-'mpi_dataset_summary_2017-2024'!$F415+1</f>
        <v>1</v>
      </c>
      <c r="I415" s="2" t="s">
        <v>2110</v>
      </c>
      <c r="J415" s="2" t="s">
        <v>2110</v>
      </c>
      <c r="K415" s="2">
        <f>IF('mpi_dataset_summary_2017-2024'!$G415=2024,1,0)</f>
        <v>0</v>
      </c>
      <c r="L415" s="2">
        <f t="shared" si="12"/>
        <v>1</v>
      </c>
      <c r="M415" s="2">
        <v>45</v>
      </c>
      <c r="N415" s="2">
        <f t="shared" si="13"/>
        <v>0.19400000000000001</v>
      </c>
      <c r="O415" s="2">
        <v>49.921588999999997</v>
      </c>
      <c r="P415" s="2">
        <v>-120.109921</v>
      </c>
      <c r="Q415" s="2" t="s">
        <v>2108</v>
      </c>
      <c r="R415" s="3" t="s">
        <v>24</v>
      </c>
      <c r="S415" s="2" t="s">
        <v>25</v>
      </c>
      <c r="T415" s="2" t="s">
        <v>26</v>
      </c>
    </row>
    <row r="416" spans="1:20" x14ac:dyDescent="0.2">
      <c r="A416" s="2">
        <v>990</v>
      </c>
      <c r="B416" s="2" t="s">
        <v>813</v>
      </c>
      <c r="C416" s="2" t="s">
        <v>816</v>
      </c>
      <c r="D416" s="2" t="s">
        <v>69</v>
      </c>
      <c r="E416" s="2" t="s">
        <v>20</v>
      </c>
      <c r="F416" s="2">
        <v>2017</v>
      </c>
      <c r="G416" s="2">
        <v>2017</v>
      </c>
      <c r="H416" s="2">
        <f>'mpi_dataset_summary_2017-2024'!$G416-'mpi_dataset_summary_2017-2024'!$F416+1</f>
        <v>1</v>
      </c>
      <c r="I416" s="2" t="s">
        <v>2110</v>
      </c>
      <c r="J416" s="2" t="s">
        <v>2110</v>
      </c>
      <c r="K416" s="2">
        <f>IF('mpi_dataset_summary_2017-2024'!$G416=2024,1,0)</f>
        <v>0</v>
      </c>
      <c r="L416" s="2">
        <f t="shared" si="12"/>
        <v>1</v>
      </c>
      <c r="M416" s="2">
        <v>45</v>
      </c>
      <c r="N416" s="2">
        <f t="shared" si="13"/>
        <v>0.19400000000000001</v>
      </c>
      <c r="O416" s="2">
        <v>49.685671999999997</v>
      </c>
      <c r="P416" s="2">
        <v>-120.10665899999999</v>
      </c>
      <c r="Q416" s="2" t="s">
        <v>2108</v>
      </c>
      <c r="R416" s="3" t="s">
        <v>24</v>
      </c>
      <c r="S416" s="2" t="s">
        <v>25</v>
      </c>
      <c r="T416" s="2" t="s">
        <v>26</v>
      </c>
    </row>
    <row r="417" spans="1:20" x14ac:dyDescent="0.2">
      <c r="A417" s="2">
        <v>993</v>
      </c>
      <c r="B417" s="2" t="s">
        <v>817</v>
      </c>
      <c r="C417" s="2" t="s">
        <v>818</v>
      </c>
      <c r="D417" s="2" t="s">
        <v>89</v>
      </c>
      <c r="E417" s="2" t="s">
        <v>20</v>
      </c>
      <c r="F417" s="2">
        <v>2017</v>
      </c>
      <c r="G417" s="2">
        <v>2017</v>
      </c>
      <c r="H417" s="2">
        <f>'mpi_dataset_summary_2017-2024'!$G417-'mpi_dataset_summary_2017-2024'!$F417+1</f>
        <v>1</v>
      </c>
      <c r="I417" s="2" t="s">
        <v>2110</v>
      </c>
      <c r="J417" s="2" t="s">
        <v>2110</v>
      </c>
      <c r="K417" s="2">
        <f>IF('mpi_dataset_summary_2017-2024'!$G417=2024,1,0)</f>
        <v>0</v>
      </c>
      <c r="L417" s="2">
        <f t="shared" si="12"/>
        <v>1</v>
      </c>
      <c r="M417" s="2">
        <v>300</v>
      </c>
      <c r="N417" s="2">
        <f t="shared" si="13"/>
        <v>0.57399999999999995</v>
      </c>
      <c r="O417" s="2">
        <v>46.334299999999999</v>
      </c>
      <c r="P417" s="2">
        <v>-71.133200000000002</v>
      </c>
      <c r="Q417" s="2" t="s">
        <v>2108</v>
      </c>
      <c r="R417" s="3" t="s">
        <v>41</v>
      </c>
      <c r="S417" s="2" t="s">
        <v>25</v>
      </c>
      <c r="T417" s="2" t="s">
        <v>46</v>
      </c>
    </row>
    <row r="418" spans="1:20" x14ac:dyDescent="0.2">
      <c r="A418" s="2">
        <v>994</v>
      </c>
      <c r="B418" s="2" t="s">
        <v>819</v>
      </c>
      <c r="C418" s="2" t="s">
        <v>820</v>
      </c>
      <c r="D418" s="2" t="s">
        <v>89</v>
      </c>
      <c r="E418" s="2" t="s">
        <v>20</v>
      </c>
      <c r="F418" s="2">
        <v>2017</v>
      </c>
      <c r="G418" s="2">
        <v>2017</v>
      </c>
      <c r="H418" s="2">
        <f>'mpi_dataset_summary_2017-2024'!$G418-'mpi_dataset_summary_2017-2024'!$F418+1</f>
        <v>1</v>
      </c>
      <c r="I418" s="2" t="s">
        <v>2110</v>
      </c>
      <c r="J418" s="2" t="s">
        <v>2110</v>
      </c>
      <c r="K418" s="2">
        <f>IF('mpi_dataset_summary_2017-2024'!$G418=2024,1,0)</f>
        <v>0</v>
      </c>
      <c r="L418" s="2">
        <f t="shared" si="12"/>
        <v>1</v>
      </c>
      <c r="M418" s="2">
        <v>500</v>
      </c>
      <c r="N418" s="2">
        <f t="shared" si="13"/>
        <v>0.67800000000000005</v>
      </c>
      <c r="O418" s="2" t="s">
        <v>2114</v>
      </c>
      <c r="P418" s="2" t="s">
        <v>2114</v>
      </c>
      <c r="Q418" s="2" t="s">
        <v>2108</v>
      </c>
      <c r="R418" s="3" t="s">
        <v>41</v>
      </c>
      <c r="S418" s="2" t="s">
        <v>25</v>
      </c>
      <c r="T418" s="2" t="s">
        <v>46</v>
      </c>
    </row>
    <row r="419" spans="1:20" x14ac:dyDescent="0.2">
      <c r="A419" s="2">
        <v>996</v>
      </c>
      <c r="B419" s="2" t="s">
        <v>821</v>
      </c>
      <c r="C419" s="2" t="s">
        <v>822</v>
      </c>
      <c r="D419" s="2" t="s">
        <v>66</v>
      </c>
      <c r="E419" s="2" t="s">
        <v>20</v>
      </c>
      <c r="F419" s="2">
        <v>2019</v>
      </c>
      <c r="G419" s="2">
        <v>2024</v>
      </c>
      <c r="H419" s="2">
        <f>'mpi_dataset_summary_2017-2024'!$G419-'mpi_dataset_summary_2017-2024'!$F419+1</f>
        <v>6</v>
      </c>
      <c r="I419" s="2" t="s">
        <v>2111</v>
      </c>
      <c r="J419" s="2" t="s">
        <v>2110</v>
      </c>
      <c r="K419" s="2">
        <f>IF('mpi_dataset_summary_2017-2024'!$G419=2024,1,0)</f>
        <v>1</v>
      </c>
      <c r="L419" s="2">
        <f t="shared" si="12"/>
        <v>1</v>
      </c>
      <c r="M419" s="2">
        <v>332</v>
      </c>
      <c r="N419" s="2">
        <f t="shared" si="13"/>
        <v>0.59699999999999998</v>
      </c>
      <c r="O419" s="2">
        <v>52.848469000000001</v>
      </c>
      <c r="P419" s="2">
        <v>-110.899511</v>
      </c>
      <c r="Q419" s="2" t="s">
        <v>2108</v>
      </c>
      <c r="R419" s="3" t="s">
        <v>35</v>
      </c>
      <c r="S419" s="2" t="s">
        <v>22</v>
      </c>
      <c r="T419" s="2" t="s">
        <v>36</v>
      </c>
    </row>
    <row r="420" spans="1:20" x14ac:dyDescent="0.2">
      <c r="A420" s="2">
        <v>997</v>
      </c>
      <c r="B420" s="2" t="s">
        <v>92</v>
      </c>
      <c r="C420" s="2" t="s">
        <v>823</v>
      </c>
      <c r="D420" s="2" t="s">
        <v>66</v>
      </c>
      <c r="E420" s="2" t="s">
        <v>20</v>
      </c>
      <c r="F420" s="2">
        <v>2017</v>
      </c>
      <c r="G420" s="2">
        <v>2017</v>
      </c>
      <c r="H420" s="2">
        <f>'mpi_dataset_summary_2017-2024'!$G420-'mpi_dataset_summary_2017-2024'!$F420+1</f>
        <v>1</v>
      </c>
      <c r="I420" s="2" t="s">
        <v>2110</v>
      </c>
      <c r="J420" s="2" t="s">
        <v>2110</v>
      </c>
      <c r="K420" s="2">
        <f>IF('mpi_dataset_summary_2017-2024'!$G420=2024,1,0)</f>
        <v>0</v>
      </c>
      <c r="L420" s="2">
        <f t="shared" si="12"/>
        <v>1</v>
      </c>
      <c r="M420" s="2">
        <v>114.01</v>
      </c>
      <c r="N420" s="2">
        <f t="shared" si="13"/>
        <v>0.38</v>
      </c>
      <c r="O420" s="2">
        <v>53.541939999999997</v>
      </c>
      <c r="P420" s="2">
        <v>-113.491623</v>
      </c>
      <c r="Q420" s="2" t="s">
        <v>2108</v>
      </c>
      <c r="R420" s="3" t="s">
        <v>35</v>
      </c>
      <c r="S420" s="2" t="s">
        <v>22</v>
      </c>
      <c r="T420" s="2" t="s">
        <v>36</v>
      </c>
    </row>
    <row r="421" spans="1:20" x14ac:dyDescent="0.2">
      <c r="A421" s="2">
        <v>998</v>
      </c>
      <c r="B421" s="2" t="s">
        <v>92</v>
      </c>
      <c r="C421" s="2" t="s">
        <v>824</v>
      </c>
      <c r="D421" s="2" t="s">
        <v>66</v>
      </c>
      <c r="E421" s="2" t="s">
        <v>20</v>
      </c>
      <c r="F421" s="2">
        <v>2017</v>
      </c>
      <c r="G421" s="2">
        <v>2017</v>
      </c>
      <c r="H421" s="2">
        <f>'mpi_dataset_summary_2017-2024'!$G421-'mpi_dataset_summary_2017-2024'!$F421+1</f>
        <v>1</v>
      </c>
      <c r="I421" s="2" t="s">
        <v>2112</v>
      </c>
      <c r="J421" s="2" t="s">
        <v>2112</v>
      </c>
      <c r="K421" s="2">
        <f>IF('mpi_dataset_summary_2017-2024'!$G421=2024,1,0)</f>
        <v>0</v>
      </c>
      <c r="L421" s="2">
        <f t="shared" si="12"/>
        <v>0</v>
      </c>
      <c r="M421" s="2">
        <v>86.91</v>
      </c>
      <c r="N421" s="2">
        <f t="shared" si="13"/>
        <v>0.32400000000000001</v>
      </c>
      <c r="O421" s="2" t="s">
        <v>2114</v>
      </c>
      <c r="P421" s="2" t="s">
        <v>2114</v>
      </c>
      <c r="Q421" s="2" t="s">
        <v>2108</v>
      </c>
      <c r="R421" s="3" t="s">
        <v>35</v>
      </c>
      <c r="S421" s="2" t="s">
        <v>22</v>
      </c>
      <c r="T421" s="2" t="s">
        <v>36</v>
      </c>
    </row>
    <row r="422" spans="1:20" x14ac:dyDescent="0.2">
      <c r="A422" s="2">
        <v>999</v>
      </c>
      <c r="B422" s="2" t="s">
        <v>92</v>
      </c>
      <c r="C422" s="2" t="s">
        <v>825</v>
      </c>
      <c r="D422" s="2" t="s">
        <v>66</v>
      </c>
      <c r="E422" s="2" t="s">
        <v>20</v>
      </c>
      <c r="F422" s="2">
        <v>2017</v>
      </c>
      <c r="G422" s="2">
        <v>2017</v>
      </c>
      <c r="H422" s="2">
        <f>'mpi_dataset_summary_2017-2024'!$G422-'mpi_dataset_summary_2017-2024'!$F422+1</f>
        <v>1</v>
      </c>
      <c r="I422" s="2" t="s">
        <v>2112</v>
      </c>
      <c r="J422" s="2" t="s">
        <v>2112</v>
      </c>
      <c r="K422" s="2">
        <f>IF('mpi_dataset_summary_2017-2024'!$G422=2024,1,0)</f>
        <v>0</v>
      </c>
      <c r="L422" s="2">
        <f t="shared" si="12"/>
        <v>0</v>
      </c>
      <c r="M422" s="2">
        <v>25.53</v>
      </c>
      <c r="N422" s="2">
        <f t="shared" si="13"/>
        <v>0.13400000000000001</v>
      </c>
      <c r="O422" s="2" t="s">
        <v>2114</v>
      </c>
      <c r="P422" s="2" t="s">
        <v>2114</v>
      </c>
      <c r="Q422" s="2" t="s">
        <v>2108</v>
      </c>
      <c r="R422" s="3" t="s">
        <v>35</v>
      </c>
      <c r="S422" s="2" t="s">
        <v>22</v>
      </c>
      <c r="T422" s="2" t="s">
        <v>36</v>
      </c>
    </row>
    <row r="423" spans="1:20" x14ac:dyDescent="0.2">
      <c r="A423" s="2">
        <v>1000</v>
      </c>
      <c r="B423" s="2" t="s">
        <v>92</v>
      </c>
      <c r="C423" s="2" t="s">
        <v>826</v>
      </c>
      <c r="D423" s="2" t="s">
        <v>66</v>
      </c>
      <c r="E423" s="2" t="s">
        <v>20</v>
      </c>
      <c r="F423" s="2">
        <v>2017</v>
      </c>
      <c r="G423" s="2">
        <v>2019</v>
      </c>
      <c r="H423" s="2">
        <f>'mpi_dataset_summary_2017-2024'!$G423-'mpi_dataset_summary_2017-2024'!$F423+1</f>
        <v>3</v>
      </c>
      <c r="I423" s="2" t="s">
        <v>2110</v>
      </c>
      <c r="J423" s="2" t="s">
        <v>2110</v>
      </c>
      <c r="K423" s="2">
        <f>IF('mpi_dataset_summary_2017-2024'!$G423=2024,1,0)</f>
        <v>0</v>
      </c>
      <c r="L423" s="2">
        <f t="shared" si="12"/>
        <v>1</v>
      </c>
      <c r="M423" s="2">
        <v>1600</v>
      </c>
      <c r="N423" s="2">
        <f t="shared" si="13"/>
        <v>0.873</v>
      </c>
      <c r="O423" s="2">
        <v>53.344208000000002</v>
      </c>
      <c r="P423" s="2">
        <v>-114.30368199999999</v>
      </c>
      <c r="Q423" s="2" t="s">
        <v>2108</v>
      </c>
      <c r="R423" s="3" t="s">
        <v>35</v>
      </c>
      <c r="S423" s="2" t="s">
        <v>22</v>
      </c>
      <c r="T423" s="2" t="s">
        <v>36</v>
      </c>
    </row>
    <row r="424" spans="1:20" x14ac:dyDescent="0.2">
      <c r="A424" s="2">
        <v>1002</v>
      </c>
      <c r="B424" s="2" t="s">
        <v>827</v>
      </c>
      <c r="C424" s="2" t="s">
        <v>828</v>
      </c>
      <c r="D424" s="2" t="s">
        <v>89</v>
      </c>
      <c r="E424" s="2" t="s">
        <v>20</v>
      </c>
      <c r="F424" s="2">
        <v>2017</v>
      </c>
      <c r="G424" s="2">
        <v>2024</v>
      </c>
      <c r="H424" s="2">
        <f>'mpi_dataset_summary_2017-2024'!$G424-'mpi_dataset_summary_2017-2024'!$F424+1</f>
        <v>8</v>
      </c>
      <c r="I424" s="2" t="s">
        <v>2110</v>
      </c>
      <c r="J424" s="2" t="s">
        <v>2110</v>
      </c>
      <c r="K424" s="2">
        <f>IF('mpi_dataset_summary_2017-2024'!$G424=2024,1,0)</f>
        <v>1</v>
      </c>
      <c r="L424" s="2">
        <f t="shared" si="12"/>
        <v>1</v>
      </c>
      <c r="M424" s="2">
        <v>110</v>
      </c>
      <c r="N424" s="2">
        <f t="shared" si="13"/>
        <v>0.372</v>
      </c>
      <c r="O424" s="2">
        <v>47.5536405</v>
      </c>
      <c r="P424" s="2">
        <v>-79.240196800000007</v>
      </c>
      <c r="Q424" s="2" t="s">
        <v>2108</v>
      </c>
      <c r="R424" s="3" t="s">
        <v>41</v>
      </c>
      <c r="S424" s="2" t="s">
        <v>25</v>
      </c>
      <c r="T424" s="2" t="s">
        <v>46</v>
      </c>
    </row>
    <row r="425" spans="1:20" x14ac:dyDescent="0.2">
      <c r="A425" s="2">
        <v>1003</v>
      </c>
      <c r="B425" s="2" t="s">
        <v>829</v>
      </c>
      <c r="C425" s="2" t="s">
        <v>830</v>
      </c>
      <c r="D425" s="2" t="s">
        <v>83</v>
      </c>
      <c r="E425" s="2" t="s">
        <v>20</v>
      </c>
      <c r="F425" s="2">
        <v>2017</v>
      </c>
      <c r="G425" s="2">
        <v>2023</v>
      </c>
      <c r="H425" s="2">
        <f>'mpi_dataset_summary_2017-2024'!$G425-'mpi_dataset_summary_2017-2024'!$F425+1</f>
        <v>7</v>
      </c>
      <c r="I425" s="2" t="s">
        <v>2110</v>
      </c>
      <c r="J425" s="2" t="s">
        <v>2110</v>
      </c>
      <c r="K425" s="2">
        <f>IF('mpi_dataset_summary_2017-2024'!$G425=2024,1,0)</f>
        <v>0</v>
      </c>
      <c r="L425" s="2">
        <f t="shared" si="12"/>
        <v>1</v>
      </c>
      <c r="M425" s="2">
        <v>70</v>
      </c>
      <c r="N425" s="2">
        <f t="shared" si="13"/>
        <v>0.27600000000000002</v>
      </c>
      <c r="O425" s="2">
        <v>53.594608000000001</v>
      </c>
      <c r="P425" s="2">
        <v>-64.308031</v>
      </c>
      <c r="Q425" s="2" t="s">
        <v>2108</v>
      </c>
      <c r="R425" s="3" t="s">
        <v>41</v>
      </c>
      <c r="S425" s="2" t="s">
        <v>25</v>
      </c>
      <c r="T425" s="2" t="s">
        <v>46</v>
      </c>
    </row>
    <row r="426" spans="1:20" x14ac:dyDescent="0.2">
      <c r="A426" s="2">
        <v>1004</v>
      </c>
      <c r="B426" s="2" t="s">
        <v>235</v>
      </c>
      <c r="C426" s="2" t="s">
        <v>831</v>
      </c>
      <c r="D426" s="2" t="s">
        <v>86</v>
      </c>
      <c r="E426" s="2" t="s">
        <v>43</v>
      </c>
      <c r="F426" s="2">
        <v>2017</v>
      </c>
      <c r="G426" s="2">
        <v>2019</v>
      </c>
      <c r="H426" s="2">
        <f>'mpi_dataset_summary_2017-2024'!$G426-'mpi_dataset_summary_2017-2024'!$F426+1</f>
        <v>3</v>
      </c>
      <c r="I426" s="2" t="s">
        <v>2112</v>
      </c>
      <c r="J426" s="2" t="s">
        <v>2112</v>
      </c>
      <c r="K426" s="2">
        <f>IF('mpi_dataset_summary_2017-2024'!$G426=2024,1,0)</f>
        <v>0</v>
      </c>
      <c r="L426" s="2">
        <f t="shared" si="12"/>
        <v>0</v>
      </c>
      <c r="M426" s="2">
        <v>453</v>
      </c>
      <c r="N426" s="2">
        <f t="shared" si="13"/>
        <v>0.66400000000000003</v>
      </c>
      <c r="O426" s="2">
        <v>49.988</v>
      </c>
      <c r="P426" s="2">
        <v>-97.43</v>
      </c>
      <c r="Q426" s="2" t="s">
        <v>2108</v>
      </c>
      <c r="R426" s="3" t="s">
        <v>35</v>
      </c>
      <c r="S426" s="2" t="s">
        <v>22</v>
      </c>
      <c r="T426" s="2" t="s">
        <v>36</v>
      </c>
    </row>
    <row r="427" spans="1:20" x14ac:dyDescent="0.2">
      <c r="A427" s="2">
        <v>1007</v>
      </c>
      <c r="B427" s="2" t="s">
        <v>832</v>
      </c>
      <c r="C427" s="2" t="s">
        <v>833</v>
      </c>
      <c r="D427" s="2" t="s">
        <v>83</v>
      </c>
      <c r="E427" s="2" t="s">
        <v>20</v>
      </c>
      <c r="F427" s="2">
        <v>2017</v>
      </c>
      <c r="G427" s="2">
        <v>2018</v>
      </c>
      <c r="H427" s="2">
        <f>'mpi_dataset_summary_2017-2024'!$G427-'mpi_dataset_summary_2017-2024'!$F427+1</f>
        <v>2</v>
      </c>
      <c r="I427" s="2" t="s">
        <v>2110</v>
      </c>
      <c r="J427" s="2" t="s">
        <v>2110</v>
      </c>
      <c r="K427" s="2">
        <f>IF('mpi_dataset_summary_2017-2024'!$G427=2024,1,0)</f>
        <v>0</v>
      </c>
      <c r="L427" s="2">
        <f t="shared" si="12"/>
        <v>1</v>
      </c>
      <c r="M427" s="2">
        <v>79</v>
      </c>
      <c r="N427" s="2">
        <f t="shared" si="13"/>
        <v>0.30299999999999999</v>
      </c>
      <c r="O427" s="2">
        <v>47.615464000000003</v>
      </c>
      <c r="P427" s="2">
        <v>-56.681538000000003</v>
      </c>
      <c r="Q427" s="2" t="s">
        <v>2107</v>
      </c>
      <c r="R427" s="3" t="s">
        <v>29</v>
      </c>
      <c r="S427" s="2" t="s">
        <v>22</v>
      </c>
      <c r="T427" s="2" t="s">
        <v>30</v>
      </c>
    </row>
    <row r="428" spans="1:20" x14ac:dyDescent="0.2">
      <c r="A428" s="2">
        <v>1009</v>
      </c>
      <c r="B428" s="2" t="s">
        <v>834</v>
      </c>
      <c r="C428" s="2" t="s">
        <v>835</v>
      </c>
      <c r="D428" s="2" t="s">
        <v>83</v>
      </c>
      <c r="E428" s="2" t="s">
        <v>20</v>
      </c>
      <c r="F428" s="2">
        <v>2017</v>
      </c>
      <c r="G428" s="2">
        <v>2017</v>
      </c>
      <c r="H428" s="2">
        <f>'mpi_dataset_summary_2017-2024'!$G428-'mpi_dataset_summary_2017-2024'!$F428+1</f>
        <v>1</v>
      </c>
      <c r="I428" s="2" t="s">
        <v>2110</v>
      </c>
      <c r="J428" s="2" t="s">
        <v>2110</v>
      </c>
      <c r="K428" s="2">
        <f>IF('mpi_dataset_summary_2017-2024'!$G428=2024,1,0)</f>
        <v>0</v>
      </c>
      <c r="L428" s="2">
        <f t="shared" si="12"/>
        <v>1</v>
      </c>
      <c r="M428" s="2">
        <v>21.6</v>
      </c>
      <c r="N428" s="2">
        <f t="shared" si="13"/>
        <v>0.108</v>
      </c>
      <c r="O428" s="2">
        <v>47.570115600000001</v>
      </c>
      <c r="P428" s="2">
        <v>-52.7432242</v>
      </c>
      <c r="Q428" s="2" t="s">
        <v>2108</v>
      </c>
      <c r="R428" s="3" t="s">
        <v>35</v>
      </c>
      <c r="S428" s="2" t="s">
        <v>22</v>
      </c>
      <c r="T428" s="2" t="s">
        <v>36</v>
      </c>
    </row>
    <row r="429" spans="1:20" x14ac:dyDescent="0.2">
      <c r="A429" s="2">
        <v>1010</v>
      </c>
      <c r="B429" s="2" t="s">
        <v>836</v>
      </c>
      <c r="C429" s="2" t="s">
        <v>837</v>
      </c>
      <c r="D429" s="2" t="s">
        <v>83</v>
      </c>
      <c r="E429" s="2" t="s">
        <v>20</v>
      </c>
      <c r="F429" s="2">
        <v>2017</v>
      </c>
      <c r="G429" s="2">
        <v>2023</v>
      </c>
      <c r="H429" s="2">
        <f>'mpi_dataset_summary_2017-2024'!$G429-'mpi_dataset_summary_2017-2024'!$F429+1</f>
        <v>7</v>
      </c>
      <c r="I429" s="2" t="s">
        <v>2110</v>
      </c>
      <c r="J429" s="2" t="s">
        <v>2110</v>
      </c>
      <c r="K429" s="2">
        <f>IF('mpi_dataset_summary_2017-2024'!$G429=2024,1,0)</f>
        <v>0</v>
      </c>
      <c r="L429" s="2">
        <f t="shared" si="12"/>
        <v>1</v>
      </c>
      <c r="M429" s="2">
        <v>96.6</v>
      </c>
      <c r="N429" s="2">
        <f t="shared" si="13"/>
        <v>0.34100000000000003</v>
      </c>
      <c r="O429" s="2" t="s">
        <v>2114</v>
      </c>
      <c r="P429" s="2" t="s">
        <v>2114</v>
      </c>
      <c r="Q429" s="2" t="s">
        <v>2108</v>
      </c>
      <c r="R429" s="3" t="s">
        <v>24</v>
      </c>
      <c r="S429" s="2" t="s">
        <v>25</v>
      </c>
      <c r="T429" s="2" t="s">
        <v>26</v>
      </c>
    </row>
    <row r="430" spans="1:20" x14ac:dyDescent="0.2">
      <c r="A430" s="2">
        <v>1012</v>
      </c>
      <c r="B430" s="2" t="s">
        <v>838</v>
      </c>
      <c r="C430" s="2" t="s">
        <v>839</v>
      </c>
      <c r="D430" s="2" t="s">
        <v>89</v>
      </c>
      <c r="E430" s="2" t="s">
        <v>20</v>
      </c>
      <c r="F430" s="2">
        <v>2017</v>
      </c>
      <c r="G430" s="2">
        <v>2019</v>
      </c>
      <c r="H430" s="2">
        <f>'mpi_dataset_summary_2017-2024'!$G430-'mpi_dataset_summary_2017-2024'!$F430+1</f>
        <v>3</v>
      </c>
      <c r="I430" s="2" t="s">
        <v>2112</v>
      </c>
      <c r="J430" s="2" t="s">
        <v>2112</v>
      </c>
      <c r="K430" s="2">
        <f>IF('mpi_dataset_summary_2017-2024'!$G430=2024,1,0)</f>
        <v>0</v>
      </c>
      <c r="L430" s="2">
        <f t="shared" si="12"/>
        <v>0</v>
      </c>
      <c r="M430" s="2">
        <v>65</v>
      </c>
      <c r="N430" s="2">
        <f t="shared" si="13"/>
        <v>0.26400000000000001</v>
      </c>
      <c r="O430" s="2">
        <v>45.111240100000003</v>
      </c>
      <c r="P430" s="2">
        <v>-73.410301200000006</v>
      </c>
      <c r="Q430" s="2" t="s">
        <v>2108</v>
      </c>
      <c r="R430" s="3" t="s">
        <v>41</v>
      </c>
      <c r="S430" s="2" t="s">
        <v>25</v>
      </c>
      <c r="T430" s="2" t="s">
        <v>46</v>
      </c>
    </row>
    <row r="431" spans="1:20" x14ac:dyDescent="0.2">
      <c r="A431" s="2">
        <v>1013</v>
      </c>
      <c r="B431" s="2" t="s">
        <v>840</v>
      </c>
      <c r="C431" s="2" t="s">
        <v>841</v>
      </c>
      <c r="D431" s="2" t="s">
        <v>89</v>
      </c>
      <c r="E431" s="2" t="s">
        <v>20</v>
      </c>
      <c r="F431" s="2">
        <v>2017</v>
      </c>
      <c r="G431" s="2">
        <v>2017</v>
      </c>
      <c r="H431" s="2">
        <f>'mpi_dataset_summary_2017-2024'!$G431-'mpi_dataset_summary_2017-2024'!$F431+1</f>
        <v>1</v>
      </c>
      <c r="I431" s="2" t="s">
        <v>2110</v>
      </c>
      <c r="J431" s="2" t="s">
        <v>2110</v>
      </c>
      <c r="K431" s="2">
        <f>IF('mpi_dataset_summary_2017-2024'!$G431=2024,1,0)</f>
        <v>0</v>
      </c>
      <c r="L431" s="2">
        <f t="shared" si="12"/>
        <v>1</v>
      </c>
      <c r="M431" s="2">
        <v>118</v>
      </c>
      <c r="N431" s="2">
        <f t="shared" si="13"/>
        <v>0.38600000000000001</v>
      </c>
      <c r="O431" s="2">
        <v>45.614019300000002</v>
      </c>
      <c r="P431" s="2">
        <v>-73.509389799999994</v>
      </c>
      <c r="Q431" s="2" t="s">
        <v>2108</v>
      </c>
      <c r="R431" s="3" t="s">
        <v>41</v>
      </c>
      <c r="S431" s="2" t="s">
        <v>25</v>
      </c>
      <c r="T431" s="2" t="s">
        <v>46</v>
      </c>
    </row>
    <row r="432" spans="1:20" x14ac:dyDescent="0.2">
      <c r="A432" s="2">
        <v>1015</v>
      </c>
      <c r="B432" s="2" t="s">
        <v>622</v>
      </c>
      <c r="C432" s="2" t="s">
        <v>842</v>
      </c>
      <c r="D432" s="2" t="s">
        <v>83</v>
      </c>
      <c r="E432" s="2" t="s">
        <v>43</v>
      </c>
      <c r="F432" s="2">
        <v>2017</v>
      </c>
      <c r="G432" s="2">
        <v>2023</v>
      </c>
      <c r="H432" s="2">
        <f>'mpi_dataset_summary_2017-2024'!$G432-'mpi_dataset_summary_2017-2024'!$F432+1</f>
        <v>7</v>
      </c>
      <c r="I432" s="2" t="s">
        <v>2110</v>
      </c>
      <c r="J432" s="2" t="s">
        <v>2110</v>
      </c>
      <c r="K432" s="2">
        <f>IF('mpi_dataset_summary_2017-2024'!$G432=2024,1,0)</f>
        <v>0</v>
      </c>
      <c r="L432" s="2">
        <f t="shared" si="12"/>
        <v>1</v>
      </c>
      <c r="M432" s="2">
        <v>170.87</v>
      </c>
      <c r="N432" s="2">
        <f t="shared" si="13"/>
        <v>0.46899999999999997</v>
      </c>
      <c r="O432" s="2" t="s">
        <v>2114</v>
      </c>
      <c r="P432" s="2" t="s">
        <v>2114</v>
      </c>
      <c r="Q432" s="2" t="s">
        <v>2108</v>
      </c>
      <c r="R432" s="3" t="s">
        <v>24</v>
      </c>
      <c r="S432" s="2" t="s">
        <v>25</v>
      </c>
      <c r="T432" s="2" t="s">
        <v>26</v>
      </c>
    </row>
    <row r="433" spans="1:20" x14ac:dyDescent="0.2">
      <c r="A433" s="2">
        <v>1017</v>
      </c>
      <c r="B433" s="2" t="s">
        <v>92</v>
      </c>
      <c r="C433" s="2" t="s">
        <v>843</v>
      </c>
      <c r="D433" s="2" t="s">
        <v>66</v>
      </c>
      <c r="E433" s="2" t="s">
        <v>20</v>
      </c>
      <c r="F433" s="2">
        <v>2017</v>
      </c>
      <c r="G433" s="2">
        <v>2019</v>
      </c>
      <c r="H433" s="2">
        <f>'mpi_dataset_summary_2017-2024'!$G433-'mpi_dataset_summary_2017-2024'!$F433+1</f>
        <v>3</v>
      </c>
      <c r="I433" s="2" t="s">
        <v>2110</v>
      </c>
      <c r="J433" s="2" t="s">
        <v>2110</v>
      </c>
      <c r="K433" s="2">
        <f>IF('mpi_dataset_summary_2017-2024'!$G433=2024,1,0)</f>
        <v>0</v>
      </c>
      <c r="L433" s="2">
        <f t="shared" si="12"/>
        <v>1</v>
      </c>
      <c r="M433" s="2">
        <v>372.73</v>
      </c>
      <c r="N433" s="2">
        <f t="shared" si="13"/>
        <v>0.624</v>
      </c>
      <c r="O433" s="2">
        <v>52.326193000000004</v>
      </c>
      <c r="P433" s="2">
        <v>-113.90593200000001</v>
      </c>
      <c r="Q433" s="2" t="s">
        <v>2108</v>
      </c>
      <c r="R433" s="3" t="s">
        <v>35</v>
      </c>
      <c r="S433" s="2" t="s">
        <v>22</v>
      </c>
      <c r="T433" s="2" t="s">
        <v>36</v>
      </c>
    </row>
    <row r="434" spans="1:20" x14ac:dyDescent="0.2">
      <c r="A434" s="2">
        <v>1018</v>
      </c>
      <c r="B434" s="2" t="s">
        <v>92</v>
      </c>
      <c r="C434" s="2" t="s">
        <v>844</v>
      </c>
      <c r="D434" s="2" t="s">
        <v>66</v>
      </c>
      <c r="E434" s="2" t="s">
        <v>20</v>
      </c>
      <c r="F434" s="2">
        <v>2017</v>
      </c>
      <c r="G434" s="2">
        <v>2019</v>
      </c>
      <c r="H434" s="2">
        <f>'mpi_dataset_summary_2017-2024'!$G434-'mpi_dataset_summary_2017-2024'!$F434+1</f>
        <v>3</v>
      </c>
      <c r="I434" s="2" t="s">
        <v>2112</v>
      </c>
      <c r="J434" s="2" t="s">
        <v>2113</v>
      </c>
      <c r="K434" s="2">
        <f>IF('mpi_dataset_summary_2017-2024'!$G434=2024,1,0)</f>
        <v>0</v>
      </c>
      <c r="L434" s="2">
        <f t="shared" si="12"/>
        <v>0</v>
      </c>
      <c r="M434" s="2">
        <v>306.64999999999998</v>
      </c>
      <c r="N434" s="2">
        <f t="shared" si="13"/>
        <v>0.58299999999999996</v>
      </c>
      <c r="O434" s="2" t="s">
        <v>2114</v>
      </c>
      <c r="P434" s="2" t="s">
        <v>2114</v>
      </c>
      <c r="Q434" s="2" t="s">
        <v>2108</v>
      </c>
      <c r="R434" s="3" t="s">
        <v>35</v>
      </c>
      <c r="S434" s="2" t="s">
        <v>22</v>
      </c>
      <c r="T434" s="2" t="s">
        <v>36</v>
      </c>
    </row>
    <row r="435" spans="1:20" x14ac:dyDescent="0.2">
      <c r="A435" s="2">
        <v>1019</v>
      </c>
      <c r="B435" s="2" t="s">
        <v>92</v>
      </c>
      <c r="C435" s="2" t="s">
        <v>845</v>
      </c>
      <c r="D435" s="2" t="s">
        <v>66</v>
      </c>
      <c r="E435" s="2" t="s">
        <v>20</v>
      </c>
      <c r="F435" s="2">
        <v>2017</v>
      </c>
      <c r="G435" s="2">
        <v>2017</v>
      </c>
      <c r="H435" s="2">
        <f>'mpi_dataset_summary_2017-2024'!$G435-'mpi_dataset_summary_2017-2024'!$F435+1</f>
        <v>1</v>
      </c>
      <c r="I435" s="2" t="s">
        <v>2110</v>
      </c>
      <c r="J435" s="2" t="s">
        <v>2110</v>
      </c>
      <c r="K435" s="2">
        <f>IF('mpi_dataset_summary_2017-2024'!$G435=2024,1,0)</f>
        <v>0</v>
      </c>
      <c r="L435" s="2">
        <f t="shared" si="12"/>
        <v>1</v>
      </c>
      <c r="M435" s="2">
        <v>683.33</v>
      </c>
      <c r="N435" s="2">
        <f t="shared" si="13"/>
        <v>0.74199999999999999</v>
      </c>
      <c r="O435" s="2">
        <v>49.571799400000003</v>
      </c>
      <c r="P435" s="2">
        <v>-113.95749739999999</v>
      </c>
      <c r="Q435" s="2" t="s">
        <v>2108</v>
      </c>
      <c r="R435" s="3" t="s">
        <v>35</v>
      </c>
      <c r="S435" s="2" t="s">
        <v>22</v>
      </c>
      <c r="T435" s="2" t="s">
        <v>36</v>
      </c>
    </row>
    <row r="436" spans="1:20" x14ac:dyDescent="0.2">
      <c r="A436" s="2">
        <v>1020</v>
      </c>
      <c r="B436" s="2" t="s">
        <v>92</v>
      </c>
      <c r="C436" s="2" t="s">
        <v>846</v>
      </c>
      <c r="D436" s="2" t="s">
        <v>66</v>
      </c>
      <c r="E436" s="2" t="s">
        <v>20</v>
      </c>
      <c r="F436" s="2">
        <v>2017</v>
      </c>
      <c r="G436" s="2">
        <v>2018</v>
      </c>
      <c r="H436" s="2">
        <f>'mpi_dataset_summary_2017-2024'!$G436-'mpi_dataset_summary_2017-2024'!$F436+1</f>
        <v>2</v>
      </c>
      <c r="I436" s="2" t="s">
        <v>2112</v>
      </c>
      <c r="J436" s="2" t="s">
        <v>2112</v>
      </c>
      <c r="K436" s="2">
        <f>IF('mpi_dataset_summary_2017-2024'!$G436=2024,1,0)</f>
        <v>0</v>
      </c>
      <c r="L436" s="2">
        <f t="shared" si="12"/>
        <v>0</v>
      </c>
      <c r="M436" s="2">
        <v>37.31</v>
      </c>
      <c r="N436" s="2">
        <f t="shared" si="13"/>
        <v>0.17299999999999999</v>
      </c>
      <c r="O436" s="2" t="s">
        <v>2114</v>
      </c>
      <c r="P436" s="2" t="s">
        <v>2114</v>
      </c>
      <c r="Q436" s="2" t="s">
        <v>2108</v>
      </c>
      <c r="R436" s="3" t="s">
        <v>35</v>
      </c>
      <c r="S436" s="2" t="s">
        <v>22</v>
      </c>
      <c r="T436" s="2" t="s">
        <v>36</v>
      </c>
    </row>
    <row r="437" spans="1:20" x14ac:dyDescent="0.2">
      <c r="A437" s="2">
        <v>1021</v>
      </c>
      <c r="B437" s="2" t="s">
        <v>92</v>
      </c>
      <c r="C437" s="2" t="s">
        <v>847</v>
      </c>
      <c r="D437" s="2" t="s">
        <v>66</v>
      </c>
      <c r="E437" s="2" t="s">
        <v>20</v>
      </c>
      <c r="F437" s="2">
        <v>2017</v>
      </c>
      <c r="G437" s="2">
        <v>2018</v>
      </c>
      <c r="H437" s="2">
        <f>'mpi_dataset_summary_2017-2024'!$G437-'mpi_dataset_summary_2017-2024'!$F437+1</f>
        <v>2</v>
      </c>
      <c r="I437" s="2" t="s">
        <v>2112</v>
      </c>
      <c r="J437" s="2" t="s">
        <v>2112</v>
      </c>
      <c r="K437" s="2">
        <f>IF('mpi_dataset_summary_2017-2024'!$G437=2024,1,0)</f>
        <v>0</v>
      </c>
      <c r="L437" s="2">
        <f t="shared" si="12"/>
        <v>0</v>
      </c>
      <c r="M437" s="2">
        <v>132.43</v>
      </c>
      <c r="N437" s="2">
        <f t="shared" si="13"/>
        <v>0.41699999999999998</v>
      </c>
      <c r="O437" s="2" t="s">
        <v>2114</v>
      </c>
      <c r="P437" s="2" t="s">
        <v>2114</v>
      </c>
      <c r="Q437" s="2" t="s">
        <v>2108</v>
      </c>
      <c r="R437" s="3" t="s">
        <v>35</v>
      </c>
      <c r="S437" s="2" t="s">
        <v>22</v>
      </c>
      <c r="T437" s="2" t="s">
        <v>36</v>
      </c>
    </row>
    <row r="438" spans="1:20" x14ac:dyDescent="0.2">
      <c r="A438" s="2">
        <v>1022</v>
      </c>
      <c r="B438" s="2" t="s">
        <v>848</v>
      </c>
      <c r="C438" s="2" t="s">
        <v>849</v>
      </c>
      <c r="D438" s="2" t="s">
        <v>161</v>
      </c>
      <c r="E438" s="2" t="s">
        <v>20</v>
      </c>
      <c r="F438" s="2">
        <v>2017</v>
      </c>
      <c r="G438" s="2">
        <v>2018</v>
      </c>
      <c r="H438" s="2">
        <f>'mpi_dataset_summary_2017-2024'!$G438-'mpi_dataset_summary_2017-2024'!$F438+1</f>
        <v>2</v>
      </c>
      <c r="I438" s="2" t="s">
        <v>2112</v>
      </c>
      <c r="J438" s="2" t="s">
        <v>2112</v>
      </c>
      <c r="K438" s="2">
        <f>IF('mpi_dataset_summary_2017-2024'!$G438=2024,1,0)</f>
        <v>0</v>
      </c>
      <c r="L438" s="2">
        <f t="shared" si="12"/>
        <v>0</v>
      </c>
      <c r="M438" s="2">
        <v>0</v>
      </c>
      <c r="N438" s="2">
        <f t="shared" si="13"/>
        <v>0</v>
      </c>
      <c r="O438" s="2">
        <v>52.868344</v>
      </c>
      <c r="P438" s="2">
        <v>-83.957825</v>
      </c>
      <c r="Q438" s="2" t="s">
        <v>2107</v>
      </c>
      <c r="R438" s="3" t="s">
        <v>41</v>
      </c>
      <c r="S438" s="2" t="s">
        <v>22</v>
      </c>
      <c r="T438" s="2" t="s">
        <v>42</v>
      </c>
    </row>
    <row r="439" spans="1:20" x14ac:dyDescent="0.2">
      <c r="A439" s="2">
        <v>1023</v>
      </c>
      <c r="B439" s="2" t="s">
        <v>850</v>
      </c>
      <c r="C439" s="2" t="s">
        <v>851</v>
      </c>
      <c r="D439" s="2" t="s">
        <v>169</v>
      </c>
      <c r="E439" s="2" t="s">
        <v>43</v>
      </c>
      <c r="F439" s="2">
        <v>2017</v>
      </c>
      <c r="G439" s="2">
        <v>2024</v>
      </c>
      <c r="H439" s="2">
        <f>'mpi_dataset_summary_2017-2024'!$G439-'mpi_dataset_summary_2017-2024'!$F439+1</f>
        <v>8</v>
      </c>
      <c r="I439" s="2" t="s">
        <v>2111</v>
      </c>
      <c r="J439" s="2" t="s">
        <v>2111</v>
      </c>
      <c r="K439" s="2">
        <f>IF('mpi_dataset_summary_2017-2024'!$G439=2024,1,0)</f>
        <v>1</v>
      </c>
      <c r="L439" s="2">
        <f t="shared" si="12"/>
        <v>0</v>
      </c>
      <c r="M439" s="2">
        <v>1600</v>
      </c>
      <c r="N439" s="2">
        <f t="shared" si="13"/>
        <v>0.873</v>
      </c>
      <c r="O439" s="2">
        <v>58.765245</v>
      </c>
      <c r="P439" s="2">
        <v>-94.167570999999995</v>
      </c>
      <c r="Q439" s="2" t="s">
        <v>2108</v>
      </c>
      <c r="R439" s="3" t="s">
        <v>24</v>
      </c>
      <c r="S439" s="2" t="s">
        <v>25</v>
      </c>
      <c r="T439" s="2" t="s">
        <v>26</v>
      </c>
    </row>
    <row r="440" spans="1:20" x14ac:dyDescent="0.2">
      <c r="A440" s="2">
        <v>1024</v>
      </c>
      <c r="B440" s="2" t="s">
        <v>852</v>
      </c>
      <c r="C440" s="2" t="s">
        <v>853</v>
      </c>
      <c r="D440" s="2" t="s">
        <v>161</v>
      </c>
      <c r="E440" s="2" t="s">
        <v>20</v>
      </c>
      <c r="F440" s="2">
        <v>2017</v>
      </c>
      <c r="G440" s="2">
        <v>2021</v>
      </c>
      <c r="H440" s="2">
        <f>'mpi_dataset_summary_2017-2024'!$G440-'mpi_dataset_summary_2017-2024'!$F440+1</f>
        <v>5</v>
      </c>
      <c r="I440" s="2" t="s">
        <v>2111</v>
      </c>
      <c r="J440" s="2" t="s">
        <v>2110</v>
      </c>
      <c r="K440" s="2">
        <f>IF('mpi_dataset_summary_2017-2024'!$G440=2024,1,0)</f>
        <v>0</v>
      </c>
      <c r="L440" s="2">
        <f t="shared" si="12"/>
        <v>1</v>
      </c>
      <c r="M440" s="2">
        <v>777</v>
      </c>
      <c r="N440" s="2">
        <f t="shared" si="13"/>
        <v>0.77100000000000002</v>
      </c>
      <c r="O440" s="2">
        <v>48.451122499999997</v>
      </c>
      <c r="P440" s="2">
        <v>-89.1749954</v>
      </c>
      <c r="Q440" s="2" t="s">
        <v>2108</v>
      </c>
      <c r="R440" s="3" t="s">
        <v>35</v>
      </c>
      <c r="S440" s="2" t="s">
        <v>22</v>
      </c>
      <c r="T440" s="2" t="s">
        <v>36</v>
      </c>
    </row>
    <row r="441" spans="1:20" x14ac:dyDescent="0.2">
      <c r="A441" s="2">
        <v>1025</v>
      </c>
      <c r="B441" s="2" t="s">
        <v>214</v>
      </c>
      <c r="C441" s="2" t="s">
        <v>854</v>
      </c>
      <c r="D441" s="2" t="s">
        <v>89</v>
      </c>
      <c r="E441" s="2" t="s">
        <v>43</v>
      </c>
      <c r="F441" s="2">
        <v>2017</v>
      </c>
      <c r="G441" s="2">
        <v>2017</v>
      </c>
      <c r="H441" s="2">
        <f>'mpi_dataset_summary_2017-2024'!$G441-'mpi_dataset_summary_2017-2024'!$F441+1</f>
        <v>1</v>
      </c>
      <c r="I441" s="2" t="s">
        <v>2110</v>
      </c>
      <c r="J441" s="2" t="s">
        <v>2110</v>
      </c>
      <c r="K441" s="2">
        <f>IF('mpi_dataset_summary_2017-2024'!$G441=2024,1,0)</f>
        <v>0</v>
      </c>
      <c r="L441" s="2">
        <f t="shared" si="12"/>
        <v>1</v>
      </c>
      <c r="M441" s="2">
        <v>0</v>
      </c>
      <c r="N441" s="2">
        <f t="shared" si="13"/>
        <v>0</v>
      </c>
      <c r="O441" s="2" t="s">
        <v>2114</v>
      </c>
      <c r="P441" s="2" t="s">
        <v>2114</v>
      </c>
      <c r="Q441" s="2" t="s">
        <v>2108</v>
      </c>
      <c r="R441" s="3" t="s">
        <v>35</v>
      </c>
      <c r="S441" s="2" t="s">
        <v>22</v>
      </c>
      <c r="T441" s="2" t="s">
        <v>45</v>
      </c>
    </row>
    <row r="442" spans="1:20" x14ac:dyDescent="0.2">
      <c r="A442" s="2">
        <v>1026</v>
      </c>
      <c r="B442" s="2" t="s">
        <v>214</v>
      </c>
      <c r="C442" s="2" t="s">
        <v>855</v>
      </c>
      <c r="D442" s="2" t="s">
        <v>89</v>
      </c>
      <c r="E442" s="2" t="s">
        <v>43</v>
      </c>
      <c r="F442" s="2">
        <v>2017</v>
      </c>
      <c r="G442" s="2">
        <v>2024</v>
      </c>
      <c r="H442" s="2">
        <f>'mpi_dataset_summary_2017-2024'!$G442-'mpi_dataset_summary_2017-2024'!$F442+1</f>
        <v>8</v>
      </c>
      <c r="I442" s="2" t="s">
        <v>2110</v>
      </c>
      <c r="J442" s="2" t="s">
        <v>2110</v>
      </c>
      <c r="K442" s="2">
        <f>IF('mpi_dataset_summary_2017-2024'!$G442=2024,1,0)</f>
        <v>1</v>
      </c>
      <c r="L442" s="2">
        <f t="shared" si="12"/>
        <v>1</v>
      </c>
      <c r="M442" s="2">
        <v>743</v>
      </c>
      <c r="N442" s="2">
        <f t="shared" si="13"/>
        <v>0.75600000000000001</v>
      </c>
      <c r="O442" s="2" t="s">
        <v>2114</v>
      </c>
      <c r="P442" s="2" t="s">
        <v>2114</v>
      </c>
      <c r="Q442" s="2" t="s">
        <v>2108</v>
      </c>
      <c r="R442" s="3" t="s">
        <v>24</v>
      </c>
      <c r="S442" s="2" t="s">
        <v>25</v>
      </c>
      <c r="T442" s="2" t="s">
        <v>26</v>
      </c>
    </row>
    <row r="443" spans="1:20" x14ac:dyDescent="0.2">
      <c r="A443" s="2">
        <v>1028</v>
      </c>
      <c r="B443" s="2" t="s">
        <v>133</v>
      </c>
      <c r="C443" s="2" t="s">
        <v>856</v>
      </c>
      <c r="D443" s="2" t="s">
        <v>161</v>
      </c>
      <c r="E443" s="2" t="s">
        <v>20</v>
      </c>
      <c r="F443" s="2">
        <v>2017</v>
      </c>
      <c r="G443" s="2">
        <v>2024</v>
      </c>
      <c r="H443" s="2">
        <f>'mpi_dataset_summary_2017-2024'!$G443-'mpi_dataset_summary_2017-2024'!$F443+1</f>
        <v>8</v>
      </c>
      <c r="I443" s="2" t="s">
        <v>2111</v>
      </c>
      <c r="J443" s="2" t="s">
        <v>2110</v>
      </c>
      <c r="K443" s="2">
        <f>IF('mpi_dataset_summary_2017-2024'!$G443=2024,1,0)</f>
        <v>1</v>
      </c>
      <c r="L443" s="2">
        <f t="shared" si="12"/>
        <v>1</v>
      </c>
      <c r="M443" s="2">
        <v>974.49199999999996</v>
      </c>
      <c r="N443" s="2">
        <f t="shared" si="13"/>
        <v>0.80500000000000005</v>
      </c>
      <c r="O443" s="2">
        <v>48.346963000000002</v>
      </c>
      <c r="P443" s="2">
        <v>-84.477052999999998</v>
      </c>
      <c r="Q443" s="2" t="s">
        <v>2107</v>
      </c>
      <c r="R443" s="3" t="s">
        <v>29</v>
      </c>
      <c r="S443" s="2" t="s">
        <v>22</v>
      </c>
      <c r="T443" s="2" t="s">
        <v>30</v>
      </c>
    </row>
    <row r="444" spans="1:20" x14ac:dyDescent="0.2">
      <c r="A444" s="2">
        <v>1029</v>
      </c>
      <c r="B444" s="2" t="s">
        <v>766</v>
      </c>
      <c r="C444" s="2" t="s">
        <v>857</v>
      </c>
      <c r="D444" s="2" t="s">
        <v>126</v>
      </c>
      <c r="E444" s="2" t="s">
        <v>20</v>
      </c>
      <c r="F444" s="2">
        <v>2017</v>
      </c>
      <c r="G444" s="2">
        <v>2019</v>
      </c>
      <c r="H444" s="2">
        <f>'mpi_dataset_summary_2017-2024'!$G444-'mpi_dataset_summary_2017-2024'!$F444+1</f>
        <v>3</v>
      </c>
      <c r="I444" s="2" t="s">
        <v>2111</v>
      </c>
      <c r="J444" s="2" t="s">
        <v>2110</v>
      </c>
      <c r="K444" s="2">
        <f>IF('mpi_dataset_summary_2017-2024'!$G444=2024,1,0)</f>
        <v>0</v>
      </c>
      <c r="L444" s="2">
        <f t="shared" si="12"/>
        <v>1</v>
      </c>
      <c r="M444" s="2">
        <v>194.27</v>
      </c>
      <c r="N444" s="2">
        <f t="shared" si="13"/>
        <v>0.48599999999999999</v>
      </c>
      <c r="O444" s="2">
        <v>64.875028</v>
      </c>
      <c r="P444" s="2">
        <v>-110.58604</v>
      </c>
      <c r="Q444" s="2" t="s">
        <v>2107</v>
      </c>
      <c r="R444" s="3" t="s">
        <v>41</v>
      </c>
      <c r="S444" s="2" t="s">
        <v>22</v>
      </c>
      <c r="T444" s="2" t="s">
        <v>42</v>
      </c>
    </row>
    <row r="445" spans="1:20" x14ac:dyDescent="0.2">
      <c r="A445" s="2">
        <v>1030</v>
      </c>
      <c r="B445" s="2" t="s">
        <v>858</v>
      </c>
      <c r="C445" s="2" t="s">
        <v>859</v>
      </c>
      <c r="D445" s="2" t="s">
        <v>380</v>
      </c>
      <c r="E445" s="2" t="s">
        <v>20</v>
      </c>
      <c r="F445" s="2">
        <v>2017</v>
      </c>
      <c r="G445" s="2">
        <v>2019</v>
      </c>
      <c r="H445" s="2">
        <f>'mpi_dataset_summary_2017-2024'!$G445-'mpi_dataset_summary_2017-2024'!$F445+1</f>
        <v>3</v>
      </c>
      <c r="I445" s="2" t="s">
        <v>2111</v>
      </c>
      <c r="J445" s="2" t="s">
        <v>2111</v>
      </c>
      <c r="K445" s="2">
        <f>IF('mpi_dataset_summary_2017-2024'!$G445=2024,1,0)</f>
        <v>0</v>
      </c>
      <c r="L445" s="2">
        <f t="shared" si="12"/>
        <v>0</v>
      </c>
      <c r="M445" s="2">
        <v>262</v>
      </c>
      <c r="N445" s="2">
        <f t="shared" si="13"/>
        <v>0.55500000000000005</v>
      </c>
      <c r="O445" s="2">
        <v>62.155926000000001</v>
      </c>
      <c r="P445" s="2">
        <v>-137.342635</v>
      </c>
      <c r="Q445" s="2" t="s">
        <v>2107</v>
      </c>
      <c r="R445" s="3" t="s">
        <v>41</v>
      </c>
      <c r="S445" s="2" t="s">
        <v>22</v>
      </c>
      <c r="T445" s="2" t="s">
        <v>42</v>
      </c>
    </row>
    <row r="446" spans="1:20" x14ac:dyDescent="0.2">
      <c r="A446" s="2">
        <v>1031</v>
      </c>
      <c r="B446" s="2" t="s">
        <v>566</v>
      </c>
      <c r="C446" s="2" t="s">
        <v>860</v>
      </c>
      <c r="D446" s="2" t="s">
        <v>169</v>
      </c>
      <c r="E446" s="2" t="s">
        <v>20</v>
      </c>
      <c r="F446" s="2">
        <v>2017</v>
      </c>
      <c r="G446" s="2">
        <v>2017</v>
      </c>
      <c r="H446" s="2">
        <f>'mpi_dataset_summary_2017-2024'!$G446-'mpi_dataset_summary_2017-2024'!$F446+1</f>
        <v>1</v>
      </c>
      <c r="I446" s="2" t="s">
        <v>2113</v>
      </c>
      <c r="J446" s="2" t="s">
        <v>2113</v>
      </c>
      <c r="K446" s="2">
        <f>IF('mpi_dataset_summary_2017-2024'!$G446=2024,1,0)</f>
        <v>0</v>
      </c>
      <c r="L446" s="2">
        <f t="shared" si="12"/>
        <v>0</v>
      </c>
      <c r="M446" s="2">
        <v>470</v>
      </c>
      <c r="N446" s="2">
        <f t="shared" si="13"/>
        <v>0.66600000000000004</v>
      </c>
      <c r="O446" s="2">
        <v>56.001784999999998</v>
      </c>
      <c r="P446" s="2">
        <v>-120.673554</v>
      </c>
      <c r="Q446" s="2" t="s">
        <v>2108</v>
      </c>
      <c r="R446" s="3" t="s">
        <v>41</v>
      </c>
      <c r="S446" s="2" t="s">
        <v>25</v>
      </c>
      <c r="T446" s="2" t="s">
        <v>46</v>
      </c>
    </row>
    <row r="447" spans="1:20" x14ac:dyDescent="0.2">
      <c r="A447" s="2">
        <v>1032</v>
      </c>
      <c r="B447" s="2" t="s">
        <v>465</v>
      </c>
      <c r="C447" s="2" t="s">
        <v>861</v>
      </c>
      <c r="D447" s="2" t="s">
        <v>169</v>
      </c>
      <c r="E447" s="2" t="s">
        <v>20</v>
      </c>
      <c r="F447" s="2">
        <v>2017</v>
      </c>
      <c r="G447" s="2">
        <v>2017</v>
      </c>
      <c r="H447" s="2">
        <f>'mpi_dataset_summary_2017-2024'!$G447-'mpi_dataset_summary_2017-2024'!$F447+1</f>
        <v>1</v>
      </c>
      <c r="I447" s="2" t="s">
        <v>2112</v>
      </c>
      <c r="J447" s="2" t="s">
        <v>2112</v>
      </c>
      <c r="K447" s="2">
        <f>IF('mpi_dataset_summary_2017-2024'!$G447=2024,1,0)</f>
        <v>0</v>
      </c>
      <c r="L447" s="2">
        <f t="shared" si="12"/>
        <v>0</v>
      </c>
      <c r="M447" s="2">
        <v>600</v>
      </c>
      <c r="N447" s="2">
        <f t="shared" si="13"/>
        <v>0.71399999999999997</v>
      </c>
      <c r="O447" s="2">
        <v>49.000010000000003</v>
      </c>
      <c r="P447" s="2">
        <v>-102.36949799999999</v>
      </c>
      <c r="Q447" s="2" t="s">
        <v>2108</v>
      </c>
      <c r="R447" s="3" t="s">
        <v>35</v>
      </c>
      <c r="S447" s="2" t="s">
        <v>22</v>
      </c>
      <c r="T447" s="2" t="s">
        <v>36</v>
      </c>
    </row>
    <row r="448" spans="1:20" x14ac:dyDescent="0.2">
      <c r="A448" s="2">
        <v>1034</v>
      </c>
      <c r="B448" s="2" t="s">
        <v>862</v>
      </c>
      <c r="C448" s="2" t="s">
        <v>863</v>
      </c>
      <c r="D448" s="2" t="s">
        <v>110</v>
      </c>
      <c r="E448" s="2" t="s">
        <v>20</v>
      </c>
      <c r="F448" s="2">
        <v>2020</v>
      </c>
      <c r="G448" s="2">
        <v>2024</v>
      </c>
      <c r="H448" s="2">
        <f>'mpi_dataset_summary_2017-2024'!$G448-'mpi_dataset_summary_2017-2024'!$F448+1</f>
        <v>5</v>
      </c>
      <c r="I448" s="2" t="s">
        <v>2111</v>
      </c>
      <c r="J448" s="2" t="s">
        <v>2112</v>
      </c>
      <c r="K448" s="2">
        <f>IF('mpi_dataset_summary_2017-2024'!$G448=2024,1,0)</f>
        <v>1</v>
      </c>
      <c r="L448" s="2">
        <f t="shared" si="12"/>
        <v>0</v>
      </c>
      <c r="M448" s="2">
        <v>1177</v>
      </c>
      <c r="N448" s="2">
        <f t="shared" si="13"/>
        <v>0.82799999999999996</v>
      </c>
      <c r="O448" s="2">
        <v>57.635748999999997</v>
      </c>
      <c r="P448" s="2">
        <v>-109.316745</v>
      </c>
      <c r="Q448" s="2" t="s">
        <v>2107</v>
      </c>
      <c r="R448" s="3" t="s">
        <v>33</v>
      </c>
      <c r="S448" s="2" t="s">
        <v>25</v>
      </c>
      <c r="T448" s="2" t="s">
        <v>34</v>
      </c>
    </row>
    <row r="449" spans="1:20" x14ac:dyDescent="0.2">
      <c r="A449" s="2">
        <v>1035</v>
      </c>
      <c r="B449" s="2" t="s">
        <v>566</v>
      </c>
      <c r="C449" s="2" t="s">
        <v>864</v>
      </c>
      <c r="D449" s="2" t="s">
        <v>66</v>
      </c>
      <c r="E449" s="2" t="s">
        <v>20</v>
      </c>
      <c r="F449" s="2">
        <v>2017</v>
      </c>
      <c r="G449" s="2">
        <v>2017</v>
      </c>
      <c r="H449" s="2">
        <f>'mpi_dataset_summary_2017-2024'!$G449-'mpi_dataset_summary_2017-2024'!$F449+1</f>
        <v>1</v>
      </c>
      <c r="I449" s="2" t="s">
        <v>2113</v>
      </c>
      <c r="J449" s="2" t="s">
        <v>2113</v>
      </c>
      <c r="K449" s="2">
        <f>IF('mpi_dataset_summary_2017-2024'!$G449=2024,1,0)</f>
        <v>0</v>
      </c>
      <c r="L449" s="2">
        <f t="shared" si="12"/>
        <v>0</v>
      </c>
      <c r="M449" s="2">
        <v>1100</v>
      </c>
      <c r="N449" s="2">
        <f t="shared" si="13"/>
        <v>0.82199999999999995</v>
      </c>
      <c r="O449" s="2" t="s">
        <v>2114</v>
      </c>
      <c r="P449" s="2" t="s">
        <v>2114</v>
      </c>
      <c r="Q449" s="2" t="s">
        <v>2108</v>
      </c>
      <c r="R449" s="3" t="s">
        <v>41</v>
      </c>
      <c r="S449" s="2" t="s">
        <v>25</v>
      </c>
      <c r="T449" s="2" t="s">
        <v>46</v>
      </c>
    </row>
    <row r="450" spans="1:20" x14ac:dyDescent="0.2">
      <c r="A450" s="2">
        <v>1036</v>
      </c>
      <c r="B450" s="2" t="s">
        <v>424</v>
      </c>
      <c r="C450" s="2" t="s">
        <v>865</v>
      </c>
      <c r="D450" s="2" t="s">
        <v>169</v>
      </c>
      <c r="E450" s="2" t="s">
        <v>20</v>
      </c>
      <c r="F450" s="2">
        <v>2017</v>
      </c>
      <c r="G450" s="2">
        <v>2020</v>
      </c>
      <c r="H450" s="2">
        <f>'mpi_dataset_summary_2017-2024'!$G450-'mpi_dataset_summary_2017-2024'!$F450+1</f>
        <v>4</v>
      </c>
      <c r="I450" s="2" t="s">
        <v>2113</v>
      </c>
      <c r="J450" s="2" t="s">
        <v>2110</v>
      </c>
      <c r="K450" s="2">
        <f>IF('mpi_dataset_summary_2017-2024'!$G450=2024,1,0)</f>
        <v>0</v>
      </c>
      <c r="L450" s="2">
        <f t="shared" ref="L450:L513" si="14">IF(J450="Under Construction",1,0)</f>
        <v>1</v>
      </c>
      <c r="M450" s="2">
        <v>5300</v>
      </c>
      <c r="N450" s="2">
        <f t="shared" ref="N450:N513" si="15">_xlfn.PERCENTRANK.INC($M$2:$M$4056,M450)</f>
        <v>0.95499999999999996</v>
      </c>
      <c r="O450" s="2">
        <v>52.674529</v>
      </c>
      <c r="P450" s="2">
        <v>-111.30407599999999</v>
      </c>
      <c r="Q450" s="2" t="s">
        <v>2108</v>
      </c>
      <c r="R450" s="3" t="s">
        <v>35</v>
      </c>
      <c r="S450" s="2" t="s">
        <v>22</v>
      </c>
      <c r="T450" s="2" t="s">
        <v>36</v>
      </c>
    </row>
    <row r="451" spans="1:20" x14ac:dyDescent="0.2">
      <c r="A451" s="2">
        <v>1037</v>
      </c>
      <c r="B451" s="2" t="s">
        <v>866</v>
      </c>
      <c r="C451" s="2" t="s">
        <v>867</v>
      </c>
      <c r="D451" s="2" t="s">
        <v>69</v>
      </c>
      <c r="E451" s="2" t="s">
        <v>20</v>
      </c>
      <c r="F451" s="2">
        <v>2021</v>
      </c>
      <c r="G451" s="2">
        <v>2024</v>
      </c>
      <c r="H451" s="2">
        <f>'mpi_dataset_summary_2017-2024'!$G451-'mpi_dataset_summary_2017-2024'!$F451+1</f>
        <v>4</v>
      </c>
      <c r="I451" s="2" t="s">
        <v>2111</v>
      </c>
      <c r="J451" s="2" t="s">
        <v>2111</v>
      </c>
      <c r="K451" s="2">
        <f>IF('mpi_dataset_summary_2017-2024'!$G451=2024,1,0)</f>
        <v>1</v>
      </c>
      <c r="L451" s="2">
        <f t="shared" si="14"/>
        <v>0</v>
      </c>
      <c r="M451" s="2">
        <v>10000</v>
      </c>
      <c r="N451" s="2">
        <f t="shared" si="15"/>
        <v>0.97599999999999998</v>
      </c>
      <c r="O451" s="2">
        <v>54.901569000000002</v>
      </c>
      <c r="P451" s="2">
        <v>-130.07260400000001</v>
      </c>
      <c r="Q451" s="2" t="s">
        <v>2108</v>
      </c>
      <c r="R451" s="3" t="s">
        <v>37</v>
      </c>
      <c r="S451" s="2" t="s">
        <v>22</v>
      </c>
      <c r="T451" s="2" t="s">
        <v>38</v>
      </c>
    </row>
    <row r="452" spans="1:20" x14ac:dyDescent="0.2">
      <c r="A452" s="2">
        <v>1039</v>
      </c>
      <c r="B452" s="2" t="s">
        <v>868</v>
      </c>
      <c r="C452" s="2" t="s">
        <v>869</v>
      </c>
      <c r="D452" s="2" t="s">
        <v>66</v>
      </c>
      <c r="E452" s="2" t="s">
        <v>20</v>
      </c>
      <c r="F452" s="2">
        <v>2017</v>
      </c>
      <c r="G452" s="2">
        <v>2020</v>
      </c>
      <c r="H452" s="2">
        <f>'mpi_dataset_summary_2017-2024'!$G452-'mpi_dataset_summary_2017-2024'!$F452+1</f>
        <v>4</v>
      </c>
      <c r="I452" s="2" t="s">
        <v>2110</v>
      </c>
      <c r="J452" s="2" t="s">
        <v>2111</v>
      </c>
      <c r="K452" s="2">
        <f>IF('mpi_dataset_summary_2017-2024'!$G452=2024,1,0)</f>
        <v>0</v>
      </c>
      <c r="L452" s="2">
        <f t="shared" si="14"/>
        <v>0</v>
      </c>
      <c r="M452" s="2">
        <v>26</v>
      </c>
      <c r="N452" s="2">
        <f t="shared" si="15"/>
        <v>0.13400000000000001</v>
      </c>
      <c r="O452" s="2">
        <v>56.184899999999999</v>
      </c>
      <c r="P452" s="2">
        <v>-117.1849</v>
      </c>
      <c r="Q452" s="2" t="s">
        <v>2109</v>
      </c>
      <c r="R452" s="3" t="s">
        <v>41</v>
      </c>
      <c r="S452" s="2" t="s">
        <v>25</v>
      </c>
      <c r="T452" s="2" t="s">
        <v>57</v>
      </c>
    </row>
    <row r="453" spans="1:20" x14ac:dyDescent="0.2">
      <c r="A453" s="2">
        <v>1040</v>
      </c>
      <c r="B453" s="2" t="s">
        <v>870</v>
      </c>
      <c r="C453" s="2" t="s">
        <v>871</v>
      </c>
      <c r="D453" s="2" t="s">
        <v>89</v>
      </c>
      <c r="E453" s="2" t="s">
        <v>20</v>
      </c>
      <c r="F453" s="2">
        <v>2017</v>
      </c>
      <c r="G453" s="2">
        <v>2017</v>
      </c>
      <c r="H453" s="2">
        <f>'mpi_dataset_summary_2017-2024'!$G453-'mpi_dataset_summary_2017-2024'!$F453+1</f>
        <v>1</v>
      </c>
      <c r="I453" s="2" t="s">
        <v>2111</v>
      </c>
      <c r="J453" s="2" t="s">
        <v>2111</v>
      </c>
      <c r="K453" s="2">
        <f>IF('mpi_dataset_summary_2017-2024'!$G453=2024,1,0)</f>
        <v>0</v>
      </c>
      <c r="L453" s="2">
        <f t="shared" si="14"/>
        <v>0</v>
      </c>
      <c r="M453" s="2">
        <v>0</v>
      </c>
      <c r="N453" s="2">
        <f t="shared" si="15"/>
        <v>0</v>
      </c>
      <c r="O453" s="2" t="s">
        <v>2114</v>
      </c>
      <c r="P453" s="2" t="s">
        <v>2114</v>
      </c>
      <c r="Q453" s="2" t="s">
        <v>2108</v>
      </c>
      <c r="R453" s="3" t="s">
        <v>27</v>
      </c>
      <c r="S453" s="2" t="s">
        <v>25</v>
      </c>
      <c r="T453" s="2" t="s">
        <v>28</v>
      </c>
    </row>
    <row r="454" spans="1:20" x14ac:dyDescent="0.2">
      <c r="A454" s="2">
        <v>1041</v>
      </c>
      <c r="B454" s="2" t="s">
        <v>872</v>
      </c>
      <c r="C454" s="2" t="s">
        <v>873</v>
      </c>
      <c r="D454" s="2" t="s">
        <v>89</v>
      </c>
      <c r="E454" s="2" t="s">
        <v>43</v>
      </c>
      <c r="F454" s="2">
        <v>2017</v>
      </c>
      <c r="G454" s="2">
        <v>2024</v>
      </c>
      <c r="H454" s="2">
        <f>'mpi_dataset_summary_2017-2024'!$G454-'mpi_dataset_summary_2017-2024'!$F454+1</f>
        <v>8</v>
      </c>
      <c r="I454" s="2" t="s">
        <v>2112</v>
      </c>
      <c r="J454" s="2" t="s">
        <v>2112</v>
      </c>
      <c r="K454" s="2">
        <f>IF('mpi_dataset_summary_2017-2024'!$G454=2024,1,0)</f>
        <v>1</v>
      </c>
      <c r="L454" s="2">
        <f t="shared" si="14"/>
        <v>0</v>
      </c>
      <c r="M454" s="2">
        <v>51</v>
      </c>
      <c r="N454" s="2">
        <f t="shared" si="15"/>
        <v>0.23</v>
      </c>
      <c r="O454" s="2">
        <v>48.723888899999999</v>
      </c>
      <c r="P454" s="2">
        <v>-69.158333299999995</v>
      </c>
      <c r="Q454" s="2" t="s">
        <v>2108</v>
      </c>
      <c r="R454" s="3" t="s">
        <v>24</v>
      </c>
      <c r="S454" s="2" t="s">
        <v>25</v>
      </c>
      <c r="T454" s="2" t="s">
        <v>26</v>
      </c>
    </row>
    <row r="455" spans="1:20" x14ac:dyDescent="0.2">
      <c r="A455" s="2">
        <v>1042</v>
      </c>
      <c r="B455" s="2" t="s">
        <v>874</v>
      </c>
      <c r="C455" s="2" t="s">
        <v>875</v>
      </c>
      <c r="D455" s="2" t="s">
        <v>380</v>
      </c>
      <c r="E455" s="2" t="s">
        <v>20</v>
      </c>
      <c r="F455" s="2">
        <v>2018</v>
      </c>
      <c r="G455" s="2">
        <v>2024</v>
      </c>
      <c r="H455" s="2">
        <f>'mpi_dataset_summary_2017-2024'!$G455-'mpi_dataset_summary_2017-2024'!$F455+1</f>
        <v>7</v>
      </c>
      <c r="I455" s="2" t="s">
        <v>2111</v>
      </c>
      <c r="J455" s="2" t="s">
        <v>2112</v>
      </c>
      <c r="K455" s="2">
        <f>IF('mpi_dataset_summary_2017-2024'!$G455=2024,1,0)</f>
        <v>1</v>
      </c>
      <c r="L455" s="2">
        <f t="shared" si="14"/>
        <v>0</v>
      </c>
      <c r="M455" s="2">
        <v>496</v>
      </c>
      <c r="N455" s="2">
        <f t="shared" si="15"/>
        <v>0.67700000000000005</v>
      </c>
      <c r="O455" s="2">
        <v>61.45805</v>
      </c>
      <c r="P455" s="2">
        <v>-130.61000000000001</v>
      </c>
      <c r="Q455" s="2" t="s">
        <v>2107</v>
      </c>
      <c r="R455" s="3" t="s">
        <v>41</v>
      </c>
      <c r="S455" s="2" t="s">
        <v>22</v>
      </c>
      <c r="T455" s="2" t="s">
        <v>42</v>
      </c>
    </row>
    <row r="456" spans="1:20" x14ac:dyDescent="0.2">
      <c r="A456" s="2">
        <v>1045</v>
      </c>
      <c r="B456" s="2" t="s">
        <v>876</v>
      </c>
      <c r="C456" s="2" t="s">
        <v>877</v>
      </c>
      <c r="D456" s="2" t="s">
        <v>258</v>
      </c>
      <c r="E456" s="2" t="s">
        <v>20</v>
      </c>
      <c r="F456" s="2">
        <v>2017</v>
      </c>
      <c r="G456" s="2">
        <v>2024</v>
      </c>
      <c r="H456" s="2">
        <f>'mpi_dataset_summary_2017-2024'!$G456-'mpi_dataset_summary_2017-2024'!$F456+1</f>
        <v>8</v>
      </c>
      <c r="I456" s="2" t="s">
        <v>2112</v>
      </c>
      <c r="J456" s="2" t="s">
        <v>2112</v>
      </c>
      <c r="K456" s="2">
        <f>IF('mpi_dataset_summary_2017-2024'!$G456=2024,1,0)</f>
        <v>1</v>
      </c>
      <c r="L456" s="2">
        <f t="shared" si="14"/>
        <v>0</v>
      </c>
      <c r="M456" s="2">
        <v>70</v>
      </c>
      <c r="N456" s="2">
        <f t="shared" si="15"/>
        <v>0.27600000000000002</v>
      </c>
      <c r="O456" s="2">
        <v>47.022824999999997</v>
      </c>
      <c r="P456" s="2">
        <v>-65.495814999999993</v>
      </c>
      <c r="Q456" s="2" t="s">
        <v>2109</v>
      </c>
      <c r="R456" s="3" t="s">
        <v>41</v>
      </c>
      <c r="S456" s="2" t="s">
        <v>25</v>
      </c>
      <c r="T456" s="2" t="s">
        <v>57</v>
      </c>
    </row>
    <row r="457" spans="1:20" x14ac:dyDescent="0.2">
      <c r="A457" s="2">
        <v>1048</v>
      </c>
      <c r="B457" s="2" t="s">
        <v>878</v>
      </c>
      <c r="C457" s="2" t="s">
        <v>879</v>
      </c>
      <c r="D457" s="2" t="s">
        <v>89</v>
      </c>
      <c r="E457" s="2" t="s">
        <v>20</v>
      </c>
      <c r="F457" s="2">
        <v>2017</v>
      </c>
      <c r="G457" s="2">
        <v>2021</v>
      </c>
      <c r="H457" s="2">
        <f>'mpi_dataset_summary_2017-2024'!$G457-'mpi_dataset_summary_2017-2024'!$F457+1</f>
        <v>5</v>
      </c>
      <c r="I457" s="2" t="s">
        <v>2110</v>
      </c>
      <c r="J457" s="2" t="s">
        <v>2110</v>
      </c>
      <c r="K457" s="2">
        <f>IF('mpi_dataset_summary_2017-2024'!$G457=2024,1,0)</f>
        <v>0</v>
      </c>
      <c r="L457" s="2">
        <f t="shared" si="14"/>
        <v>1</v>
      </c>
      <c r="M457" s="2">
        <v>67</v>
      </c>
      <c r="N457" s="2">
        <f t="shared" si="15"/>
        <v>0.27</v>
      </c>
      <c r="O457" s="2">
        <v>45.230690000000003</v>
      </c>
      <c r="P457" s="2">
        <v>-74.083292999999998</v>
      </c>
      <c r="Q457" s="2" t="s">
        <v>2108</v>
      </c>
      <c r="R457" s="3" t="s">
        <v>41</v>
      </c>
      <c r="S457" s="2" t="s">
        <v>25</v>
      </c>
      <c r="T457" s="2" t="s">
        <v>46</v>
      </c>
    </row>
    <row r="458" spans="1:20" x14ac:dyDescent="0.2">
      <c r="A458" s="2">
        <v>1049</v>
      </c>
      <c r="B458" s="2" t="s">
        <v>872</v>
      </c>
      <c r="C458" s="2" t="s">
        <v>880</v>
      </c>
      <c r="D458" s="2" t="s">
        <v>89</v>
      </c>
      <c r="E458" s="2" t="s">
        <v>43</v>
      </c>
      <c r="F458" s="2">
        <v>2017</v>
      </c>
      <c r="G458" s="2">
        <v>2024</v>
      </c>
      <c r="H458" s="2">
        <f>'mpi_dataset_summary_2017-2024'!$G458-'mpi_dataset_summary_2017-2024'!$F458+1</f>
        <v>8</v>
      </c>
      <c r="I458" s="2" t="s">
        <v>2112</v>
      </c>
      <c r="J458" s="2" t="s">
        <v>2112</v>
      </c>
      <c r="K458" s="2">
        <f>IF('mpi_dataset_summary_2017-2024'!$G458=2024,1,0)</f>
        <v>1</v>
      </c>
      <c r="L458" s="2">
        <f t="shared" si="14"/>
        <v>0</v>
      </c>
      <c r="M458" s="2">
        <v>22</v>
      </c>
      <c r="N458" s="2">
        <f t="shared" si="15"/>
        <v>0.109</v>
      </c>
      <c r="O458" s="2">
        <v>48.726388900000003</v>
      </c>
      <c r="P458" s="2">
        <v>-69.092777799999993</v>
      </c>
      <c r="Q458" s="2" t="s">
        <v>2108</v>
      </c>
      <c r="R458" s="3" t="s">
        <v>24</v>
      </c>
      <c r="S458" s="2" t="s">
        <v>25</v>
      </c>
      <c r="T458" s="2" t="s">
        <v>26</v>
      </c>
    </row>
    <row r="459" spans="1:20" x14ac:dyDescent="0.2">
      <c r="A459" s="2">
        <v>1050</v>
      </c>
      <c r="B459" s="2" t="s">
        <v>881</v>
      </c>
      <c r="C459" s="2" t="s">
        <v>882</v>
      </c>
      <c r="D459" s="2" t="s">
        <v>89</v>
      </c>
      <c r="E459" s="2" t="s">
        <v>20</v>
      </c>
      <c r="F459" s="2">
        <v>2017</v>
      </c>
      <c r="G459" s="2">
        <v>2024</v>
      </c>
      <c r="H459" s="2">
        <f>'mpi_dataset_summary_2017-2024'!$G459-'mpi_dataset_summary_2017-2024'!$F459+1</f>
        <v>8</v>
      </c>
      <c r="I459" s="2" t="s">
        <v>2112</v>
      </c>
      <c r="J459" s="2" t="s">
        <v>2112</v>
      </c>
      <c r="K459" s="2">
        <f>IF('mpi_dataset_summary_2017-2024'!$G459=2024,1,0)</f>
        <v>1</v>
      </c>
      <c r="L459" s="2">
        <f t="shared" si="14"/>
        <v>0</v>
      </c>
      <c r="M459" s="2">
        <v>100</v>
      </c>
      <c r="N459" s="2">
        <f t="shared" si="15"/>
        <v>0.34300000000000003</v>
      </c>
      <c r="O459" s="2">
        <v>47.3812</v>
      </c>
      <c r="P459" s="2">
        <v>-73.572699999999998</v>
      </c>
      <c r="Q459" s="2" t="s">
        <v>2108</v>
      </c>
      <c r="R459" s="3" t="s">
        <v>24</v>
      </c>
      <c r="S459" s="2" t="s">
        <v>25</v>
      </c>
      <c r="T459" s="2" t="s">
        <v>26</v>
      </c>
    </row>
    <row r="460" spans="1:20" x14ac:dyDescent="0.2">
      <c r="A460" s="2">
        <v>1051</v>
      </c>
      <c r="B460" s="2" t="s">
        <v>883</v>
      </c>
      <c r="C460" s="2" t="s">
        <v>884</v>
      </c>
      <c r="D460" s="2" t="s">
        <v>83</v>
      </c>
      <c r="E460" s="2" t="s">
        <v>20</v>
      </c>
      <c r="F460" s="2">
        <v>2017</v>
      </c>
      <c r="G460" s="2">
        <v>2024</v>
      </c>
      <c r="H460" s="2">
        <f>'mpi_dataset_summary_2017-2024'!$G460-'mpi_dataset_summary_2017-2024'!$F460+1</f>
        <v>8</v>
      </c>
      <c r="I460" s="2" t="s">
        <v>2113</v>
      </c>
      <c r="J460" s="2" t="s">
        <v>2113</v>
      </c>
      <c r="K460" s="2">
        <f>IF('mpi_dataset_summary_2017-2024'!$G460=2024,1,0)</f>
        <v>1</v>
      </c>
      <c r="L460" s="2">
        <f t="shared" si="14"/>
        <v>0</v>
      </c>
      <c r="M460" s="2">
        <v>250</v>
      </c>
      <c r="N460" s="2">
        <f t="shared" si="15"/>
        <v>0.53500000000000003</v>
      </c>
      <c r="O460" s="2" t="s">
        <v>2114</v>
      </c>
      <c r="P460" s="2" t="s">
        <v>2114</v>
      </c>
      <c r="Q460" s="2" t="s">
        <v>2107</v>
      </c>
      <c r="R460" s="3" t="s">
        <v>29</v>
      </c>
      <c r="S460" s="2" t="s">
        <v>22</v>
      </c>
      <c r="T460" s="2" t="s">
        <v>30</v>
      </c>
    </row>
    <row r="461" spans="1:20" x14ac:dyDescent="0.2">
      <c r="A461" s="2">
        <v>1052</v>
      </c>
      <c r="B461" s="2" t="s">
        <v>885</v>
      </c>
      <c r="C461" s="2" t="s">
        <v>886</v>
      </c>
      <c r="D461" s="2" t="s">
        <v>83</v>
      </c>
      <c r="E461" s="2" t="s">
        <v>20</v>
      </c>
      <c r="F461" s="2">
        <v>2017</v>
      </c>
      <c r="G461" s="2">
        <v>2023</v>
      </c>
      <c r="H461" s="2">
        <f>'mpi_dataset_summary_2017-2024'!$G461-'mpi_dataset_summary_2017-2024'!$F461+1</f>
        <v>7</v>
      </c>
      <c r="I461" s="2" t="s">
        <v>2112</v>
      </c>
      <c r="J461" s="2" t="s">
        <v>2110</v>
      </c>
      <c r="K461" s="2">
        <f>IF('mpi_dataset_summary_2017-2024'!$G461=2024,1,0)</f>
        <v>0</v>
      </c>
      <c r="L461" s="2">
        <f t="shared" si="14"/>
        <v>1</v>
      </c>
      <c r="M461" s="2">
        <v>100</v>
      </c>
      <c r="N461" s="2">
        <f t="shared" si="15"/>
        <v>0.34300000000000003</v>
      </c>
      <c r="O461" s="2">
        <v>54.949809999999999</v>
      </c>
      <c r="P461" s="2">
        <v>-67.169372999999993</v>
      </c>
      <c r="Q461" s="2" t="s">
        <v>2107</v>
      </c>
      <c r="R461" s="3" t="s">
        <v>29</v>
      </c>
      <c r="S461" s="2" t="s">
        <v>22</v>
      </c>
      <c r="T461" s="2" t="s">
        <v>30</v>
      </c>
    </row>
    <row r="462" spans="1:20" x14ac:dyDescent="0.2">
      <c r="A462" s="2">
        <v>1053</v>
      </c>
      <c r="B462" s="2" t="s">
        <v>256</v>
      </c>
      <c r="C462" s="2" t="s">
        <v>887</v>
      </c>
      <c r="D462" s="2" t="s">
        <v>258</v>
      </c>
      <c r="E462" s="2" t="s">
        <v>43</v>
      </c>
      <c r="F462" s="2">
        <v>2017</v>
      </c>
      <c r="G462" s="2">
        <v>2017</v>
      </c>
      <c r="H462" s="2">
        <f>'mpi_dataset_summary_2017-2024'!$G462-'mpi_dataset_summary_2017-2024'!$F462+1</f>
        <v>1</v>
      </c>
      <c r="I462" s="2" t="s">
        <v>2112</v>
      </c>
      <c r="J462" s="2" t="s">
        <v>2112</v>
      </c>
      <c r="K462" s="2">
        <f>IF('mpi_dataset_summary_2017-2024'!$G462=2024,1,0)</f>
        <v>0</v>
      </c>
      <c r="L462" s="2">
        <f t="shared" si="14"/>
        <v>0</v>
      </c>
      <c r="M462" s="2">
        <v>65</v>
      </c>
      <c r="N462" s="2">
        <f t="shared" si="15"/>
        <v>0.26400000000000001</v>
      </c>
      <c r="O462" s="2" t="s">
        <v>2114</v>
      </c>
      <c r="P462" s="2" t="s">
        <v>2114</v>
      </c>
      <c r="Q462" s="2" t="s">
        <v>2108</v>
      </c>
      <c r="R462" s="3" t="s">
        <v>41</v>
      </c>
      <c r="S462" s="2" t="s">
        <v>25</v>
      </c>
      <c r="T462" s="2" t="s">
        <v>46</v>
      </c>
    </row>
    <row r="463" spans="1:20" x14ac:dyDescent="0.2">
      <c r="A463" s="2">
        <v>1056</v>
      </c>
      <c r="B463" s="2" t="s">
        <v>888</v>
      </c>
      <c r="C463" s="2" t="s">
        <v>889</v>
      </c>
      <c r="D463" s="2" t="s">
        <v>89</v>
      </c>
      <c r="E463" s="2" t="s">
        <v>20</v>
      </c>
      <c r="F463" s="2">
        <v>2017</v>
      </c>
      <c r="G463" s="2">
        <v>2023</v>
      </c>
      <c r="H463" s="2">
        <f>'mpi_dataset_summary_2017-2024'!$G463-'mpi_dataset_summary_2017-2024'!$F463+1</f>
        <v>7</v>
      </c>
      <c r="I463" s="2" t="s">
        <v>2111</v>
      </c>
      <c r="J463" s="2" t="s">
        <v>2111</v>
      </c>
      <c r="K463" s="2">
        <f>IF('mpi_dataset_summary_2017-2024'!$G463=2024,1,0)</f>
        <v>0</v>
      </c>
      <c r="L463" s="2">
        <f t="shared" si="14"/>
        <v>0</v>
      </c>
      <c r="M463" s="2">
        <v>1200</v>
      </c>
      <c r="N463" s="2">
        <f t="shared" si="15"/>
        <v>0.82899999999999996</v>
      </c>
      <c r="O463" s="2">
        <v>47.438389999999998</v>
      </c>
      <c r="P463" s="2">
        <v>-72.783938000000006</v>
      </c>
      <c r="Q463" s="2" t="s">
        <v>2109</v>
      </c>
      <c r="R463" s="3" t="s">
        <v>41</v>
      </c>
      <c r="S463" s="2" t="s">
        <v>25</v>
      </c>
      <c r="T463" s="2" t="s">
        <v>57</v>
      </c>
    </row>
    <row r="464" spans="1:20" x14ac:dyDescent="0.2">
      <c r="A464" s="2">
        <v>1057</v>
      </c>
      <c r="B464" s="2" t="s">
        <v>890</v>
      </c>
      <c r="C464" s="2" t="s">
        <v>891</v>
      </c>
      <c r="D464" s="2" t="s">
        <v>69</v>
      </c>
      <c r="E464" s="2" t="s">
        <v>20</v>
      </c>
      <c r="F464" s="2">
        <v>2017</v>
      </c>
      <c r="G464" s="2">
        <v>2024</v>
      </c>
      <c r="H464" s="2">
        <f>'mpi_dataset_summary_2017-2024'!$G464-'mpi_dataset_summary_2017-2024'!$F464+1</f>
        <v>8</v>
      </c>
      <c r="I464" s="2" t="s">
        <v>2111</v>
      </c>
      <c r="J464" s="2" t="s">
        <v>2111</v>
      </c>
      <c r="K464" s="2">
        <f>IF('mpi_dataset_summary_2017-2024'!$G464=2024,1,0)</f>
        <v>1</v>
      </c>
      <c r="L464" s="2">
        <f t="shared" si="14"/>
        <v>0</v>
      </c>
      <c r="M464" s="2">
        <v>12720</v>
      </c>
      <c r="N464" s="2">
        <f t="shared" si="15"/>
        <v>0.98299999999999998</v>
      </c>
      <c r="O464" s="2">
        <v>53.952896299999999</v>
      </c>
      <c r="P464" s="2">
        <v>-128.72259399999999</v>
      </c>
      <c r="Q464" s="2" t="s">
        <v>2108</v>
      </c>
      <c r="R464" s="3" t="s">
        <v>37</v>
      </c>
      <c r="S464" s="2" t="s">
        <v>22</v>
      </c>
      <c r="T464" s="2" t="s">
        <v>38</v>
      </c>
    </row>
    <row r="465" spans="1:20" x14ac:dyDescent="0.2">
      <c r="A465" s="2">
        <v>1058</v>
      </c>
      <c r="B465" s="2" t="s">
        <v>892</v>
      </c>
      <c r="C465" s="2" t="s">
        <v>893</v>
      </c>
      <c r="D465" s="2" t="s">
        <v>161</v>
      </c>
      <c r="E465" s="2" t="s">
        <v>20</v>
      </c>
      <c r="F465" s="2">
        <v>2017</v>
      </c>
      <c r="G465" s="2">
        <v>2020</v>
      </c>
      <c r="H465" s="2">
        <f>'mpi_dataset_summary_2017-2024'!$G465-'mpi_dataset_summary_2017-2024'!$F465+1</f>
        <v>4</v>
      </c>
      <c r="I465" s="2" t="s">
        <v>2111</v>
      </c>
      <c r="J465" s="2" t="s">
        <v>2111</v>
      </c>
      <c r="K465" s="2">
        <f>IF('mpi_dataset_summary_2017-2024'!$G465=2024,1,0)</f>
        <v>0</v>
      </c>
      <c r="L465" s="2">
        <f t="shared" si="14"/>
        <v>0</v>
      </c>
      <c r="M465" s="2">
        <v>73</v>
      </c>
      <c r="N465" s="2">
        <f t="shared" si="15"/>
        <v>0.28599999999999998</v>
      </c>
      <c r="O465" s="2">
        <v>44.709294</v>
      </c>
      <c r="P465" s="2">
        <v>-75.518972000000005</v>
      </c>
      <c r="Q465" s="2" t="s">
        <v>2109</v>
      </c>
      <c r="R465" s="3" t="s">
        <v>41</v>
      </c>
      <c r="S465" s="2" t="s">
        <v>25</v>
      </c>
      <c r="T465" s="2" t="s">
        <v>57</v>
      </c>
    </row>
    <row r="466" spans="1:20" x14ac:dyDescent="0.2">
      <c r="A466" s="2">
        <v>1060</v>
      </c>
      <c r="B466" s="2" t="s">
        <v>894</v>
      </c>
      <c r="C466" s="2" t="s">
        <v>893</v>
      </c>
      <c r="D466" s="2" t="s">
        <v>66</v>
      </c>
      <c r="E466" s="2" t="s">
        <v>20</v>
      </c>
      <c r="F466" s="2">
        <v>2017</v>
      </c>
      <c r="G466" s="2">
        <v>2017</v>
      </c>
      <c r="H466" s="2">
        <f>'mpi_dataset_summary_2017-2024'!$G466-'mpi_dataset_summary_2017-2024'!$F466+1</f>
        <v>1</v>
      </c>
      <c r="I466" s="2" t="s">
        <v>2110</v>
      </c>
      <c r="J466" s="2" t="s">
        <v>2110</v>
      </c>
      <c r="K466" s="2">
        <f>IF('mpi_dataset_summary_2017-2024'!$G466=2024,1,0)</f>
        <v>0</v>
      </c>
      <c r="L466" s="2">
        <f t="shared" si="14"/>
        <v>1</v>
      </c>
      <c r="M466" s="2">
        <v>85</v>
      </c>
      <c r="N466" s="2">
        <f t="shared" si="15"/>
        <v>0.318</v>
      </c>
      <c r="O466" s="2">
        <v>53.598751</v>
      </c>
      <c r="P466" s="2">
        <v>-114.97372</v>
      </c>
      <c r="Q466" s="2" t="s">
        <v>2109</v>
      </c>
      <c r="R466" s="3" t="s">
        <v>41</v>
      </c>
      <c r="S466" s="2" t="s">
        <v>25</v>
      </c>
      <c r="T466" s="2" t="s">
        <v>57</v>
      </c>
    </row>
    <row r="467" spans="1:20" x14ac:dyDescent="0.2">
      <c r="A467" s="2">
        <v>1061</v>
      </c>
      <c r="B467" s="2" t="s">
        <v>895</v>
      </c>
      <c r="C467" s="2" t="s">
        <v>896</v>
      </c>
      <c r="D467" s="2" t="s">
        <v>89</v>
      </c>
      <c r="E467" s="2" t="s">
        <v>20</v>
      </c>
      <c r="F467" s="2">
        <v>2017</v>
      </c>
      <c r="G467" s="2">
        <v>2022</v>
      </c>
      <c r="H467" s="2">
        <f>'mpi_dataset_summary_2017-2024'!$G467-'mpi_dataset_summary_2017-2024'!$F467+1</f>
        <v>6</v>
      </c>
      <c r="I467" s="2" t="s">
        <v>2111</v>
      </c>
      <c r="J467" s="2" t="s">
        <v>2111</v>
      </c>
      <c r="K467" s="2">
        <f>IF('mpi_dataset_summary_2017-2024'!$G467=2024,1,0)</f>
        <v>0</v>
      </c>
      <c r="L467" s="2">
        <f t="shared" si="14"/>
        <v>0</v>
      </c>
      <c r="M467" s="2">
        <v>136</v>
      </c>
      <c r="N467" s="2">
        <f t="shared" si="15"/>
        <v>0.42099999999999999</v>
      </c>
      <c r="O467" s="2">
        <v>46.718738999999999</v>
      </c>
      <c r="P467" s="2">
        <v>-79.101878999999997</v>
      </c>
      <c r="Q467" s="2" t="s">
        <v>2109</v>
      </c>
      <c r="R467" s="3" t="s">
        <v>58</v>
      </c>
      <c r="S467" s="2" t="s">
        <v>22</v>
      </c>
      <c r="T467" s="2" t="s">
        <v>59</v>
      </c>
    </row>
    <row r="468" spans="1:20" x14ac:dyDescent="0.2">
      <c r="A468" s="2">
        <v>1062</v>
      </c>
      <c r="B468" s="2" t="s">
        <v>897</v>
      </c>
      <c r="C468" s="2" t="s">
        <v>898</v>
      </c>
      <c r="D468" s="2" t="s">
        <v>89</v>
      </c>
      <c r="E468" s="2" t="s">
        <v>20</v>
      </c>
      <c r="F468" s="2">
        <v>2017</v>
      </c>
      <c r="G468" s="2">
        <v>2017</v>
      </c>
      <c r="H468" s="2">
        <f>'mpi_dataset_summary_2017-2024'!$G468-'mpi_dataset_summary_2017-2024'!$F468+1</f>
        <v>1</v>
      </c>
      <c r="I468" s="2" t="s">
        <v>2112</v>
      </c>
      <c r="J468" s="2" t="s">
        <v>2112</v>
      </c>
      <c r="K468" s="2">
        <f>IF('mpi_dataset_summary_2017-2024'!$G468=2024,1,0)</f>
        <v>0</v>
      </c>
      <c r="L468" s="2">
        <f t="shared" si="14"/>
        <v>0</v>
      </c>
      <c r="M468" s="2">
        <v>16</v>
      </c>
      <c r="N468" s="2">
        <f t="shared" si="15"/>
        <v>7.9000000000000001E-2</v>
      </c>
      <c r="O468" s="2">
        <v>46.889946999999999</v>
      </c>
      <c r="P468" s="2">
        <v>-71.518663000000004</v>
      </c>
      <c r="Q468" s="2" t="s">
        <v>2108</v>
      </c>
      <c r="R468" s="3" t="s">
        <v>24</v>
      </c>
      <c r="S468" s="2" t="s">
        <v>25</v>
      </c>
      <c r="T468" s="2" t="s">
        <v>26</v>
      </c>
    </row>
    <row r="469" spans="1:20" x14ac:dyDescent="0.2">
      <c r="A469" s="2">
        <v>1063</v>
      </c>
      <c r="B469" s="2" t="s">
        <v>899</v>
      </c>
      <c r="C469" s="2" t="s">
        <v>900</v>
      </c>
      <c r="D469" s="2" t="s">
        <v>126</v>
      </c>
      <c r="E469" s="2" t="s">
        <v>20</v>
      </c>
      <c r="F469" s="2">
        <v>2017</v>
      </c>
      <c r="G469" s="2">
        <v>2024</v>
      </c>
      <c r="H469" s="2">
        <f>'mpi_dataset_summary_2017-2024'!$G469-'mpi_dataset_summary_2017-2024'!$F469+1</f>
        <v>8</v>
      </c>
      <c r="I469" s="2" t="s">
        <v>2111</v>
      </c>
      <c r="J469" s="2" t="s">
        <v>2110</v>
      </c>
      <c r="K469" s="2">
        <f>IF('mpi_dataset_summary_2017-2024'!$G469=2024,1,0)</f>
        <v>1</v>
      </c>
      <c r="L469" s="2">
        <f t="shared" si="14"/>
        <v>1</v>
      </c>
      <c r="M469" s="2">
        <v>2275</v>
      </c>
      <c r="N469" s="2">
        <f t="shared" si="15"/>
        <v>0.90500000000000003</v>
      </c>
      <c r="O469" s="2">
        <v>61.443072999999998</v>
      </c>
      <c r="P469" s="2">
        <v>-112.71444099999999</v>
      </c>
      <c r="Q469" s="2" t="s">
        <v>2108</v>
      </c>
      <c r="R469" s="3" t="s">
        <v>24</v>
      </c>
      <c r="S469" s="2" t="s">
        <v>25</v>
      </c>
      <c r="T469" s="2" t="s">
        <v>26</v>
      </c>
    </row>
    <row r="470" spans="1:20" x14ac:dyDescent="0.2">
      <c r="A470" s="2">
        <v>1066</v>
      </c>
      <c r="B470" s="2" t="s">
        <v>170</v>
      </c>
      <c r="C470" s="2" t="s">
        <v>901</v>
      </c>
      <c r="D470" s="2" t="s">
        <v>161</v>
      </c>
      <c r="E470" s="2" t="s">
        <v>20</v>
      </c>
      <c r="F470" s="2">
        <v>2017</v>
      </c>
      <c r="G470" s="2">
        <v>2017</v>
      </c>
      <c r="H470" s="2">
        <f>'mpi_dataset_summary_2017-2024'!$G470-'mpi_dataset_summary_2017-2024'!$F470+1</f>
        <v>1</v>
      </c>
      <c r="I470" s="2" t="s">
        <v>2113</v>
      </c>
      <c r="J470" s="2" t="s">
        <v>2113</v>
      </c>
      <c r="K470" s="2">
        <f>IF('mpi_dataset_summary_2017-2024'!$G470=2024,1,0)</f>
        <v>0</v>
      </c>
      <c r="L470" s="2">
        <f t="shared" si="14"/>
        <v>0</v>
      </c>
      <c r="M470" s="2">
        <v>219</v>
      </c>
      <c r="N470" s="2">
        <f t="shared" si="15"/>
        <v>0.51800000000000002</v>
      </c>
      <c r="O470" s="2">
        <v>43.252361000000001</v>
      </c>
      <c r="P470" s="2">
        <v>-79.830082000000004</v>
      </c>
      <c r="Q470" s="2" t="s">
        <v>2108</v>
      </c>
      <c r="R470" s="3" t="s">
        <v>35</v>
      </c>
      <c r="S470" s="2" t="s">
        <v>22</v>
      </c>
      <c r="T470" s="2" t="s">
        <v>36</v>
      </c>
    </row>
    <row r="471" spans="1:20" x14ac:dyDescent="0.2">
      <c r="A471" s="2">
        <v>1067</v>
      </c>
      <c r="B471" s="2" t="s">
        <v>902</v>
      </c>
      <c r="C471" s="2" t="s">
        <v>903</v>
      </c>
      <c r="D471" s="2" t="s">
        <v>89</v>
      </c>
      <c r="E471" s="2" t="s">
        <v>20</v>
      </c>
      <c r="F471" s="2">
        <v>2017</v>
      </c>
      <c r="G471" s="2">
        <v>2024</v>
      </c>
      <c r="H471" s="2">
        <f>'mpi_dataset_summary_2017-2024'!$G471-'mpi_dataset_summary_2017-2024'!$F471+1</f>
        <v>8</v>
      </c>
      <c r="I471" s="2" t="s">
        <v>2111</v>
      </c>
      <c r="J471" s="2" t="s">
        <v>2112</v>
      </c>
      <c r="K471" s="2">
        <f>IF('mpi_dataset_summary_2017-2024'!$G471=2024,1,0)</f>
        <v>1</v>
      </c>
      <c r="L471" s="2">
        <f t="shared" si="14"/>
        <v>0</v>
      </c>
      <c r="M471" s="2">
        <v>223</v>
      </c>
      <c r="N471" s="2">
        <f t="shared" si="15"/>
        <v>0.52</v>
      </c>
      <c r="O471" s="2">
        <v>48.400581000000003</v>
      </c>
      <c r="P471" s="2">
        <v>-78.257357999999996</v>
      </c>
      <c r="Q471" s="2" t="s">
        <v>2107</v>
      </c>
      <c r="R471" s="3" t="s">
        <v>41</v>
      </c>
      <c r="S471" s="2" t="s">
        <v>22</v>
      </c>
      <c r="T471" s="2" t="s">
        <v>42</v>
      </c>
    </row>
    <row r="472" spans="1:20" x14ac:dyDescent="0.2">
      <c r="A472" s="2">
        <v>1072</v>
      </c>
      <c r="B472" s="2" t="s">
        <v>904</v>
      </c>
      <c r="C472" s="2" t="s">
        <v>905</v>
      </c>
      <c r="D472" s="2" t="s">
        <v>110</v>
      </c>
      <c r="E472" s="2" t="s">
        <v>20</v>
      </c>
      <c r="F472" s="2">
        <v>2017</v>
      </c>
      <c r="G472" s="2">
        <v>2018</v>
      </c>
      <c r="H472" s="2">
        <f>'mpi_dataset_summary_2017-2024'!$G472-'mpi_dataset_summary_2017-2024'!$F472+1</f>
        <v>2</v>
      </c>
      <c r="I472" s="2" t="s">
        <v>2110</v>
      </c>
      <c r="J472" s="2" t="s">
        <v>2110</v>
      </c>
      <c r="K472" s="2">
        <f>IF('mpi_dataset_summary_2017-2024'!$G472=2024,1,0)</f>
        <v>0</v>
      </c>
      <c r="L472" s="2">
        <f t="shared" si="14"/>
        <v>1</v>
      </c>
      <c r="M472" s="2">
        <v>180</v>
      </c>
      <c r="N472" s="2">
        <f t="shared" si="15"/>
        <v>0.47499999999999998</v>
      </c>
      <c r="O472" s="2">
        <v>53.717275000000001</v>
      </c>
      <c r="P472" s="2">
        <v>-109.997613</v>
      </c>
      <c r="Q472" s="2" t="s">
        <v>2108</v>
      </c>
      <c r="R472" s="3" t="s">
        <v>41</v>
      </c>
      <c r="S472" s="2" t="s">
        <v>25</v>
      </c>
      <c r="T472" s="2" t="s">
        <v>46</v>
      </c>
    </row>
    <row r="473" spans="1:20" x14ac:dyDescent="0.2">
      <c r="A473" s="2">
        <v>1073</v>
      </c>
      <c r="B473" s="2" t="s">
        <v>211</v>
      </c>
      <c r="C473" s="2" t="s">
        <v>906</v>
      </c>
      <c r="D473" s="2" t="s">
        <v>110</v>
      </c>
      <c r="E473" s="2" t="s">
        <v>20</v>
      </c>
      <c r="F473" s="2">
        <v>2017</v>
      </c>
      <c r="G473" s="2">
        <v>2019</v>
      </c>
      <c r="H473" s="2">
        <f>'mpi_dataset_summary_2017-2024'!$G473-'mpi_dataset_summary_2017-2024'!$F473+1</f>
        <v>3</v>
      </c>
      <c r="I473" s="2" t="s">
        <v>2110</v>
      </c>
      <c r="J473" s="2" t="s">
        <v>2110</v>
      </c>
      <c r="K473" s="2">
        <f>IF('mpi_dataset_summary_2017-2024'!$G473=2024,1,0)</f>
        <v>0</v>
      </c>
      <c r="L473" s="2">
        <f t="shared" si="14"/>
        <v>1</v>
      </c>
      <c r="M473" s="2">
        <v>0</v>
      </c>
      <c r="N473" s="2">
        <f t="shared" si="15"/>
        <v>0</v>
      </c>
      <c r="O473" s="2" t="s">
        <v>2114</v>
      </c>
      <c r="P473" s="2" t="s">
        <v>2114</v>
      </c>
      <c r="Q473" s="2" t="s">
        <v>2108</v>
      </c>
      <c r="R473" s="3" t="s">
        <v>24</v>
      </c>
      <c r="S473" s="2" t="s">
        <v>25</v>
      </c>
      <c r="T473" s="2" t="s">
        <v>26</v>
      </c>
    </row>
    <row r="474" spans="1:20" x14ac:dyDescent="0.2">
      <c r="A474" s="2">
        <v>1074</v>
      </c>
      <c r="B474" s="2" t="s">
        <v>907</v>
      </c>
      <c r="C474" s="2" t="s">
        <v>908</v>
      </c>
      <c r="D474" s="2" t="s">
        <v>66</v>
      </c>
      <c r="E474" s="2" t="s">
        <v>20</v>
      </c>
      <c r="F474" s="2">
        <v>2017</v>
      </c>
      <c r="G474" s="2">
        <v>2022</v>
      </c>
      <c r="H474" s="2">
        <f>'mpi_dataset_summary_2017-2024'!$G474-'mpi_dataset_summary_2017-2024'!$F474+1</f>
        <v>6</v>
      </c>
      <c r="I474" s="2" t="s">
        <v>2113</v>
      </c>
      <c r="J474" s="2" t="s">
        <v>2113</v>
      </c>
      <c r="K474" s="2">
        <f>IF('mpi_dataset_summary_2017-2024'!$G474=2024,1,0)</f>
        <v>0</v>
      </c>
      <c r="L474" s="2">
        <f t="shared" si="14"/>
        <v>0</v>
      </c>
      <c r="M474" s="2">
        <v>0</v>
      </c>
      <c r="N474" s="2">
        <f t="shared" si="15"/>
        <v>0</v>
      </c>
      <c r="O474" s="2" t="s">
        <v>2114</v>
      </c>
      <c r="P474" s="2" t="s">
        <v>2114</v>
      </c>
      <c r="Q474" s="2" t="s">
        <v>2108</v>
      </c>
      <c r="R474" s="3" t="s">
        <v>39</v>
      </c>
      <c r="S474" s="2" t="s">
        <v>22</v>
      </c>
      <c r="T474" s="2" t="s">
        <v>40</v>
      </c>
    </row>
    <row r="475" spans="1:20" x14ac:dyDescent="0.2">
      <c r="A475" s="2">
        <v>1076</v>
      </c>
      <c r="B475" s="2" t="s">
        <v>909</v>
      </c>
      <c r="C475" s="2" t="s">
        <v>729</v>
      </c>
      <c r="D475" s="2" t="s">
        <v>66</v>
      </c>
      <c r="E475" s="2" t="s">
        <v>20</v>
      </c>
      <c r="F475" s="2">
        <v>2017</v>
      </c>
      <c r="G475" s="2">
        <v>2022</v>
      </c>
      <c r="H475" s="2">
        <f>'mpi_dataset_summary_2017-2024'!$G475-'mpi_dataset_summary_2017-2024'!$F475+1</f>
        <v>6</v>
      </c>
      <c r="I475" s="2" t="s">
        <v>2113</v>
      </c>
      <c r="J475" s="2" t="s">
        <v>2113</v>
      </c>
      <c r="K475" s="2">
        <f>IF('mpi_dataset_summary_2017-2024'!$G475=2024,1,0)</f>
        <v>0</v>
      </c>
      <c r="L475" s="2">
        <f t="shared" si="14"/>
        <v>0</v>
      </c>
      <c r="M475" s="2">
        <v>0</v>
      </c>
      <c r="N475" s="2">
        <f t="shared" si="15"/>
        <v>0</v>
      </c>
      <c r="O475" s="2" t="s">
        <v>2114</v>
      </c>
      <c r="P475" s="2" t="s">
        <v>2114</v>
      </c>
      <c r="Q475" s="2" t="s">
        <v>2108</v>
      </c>
      <c r="R475" s="3" t="s">
        <v>39</v>
      </c>
      <c r="S475" s="2" t="s">
        <v>22</v>
      </c>
      <c r="T475" s="2" t="s">
        <v>40</v>
      </c>
    </row>
    <row r="476" spans="1:20" x14ac:dyDescent="0.2">
      <c r="A476" s="2">
        <v>1077</v>
      </c>
      <c r="B476" s="2" t="s">
        <v>675</v>
      </c>
      <c r="C476" s="2" t="s">
        <v>910</v>
      </c>
      <c r="D476" s="2" t="s">
        <v>66</v>
      </c>
      <c r="E476" s="2" t="s">
        <v>20</v>
      </c>
      <c r="F476" s="2">
        <v>2017</v>
      </c>
      <c r="G476" s="2">
        <v>2024</v>
      </c>
      <c r="H476" s="2">
        <f>'mpi_dataset_summary_2017-2024'!$G476-'mpi_dataset_summary_2017-2024'!$F476+1</f>
        <v>8</v>
      </c>
      <c r="I476" s="2" t="s">
        <v>2113</v>
      </c>
      <c r="J476" s="2" t="s">
        <v>2113</v>
      </c>
      <c r="K476" s="2">
        <f>IF('mpi_dataset_summary_2017-2024'!$G476=2024,1,0)</f>
        <v>1</v>
      </c>
      <c r="L476" s="2">
        <f t="shared" si="14"/>
        <v>0</v>
      </c>
      <c r="M476" s="2">
        <v>900</v>
      </c>
      <c r="N476" s="2">
        <f t="shared" si="15"/>
        <v>0.79400000000000004</v>
      </c>
      <c r="O476" s="2">
        <v>55.576422999999998</v>
      </c>
      <c r="P476" s="2">
        <v>-110.89740999999999</v>
      </c>
      <c r="Q476" s="2" t="s">
        <v>2108</v>
      </c>
      <c r="R476" s="3" t="s">
        <v>41</v>
      </c>
      <c r="S476" s="2" t="s">
        <v>25</v>
      </c>
      <c r="T476" s="2" t="s">
        <v>46</v>
      </c>
    </row>
    <row r="477" spans="1:20" x14ac:dyDescent="0.2">
      <c r="A477" s="2">
        <v>1078</v>
      </c>
      <c r="B477" s="2" t="s">
        <v>911</v>
      </c>
      <c r="C477" s="2" t="s">
        <v>912</v>
      </c>
      <c r="D477" s="2" t="s">
        <v>66</v>
      </c>
      <c r="E477" s="2" t="s">
        <v>20</v>
      </c>
      <c r="F477" s="2">
        <v>2017</v>
      </c>
      <c r="G477" s="2">
        <v>2023</v>
      </c>
      <c r="H477" s="2">
        <f>'mpi_dataset_summary_2017-2024'!$G477-'mpi_dataset_summary_2017-2024'!$F477+1</f>
        <v>7</v>
      </c>
      <c r="I477" s="2" t="s">
        <v>2113</v>
      </c>
      <c r="J477" s="2" t="s">
        <v>2113</v>
      </c>
      <c r="K477" s="2">
        <f>IF('mpi_dataset_summary_2017-2024'!$G477=2024,1,0)</f>
        <v>0</v>
      </c>
      <c r="L477" s="2">
        <f t="shared" si="14"/>
        <v>0</v>
      </c>
      <c r="M477" s="2">
        <v>2000</v>
      </c>
      <c r="N477" s="2">
        <f t="shared" si="15"/>
        <v>0.89400000000000002</v>
      </c>
      <c r="O477" s="2">
        <v>56.738016000000002</v>
      </c>
      <c r="P477" s="2">
        <v>-111.380025</v>
      </c>
      <c r="Q477" s="2" t="s">
        <v>2108</v>
      </c>
      <c r="R477" s="3" t="s">
        <v>39</v>
      </c>
      <c r="S477" s="2" t="s">
        <v>22</v>
      </c>
      <c r="T477" s="2" t="s">
        <v>40</v>
      </c>
    </row>
    <row r="478" spans="1:20" x14ac:dyDescent="0.2">
      <c r="A478" s="2">
        <v>1079</v>
      </c>
      <c r="B478" s="2" t="s">
        <v>913</v>
      </c>
      <c r="C478" s="2" t="s">
        <v>914</v>
      </c>
      <c r="D478" s="2" t="s">
        <v>66</v>
      </c>
      <c r="E478" s="2" t="s">
        <v>20</v>
      </c>
      <c r="F478" s="2">
        <v>2017</v>
      </c>
      <c r="G478" s="2">
        <v>2024</v>
      </c>
      <c r="H478" s="2">
        <f>'mpi_dataset_summary_2017-2024'!$G478-'mpi_dataset_summary_2017-2024'!$F478+1</f>
        <v>8</v>
      </c>
      <c r="I478" s="2" t="s">
        <v>2113</v>
      </c>
      <c r="J478" s="2" t="s">
        <v>2113</v>
      </c>
      <c r="K478" s="2">
        <f>IF('mpi_dataset_summary_2017-2024'!$G478=2024,1,0)</f>
        <v>1</v>
      </c>
      <c r="L478" s="2">
        <f t="shared" si="14"/>
        <v>0</v>
      </c>
      <c r="M478" s="2">
        <v>1200</v>
      </c>
      <c r="N478" s="2">
        <f t="shared" si="15"/>
        <v>0.82899999999999996</v>
      </c>
      <c r="O478" s="2">
        <v>56.288060000000002</v>
      </c>
      <c r="P478" s="2">
        <v>-111.60423299999999</v>
      </c>
      <c r="Q478" s="2" t="s">
        <v>2108</v>
      </c>
      <c r="R478" s="3" t="s">
        <v>39</v>
      </c>
      <c r="S478" s="2" t="s">
        <v>22</v>
      </c>
      <c r="T478" s="2" t="s">
        <v>40</v>
      </c>
    </row>
    <row r="479" spans="1:20" x14ac:dyDescent="0.2">
      <c r="A479" s="2">
        <v>1080</v>
      </c>
      <c r="B479" s="2" t="s">
        <v>342</v>
      </c>
      <c r="C479" s="2" t="s">
        <v>915</v>
      </c>
      <c r="D479" s="2" t="s">
        <v>66</v>
      </c>
      <c r="E479" s="2" t="s">
        <v>20</v>
      </c>
      <c r="F479" s="2">
        <v>2017</v>
      </c>
      <c r="G479" s="2">
        <v>2022</v>
      </c>
      <c r="H479" s="2">
        <f>'mpi_dataset_summary_2017-2024'!$G479-'mpi_dataset_summary_2017-2024'!$F479+1</f>
        <v>6</v>
      </c>
      <c r="I479" s="2" t="s">
        <v>2113</v>
      </c>
      <c r="J479" s="2" t="s">
        <v>2113</v>
      </c>
      <c r="K479" s="2">
        <f>IF('mpi_dataset_summary_2017-2024'!$G479=2024,1,0)</f>
        <v>0</v>
      </c>
      <c r="L479" s="2">
        <f t="shared" si="14"/>
        <v>0</v>
      </c>
      <c r="M479" s="2">
        <v>0</v>
      </c>
      <c r="N479" s="2">
        <f t="shared" si="15"/>
        <v>0</v>
      </c>
      <c r="O479" s="2" t="s">
        <v>2114</v>
      </c>
      <c r="P479" s="2" t="s">
        <v>2114</v>
      </c>
      <c r="Q479" s="2" t="s">
        <v>2108</v>
      </c>
      <c r="R479" s="3" t="s">
        <v>24</v>
      </c>
      <c r="S479" s="2" t="s">
        <v>25</v>
      </c>
      <c r="T479" s="2" t="s">
        <v>26</v>
      </c>
    </row>
    <row r="480" spans="1:20" x14ac:dyDescent="0.2">
      <c r="A480" s="2">
        <v>1081</v>
      </c>
      <c r="B480" s="2" t="s">
        <v>349</v>
      </c>
      <c r="C480" s="2" t="s">
        <v>916</v>
      </c>
      <c r="D480" s="2" t="s">
        <v>66</v>
      </c>
      <c r="E480" s="2" t="s">
        <v>20</v>
      </c>
      <c r="F480" s="2">
        <v>2017</v>
      </c>
      <c r="G480" s="2">
        <v>2022</v>
      </c>
      <c r="H480" s="2">
        <f>'mpi_dataset_summary_2017-2024'!$G480-'mpi_dataset_summary_2017-2024'!$F480+1</f>
        <v>6</v>
      </c>
      <c r="I480" s="2" t="s">
        <v>2113</v>
      </c>
      <c r="J480" s="2" t="s">
        <v>2113</v>
      </c>
      <c r="K480" s="2">
        <f>IF('mpi_dataset_summary_2017-2024'!$G480=2024,1,0)</f>
        <v>0</v>
      </c>
      <c r="L480" s="2">
        <f t="shared" si="14"/>
        <v>0</v>
      </c>
      <c r="M480" s="2">
        <v>0</v>
      </c>
      <c r="N480" s="2">
        <f t="shared" si="15"/>
        <v>0</v>
      </c>
      <c r="O480" s="2" t="s">
        <v>2114</v>
      </c>
      <c r="P480" s="2" t="s">
        <v>2114</v>
      </c>
      <c r="Q480" s="2" t="s">
        <v>2108</v>
      </c>
      <c r="R480" s="3" t="s">
        <v>27</v>
      </c>
      <c r="S480" s="2" t="s">
        <v>25</v>
      </c>
      <c r="T480" s="2" t="s">
        <v>28</v>
      </c>
    </row>
    <row r="481" spans="1:20" x14ac:dyDescent="0.2">
      <c r="A481" s="2">
        <v>1082</v>
      </c>
      <c r="B481" s="2" t="s">
        <v>675</v>
      </c>
      <c r="C481" s="2" t="s">
        <v>139</v>
      </c>
      <c r="D481" s="2" t="s">
        <v>66</v>
      </c>
      <c r="E481" s="2" t="s">
        <v>20</v>
      </c>
      <c r="F481" s="2">
        <v>2017</v>
      </c>
      <c r="G481" s="2">
        <v>2024</v>
      </c>
      <c r="H481" s="2">
        <f>'mpi_dataset_summary_2017-2024'!$G481-'mpi_dataset_summary_2017-2024'!$F481+1</f>
        <v>8</v>
      </c>
      <c r="I481" s="2" t="s">
        <v>2113</v>
      </c>
      <c r="J481" s="2" t="s">
        <v>2113</v>
      </c>
      <c r="K481" s="2">
        <f>IF('mpi_dataset_summary_2017-2024'!$G481=2024,1,0)</f>
        <v>1</v>
      </c>
      <c r="L481" s="2">
        <f t="shared" si="14"/>
        <v>0</v>
      </c>
      <c r="M481" s="2">
        <v>1600</v>
      </c>
      <c r="N481" s="2">
        <f t="shared" si="15"/>
        <v>0.873</v>
      </c>
      <c r="O481" s="2" t="s">
        <v>2114</v>
      </c>
      <c r="P481" s="2">
        <v>-113.42645899999999</v>
      </c>
      <c r="Q481" s="2" t="s">
        <v>2108</v>
      </c>
      <c r="R481" s="3" t="s">
        <v>24</v>
      </c>
      <c r="S481" s="2" t="s">
        <v>25</v>
      </c>
      <c r="T481" s="2" t="s">
        <v>26</v>
      </c>
    </row>
    <row r="482" spans="1:20" x14ac:dyDescent="0.2">
      <c r="A482" s="2">
        <v>1083</v>
      </c>
      <c r="B482" s="2" t="s">
        <v>374</v>
      </c>
      <c r="C482" s="2" t="s">
        <v>917</v>
      </c>
      <c r="D482" s="2" t="s">
        <v>66</v>
      </c>
      <c r="E482" s="2" t="s">
        <v>20</v>
      </c>
      <c r="F482" s="2">
        <v>2017</v>
      </c>
      <c r="G482" s="2">
        <v>2024</v>
      </c>
      <c r="H482" s="2">
        <f>'mpi_dataset_summary_2017-2024'!$G482-'mpi_dataset_summary_2017-2024'!$F482+1</f>
        <v>8</v>
      </c>
      <c r="I482" s="2" t="s">
        <v>2112</v>
      </c>
      <c r="J482" s="2" t="s">
        <v>2111</v>
      </c>
      <c r="K482" s="2">
        <f>IF('mpi_dataset_summary_2017-2024'!$G482=2024,1,0)</f>
        <v>1</v>
      </c>
      <c r="L482" s="2">
        <f t="shared" si="14"/>
        <v>0</v>
      </c>
      <c r="M482" s="2">
        <v>2000</v>
      </c>
      <c r="N482" s="2">
        <f t="shared" si="15"/>
        <v>0.89400000000000002</v>
      </c>
      <c r="O482" s="2" t="s">
        <v>2114</v>
      </c>
      <c r="P482" s="2" t="s">
        <v>2114</v>
      </c>
      <c r="Q482" s="2" t="s">
        <v>2108</v>
      </c>
      <c r="R482" s="3" t="s">
        <v>37</v>
      </c>
      <c r="S482" s="2" t="s">
        <v>22</v>
      </c>
      <c r="T482" s="2" t="s">
        <v>38</v>
      </c>
    </row>
    <row r="483" spans="1:20" x14ac:dyDescent="0.2">
      <c r="A483" s="2">
        <v>1084</v>
      </c>
      <c r="B483" s="2" t="s">
        <v>918</v>
      </c>
      <c r="C483" s="2" t="s">
        <v>919</v>
      </c>
      <c r="D483" s="2" t="s">
        <v>66</v>
      </c>
      <c r="E483" s="2" t="s">
        <v>20</v>
      </c>
      <c r="F483" s="2">
        <v>2017</v>
      </c>
      <c r="G483" s="2">
        <v>2022</v>
      </c>
      <c r="H483" s="2">
        <f>'mpi_dataset_summary_2017-2024'!$G483-'mpi_dataset_summary_2017-2024'!$F483+1</f>
        <v>6</v>
      </c>
      <c r="I483" s="2" t="s">
        <v>2112</v>
      </c>
      <c r="J483" s="2" t="s">
        <v>2112</v>
      </c>
      <c r="K483" s="2">
        <f>IF('mpi_dataset_summary_2017-2024'!$G483=2024,1,0)</f>
        <v>0</v>
      </c>
      <c r="L483" s="2">
        <f t="shared" si="14"/>
        <v>0</v>
      </c>
      <c r="M483" s="2">
        <v>0</v>
      </c>
      <c r="N483" s="2">
        <f t="shared" si="15"/>
        <v>0</v>
      </c>
      <c r="O483" s="2" t="s">
        <v>2114</v>
      </c>
      <c r="P483" s="2" t="s">
        <v>2114</v>
      </c>
      <c r="Q483" s="2" t="s">
        <v>2108</v>
      </c>
      <c r="R483" s="3" t="s">
        <v>41</v>
      </c>
      <c r="S483" s="2" t="s">
        <v>25</v>
      </c>
      <c r="T483" s="2" t="s">
        <v>46</v>
      </c>
    </row>
    <row r="484" spans="1:20" x14ac:dyDescent="0.2">
      <c r="A484" s="2">
        <v>1085</v>
      </c>
      <c r="B484" s="2" t="s">
        <v>920</v>
      </c>
      <c r="C484" s="2" t="s">
        <v>921</v>
      </c>
      <c r="D484" s="2" t="s">
        <v>66</v>
      </c>
      <c r="E484" s="2" t="s">
        <v>20</v>
      </c>
      <c r="F484" s="2">
        <v>2017</v>
      </c>
      <c r="G484" s="2">
        <v>2019</v>
      </c>
      <c r="H484" s="2">
        <f>'mpi_dataset_summary_2017-2024'!$G484-'mpi_dataset_summary_2017-2024'!$F484+1</f>
        <v>3</v>
      </c>
      <c r="I484" s="2" t="s">
        <v>2112</v>
      </c>
      <c r="J484" s="2" t="s">
        <v>2112</v>
      </c>
      <c r="K484" s="2">
        <f>IF('mpi_dataset_summary_2017-2024'!$G484=2024,1,0)</f>
        <v>0</v>
      </c>
      <c r="L484" s="2">
        <f t="shared" si="14"/>
        <v>0</v>
      </c>
      <c r="M484" s="2">
        <v>0</v>
      </c>
      <c r="N484" s="2">
        <f t="shared" si="15"/>
        <v>0</v>
      </c>
      <c r="O484" s="2" t="s">
        <v>2114</v>
      </c>
      <c r="P484" s="2" t="s">
        <v>2114</v>
      </c>
      <c r="Q484" s="2" t="s">
        <v>2108</v>
      </c>
      <c r="R484" s="3" t="s">
        <v>24</v>
      </c>
      <c r="S484" s="2" t="s">
        <v>25</v>
      </c>
      <c r="T484" s="2" t="s">
        <v>26</v>
      </c>
    </row>
    <row r="485" spans="1:20" x14ac:dyDescent="0.2">
      <c r="A485" s="2">
        <v>1086</v>
      </c>
      <c r="B485" s="2" t="s">
        <v>911</v>
      </c>
      <c r="C485" s="2" t="s">
        <v>922</v>
      </c>
      <c r="D485" s="2" t="s">
        <v>66</v>
      </c>
      <c r="E485" s="2" t="s">
        <v>20</v>
      </c>
      <c r="F485" s="2">
        <v>2017</v>
      </c>
      <c r="G485" s="2">
        <v>2022</v>
      </c>
      <c r="H485" s="2">
        <f>'mpi_dataset_summary_2017-2024'!$G485-'mpi_dataset_summary_2017-2024'!$F485+1</f>
        <v>6</v>
      </c>
      <c r="I485" s="2" t="s">
        <v>2112</v>
      </c>
      <c r="J485" s="2" t="s">
        <v>2112</v>
      </c>
      <c r="K485" s="2">
        <f>IF('mpi_dataset_summary_2017-2024'!$G485=2024,1,0)</f>
        <v>0</v>
      </c>
      <c r="L485" s="2">
        <f t="shared" si="14"/>
        <v>0</v>
      </c>
      <c r="M485" s="2">
        <v>0</v>
      </c>
      <c r="N485" s="2">
        <f t="shared" si="15"/>
        <v>0</v>
      </c>
      <c r="O485" s="2" t="s">
        <v>2114</v>
      </c>
      <c r="P485" s="2" t="s">
        <v>2114</v>
      </c>
      <c r="Q485" s="2" t="s">
        <v>2108</v>
      </c>
      <c r="R485" s="3" t="s">
        <v>39</v>
      </c>
      <c r="S485" s="2" t="s">
        <v>22</v>
      </c>
      <c r="T485" s="2" t="s">
        <v>40</v>
      </c>
    </row>
    <row r="486" spans="1:20" x14ac:dyDescent="0.2">
      <c r="A486" s="2">
        <v>1087</v>
      </c>
      <c r="B486" s="2" t="s">
        <v>211</v>
      </c>
      <c r="C486" s="2" t="s">
        <v>923</v>
      </c>
      <c r="D486" s="2" t="s">
        <v>110</v>
      </c>
      <c r="E486" s="2" t="s">
        <v>20</v>
      </c>
      <c r="F486" s="2">
        <v>2017</v>
      </c>
      <c r="G486" s="2">
        <v>2019</v>
      </c>
      <c r="H486" s="2">
        <f>'mpi_dataset_summary_2017-2024'!$G486-'mpi_dataset_summary_2017-2024'!$F486+1</f>
        <v>3</v>
      </c>
      <c r="I486" s="2" t="s">
        <v>2112</v>
      </c>
      <c r="J486" s="2" t="s">
        <v>2110</v>
      </c>
      <c r="K486" s="2">
        <f>IF('mpi_dataset_summary_2017-2024'!$G486=2024,1,0)</f>
        <v>0</v>
      </c>
      <c r="L486" s="2">
        <f t="shared" si="14"/>
        <v>1</v>
      </c>
      <c r="M486" s="2">
        <v>350</v>
      </c>
      <c r="N486" s="2">
        <f t="shared" si="15"/>
        <v>0.60299999999999998</v>
      </c>
      <c r="O486" s="2">
        <v>53.088290000000001</v>
      </c>
      <c r="P486" s="2">
        <v>-109.292046</v>
      </c>
      <c r="Q486" s="2" t="s">
        <v>2108</v>
      </c>
      <c r="R486" s="3" t="s">
        <v>24</v>
      </c>
      <c r="S486" s="2" t="s">
        <v>25</v>
      </c>
      <c r="T486" s="2" t="s">
        <v>26</v>
      </c>
    </row>
    <row r="487" spans="1:20" x14ac:dyDescent="0.2">
      <c r="A487" s="2">
        <v>1088</v>
      </c>
      <c r="B487" s="2" t="s">
        <v>211</v>
      </c>
      <c r="C487" s="2" t="s">
        <v>924</v>
      </c>
      <c r="D487" s="2" t="s">
        <v>110</v>
      </c>
      <c r="E487" s="2" t="s">
        <v>20</v>
      </c>
      <c r="F487" s="2">
        <v>2017</v>
      </c>
      <c r="G487" s="2">
        <v>2022</v>
      </c>
      <c r="H487" s="2">
        <f>'mpi_dataset_summary_2017-2024'!$G487-'mpi_dataset_summary_2017-2024'!$F487+1</f>
        <v>6</v>
      </c>
      <c r="I487" s="2" t="s">
        <v>2112</v>
      </c>
      <c r="J487" s="2" t="s">
        <v>2110</v>
      </c>
      <c r="K487" s="2">
        <f>IF('mpi_dataset_summary_2017-2024'!$G487=2024,1,0)</f>
        <v>0</v>
      </c>
      <c r="L487" s="2">
        <f t="shared" si="14"/>
        <v>1</v>
      </c>
      <c r="M487" s="2">
        <v>350</v>
      </c>
      <c r="N487" s="2">
        <f t="shared" si="15"/>
        <v>0.60299999999999998</v>
      </c>
      <c r="O487" s="2">
        <v>53.544446999999998</v>
      </c>
      <c r="P487" s="2">
        <v>-109.089619</v>
      </c>
      <c r="Q487" s="2" t="s">
        <v>2108</v>
      </c>
      <c r="R487" s="3" t="s">
        <v>24</v>
      </c>
      <c r="S487" s="2" t="s">
        <v>25</v>
      </c>
      <c r="T487" s="2" t="s">
        <v>26</v>
      </c>
    </row>
    <row r="488" spans="1:20" x14ac:dyDescent="0.2">
      <c r="A488" s="2">
        <v>1089</v>
      </c>
      <c r="B488" s="2" t="s">
        <v>211</v>
      </c>
      <c r="C488" s="2" t="s">
        <v>925</v>
      </c>
      <c r="D488" s="2" t="s">
        <v>110</v>
      </c>
      <c r="E488" s="2" t="s">
        <v>20</v>
      </c>
      <c r="F488" s="2">
        <v>2017</v>
      </c>
      <c r="G488" s="2">
        <v>2022</v>
      </c>
      <c r="H488" s="2">
        <f>'mpi_dataset_summary_2017-2024'!$G488-'mpi_dataset_summary_2017-2024'!$F488+1</f>
        <v>6</v>
      </c>
      <c r="I488" s="2" t="s">
        <v>2112</v>
      </c>
      <c r="J488" s="2" t="s">
        <v>2110</v>
      </c>
      <c r="K488" s="2">
        <f>IF('mpi_dataset_summary_2017-2024'!$G488=2024,1,0)</f>
        <v>0</v>
      </c>
      <c r="L488" s="2">
        <f t="shared" si="14"/>
        <v>1</v>
      </c>
      <c r="M488" s="2">
        <v>350</v>
      </c>
      <c r="N488" s="2">
        <f t="shared" si="15"/>
        <v>0.60299999999999998</v>
      </c>
      <c r="O488" s="2">
        <v>53.544446999999998</v>
      </c>
      <c r="P488" s="2">
        <v>-109.089619</v>
      </c>
      <c r="Q488" s="2" t="s">
        <v>2108</v>
      </c>
      <c r="R488" s="3" t="s">
        <v>24</v>
      </c>
      <c r="S488" s="2" t="s">
        <v>25</v>
      </c>
      <c r="T488" s="2" t="s">
        <v>26</v>
      </c>
    </row>
    <row r="489" spans="1:20" x14ac:dyDescent="0.2">
      <c r="A489" s="2">
        <v>1090</v>
      </c>
      <c r="B489" s="2" t="s">
        <v>374</v>
      </c>
      <c r="C489" s="2" t="s">
        <v>917</v>
      </c>
      <c r="D489" s="2" t="s">
        <v>66</v>
      </c>
      <c r="E489" s="2" t="s">
        <v>20</v>
      </c>
      <c r="F489" s="2">
        <v>2017</v>
      </c>
      <c r="G489" s="2">
        <v>2024</v>
      </c>
      <c r="H489" s="2">
        <f>'mpi_dataset_summary_2017-2024'!$G489-'mpi_dataset_summary_2017-2024'!$F489+1</f>
        <v>8</v>
      </c>
      <c r="I489" s="2" t="s">
        <v>2112</v>
      </c>
      <c r="J489" s="2" t="s">
        <v>2111</v>
      </c>
      <c r="K489" s="2">
        <f>IF('mpi_dataset_summary_2017-2024'!$G489=2024,1,0)</f>
        <v>1</v>
      </c>
      <c r="L489" s="2">
        <f t="shared" si="14"/>
        <v>0</v>
      </c>
      <c r="M489" s="2">
        <v>2000</v>
      </c>
      <c r="N489" s="2">
        <f t="shared" si="15"/>
        <v>0.89400000000000002</v>
      </c>
      <c r="O489" s="2" t="s">
        <v>2114</v>
      </c>
      <c r="P489" s="2" t="s">
        <v>2114</v>
      </c>
      <c r="Q489" s="2" t="s">
        <v>2108</v>
      </c>
      <c r="R489" s="3" t="s">
        <v>37</v>
      </c>
      <c r="S489" s="2" t="s">
        <v>22</v>
      </c>
      <c r="T489" s="2" t="s">
        <v>38</v>
      </c>
    </row>
    <row r="490" spans="1:20" x14ac:dyDescent="0.2">
      <c r="A490" s="2">
        <v>1091</v>
      </c>
      <c r="B490" s="2" t="s">
        <v>926</v>
      </c>
      <c r="C490" s="2" t="s">
        <v>927</v>
      </c>
      <c r="D490" s="2" t="s">
        <v>66</v>
      </c>
      <c r="E490" s="2" t="s">
        <v>20</v>
      </c>
      <c r="F490" s="2">
        <v>2017</v>
      </c>
      <c r="G490" s="2">
        <v>2022</v>
      </c>
      <c r="H490" s="2">
        <f>'mpi_dataset_summary_2017-2024'!$G490-'mpi_dataset_summary_2017-2024'!$F490+1</f>
        <v>6</v>
      </c>
      <c r="I490" s="2" t="s">
        <v>2112</v>
      </c>
      <c r="J490" s="2" t="s">
        <v>2112</v>
      </c>
      <c r="K490" s="2">
        <f>IF('mpi_dataset_summary_2017-2024'!$G490=2024,1,0)</f>
        <v>0</v>
      </c>
      <c r="L490" s="2">
        <f t="shared" si="14"/>
        <v>0</v>
      </c>
      <c r="M490" s="2">
        <v>0</v>
      </c>
      <c r="N490" s="2">
        <f t="shared" si="15"/>
        <v>0</v>
      </c>
      <c r="O490" s="2" t="s">
        <v>2114</v>
      </c>
      <c r="P490" s="2" t="s">
        <v>2114</v>
      </c>
      <c r="Q490" s="2" t="s">
        <v>2108</v>
      </c>
      <c r="R490" s="3" t="s">
        <v>41</v>
      </c>
      <c r="S490" s="2" t="s">
        <v>25</v>
      </c>
      <c r="T490" s="2" t="s">
        <v>46</v>
      </c>
    </row>
    <row r="491" spans="1:20" x14ac:dyDescent="0.2">
      <c r="A491" s="2">
        <v>1092</v>
      </c>
      <c r="B491" s="2" t="s">
        <v>928</v>
      </c>
      <c r="C491" s="2" t="s">
        <v>929</v>
      </c>
      <c r="D491" s="2" t="s">
        <v>66</v>
      </c>
      <c r="E491" s="2" t="s">
        <v>20</v>
      </c>
      <c r="F491" s="2">
        <v>2017</v>
      </c>
      <c r="G491" s="2">
        <v>2022</v>
      </c>
      <c r="H491" s="2">
        <f>'mpi_dataset_summary_2017-2024'!$G491-'mpi_dataset_summary_2017-2024'!$F491+1</f>
        <v>6</v>
      </c>
      <c r="I491" s="2" t="s">
        <v>2112</v>
      </c>
      <c r="J491" s="2" t="s">
        <v>2112</v>
      </c>
      <c r="K491" s="2">
        <f>IF('mpi_dataset_summary_2017-2024'!$G491=2024,1,0)</f>
        <v>0</v>
      </c>
      <c r="L491" s="2">
        <f t="shared" si="14"/>
        <v>0</v>
      </c>
      <c r="M491" s="2">
        <v>0</v>
      </c>
      <c r="N491" s="2">
        <f t="shared" si="15"/>
        <v>0</v>
      </c>
      <c r="O491" s="2" t="s">
        <v>2114</v>
      </c>
      <c r="P491" s="2" t="s">
        <v>2114</v>
      </c>
      <c r="Q491" s="2" t="s">
        <v>2108</v>
      </c>
      <c r="R491" s="3" t="s">
        <v>39</v>
      </c>
      <c r="S491" s="2" t="s">
        <v>22</v>
      </c>
      <c r="T491" s="2" t="s">
        <v>40</v>
      </c>
    </row>
    <row r="492" spans="1:20" x14ac:dyDescent="0.2">
      <c r="A492" s="2">
        <v>1093</v>
      </c>
      <c r="B492" s="2" t="s">
        <v>907</v>
      </c>
      <c r="C492" s="2" t="s">
        <v>914</v>
      </c>
      <c r="D492" s="2" t="s">
        <v>66</v>
      </c>
      <c r="E492" s="2" t="s">
        <v>20</v>
      </c>
      <c r="F492" s="2">
        <v>2017</v>
      </c>
      <c r="G492" s="2">
        <v>2022</v>
      </c>
      <c r="H492" s="2">
        <f>'mpi_dataset_summary_2017-2024'!$G492-'mpi_dataset_summary_2017-2024'!$F492+1</f>
        <v>6</v>
      </c>
      <c r="I492" s="2" t="s">
        <v>2112</v>
      </c>
      <c r="J492" s="2" t="s">
        <v>2112</v>
      </c>
      <c r="K492" s="2">
        <f>IF('mpi_dataset_summary_2017-2024'!$G492=2024,1,0)</f>
        <v>0</v>
      </c>
      <c r="L492" s="2">
        <f t="shared" si="14"/>
        <v>0</v>
      </c>
      <c r="M492" s="2">
        <v>0</v>
      </c>
      <c r="N492" s="2">
        <f t="shared" si="15"/>
        <v>0</v>
      </c>
      <c r="O492" s="2" t="s">
        <v>2114</v>
      </c>
      <c r="P492" s="2" t="s">
        <v>2114</v>
      </c>
      <c r="Q492" s="2" t="s">
        <v>2108</v>
      </c>
      <c r="R492" s="3" t="s">
        <v>39</v>
      </c>
      <c r="S492" s="2" t="s">
        <v>22</v>
      </c>
      <c r="T492" s="2" t="s">
        <v>40</v>
      </c>
    </row>
    <row r="493" spans="1:20" x14ac:dyDescent="0.2">
      <c r="A493" s="2">
        <v>1094</v>
      </c>
      <c r="B493" s="2" t="s">
        <v>547</v>
      </c>
      <c r="C493" s="2" t="s">
        <v>930</v>
      </c>
      <c r="D493" s="2" t="s">
        <v>66</v>
      </c>
      <c r="E493" s="2" t="s">
        <v>20</v>
      </c>
      <c r="F493" s="2">
        <v>2017</v>
      </c>
      <c r="G493" s="2">
        <v>2024</v>
      </c>
      <c r="H493" s="2">
        <f>'mpi_dataset_summary_2017-2024'!$G493-'mpi_dataset_summary_2017-2024'!$F493+1</f>
        <v>8</v>
      </c>
      <c r="I493" s="2" t="s">
        <v>2112</v>
      </c>
      <c r="J493" s="2" t="s">
        <v>2110</v>
      </c>
      <c r="K493" s="2">
        <f>IF('mpi_dataset_summary_2017-2024'!$G493=2024,1,0)</f>
        <v>1</v>
      </c>
      <c r="L493" s="2">
        <f t="shared" si="14"/>
        <v>1</v>
      </c>
      <c r="M493" s="2">
        <v>3300</v>
      </c>
      <c r="N493" s="2">
        <f t="shared" si="15"/>
        <v>0.92500000000000004</v>
      </c>
      <c r="O493" s="2" t="s">
        <v>2114</v>
      </c>
      <c r="P493" s="2" t="s">
        <v>2114</v>
      </c>
      <c r="Q493" s="2" t="s">
        <v>2108</v>
      </c>
      <c r="R493" s="3" t="s">
        <v>39</v>
      </c>
      <c r="S493" s="2" t="s">
        <v>22</v>
      </c>
      <c r="T493" s="2" t="s">
        <v>40</v>
      </c>
    </row>
    <row r="494" spans="1:20" x14ac:dyDescent="0.2">
      <c r="A494" s="2">
        <v>1095</v>
      </c>
      <c r="B494" s="2" t="s">
        <v>438</v>
      </c>
      <c r="C494" s="2" t="s">
        <v>196</v>
      </c>
      <c r="D494" s="2" t="s">
        <v>66</v>
      </c>
      <c r="E494" s="2" t="s">
        <v>20</v>
      </c>
      <c r="F494" s="2">
        <v>2017</v>
      </c>
      <c r="G494" s="2">
        <v>2022</v>
      </c>
      <c r="H494" s="2">
        <f>'mpi_dataset_summary_2017-2024'!$G494-'mpi_dataset_summary_2017-2024'!$F494+1</f>
        <v>6</v>
      </c>
      <c r="I494" s="2" t="s">
        <v>2112</v>
      </c>
      <c r="J494" s="2" t="s">
        <v>2112</v>
      </c>
      <c r="K494" s="2">
        <f>IF('mpi_dataset_summary_2017-2024'!$G494=2024,1,0)</f>
        <v>0</v>
      </c>
      <c r="L494" s="2">
        <f t="shared" si="14"/>
        <v>0</v>
      </c>
      <c r="M494" s="2">
        <v>10000</v>
      </c>
      <c r="N494" s="2">
        <f t="shared" si="15"/>
        <v>0.97599999999999998</v>
      </c>
      <c r="O494" s="2">
        <v>55.691361999999998</v>
      </c>
      <c r="P494" s="2">
        <v>-111.27878</v>
      </c>
      <c r="Q494" s="2" t="s">
        <v>2108</v>
      </c>
      <c r="R494" s="3" t="s">
        <v>24</v>
      </c>
      <c r="S494" s="2" t="s">
        <v>25</v>
      </c>
      <c r="T494" s="2" t="s">
        <v>26</v>
      </c>
    </row>
    <row r="495" spans="1:20" x14ac:dyDescent="0.2">
      <c r="A495" s="2">
        <v>1096</v>
      </c>
      <c r="B495" s="2" t="s">
        <v>931</v>
      </c>
      <c r="C495" s="2" t="s">
        <v>932</v>
      </c>
      <c r="D495" s="2" t="s">
        <v>66</v>
      </c>
      <c r="E495" s="2" t="s">
        <v>20</v>
      </c>
      <c r="F495" s="2">
        <v>2017</v>
      </c>
      <c r="G495" s="2">
        <v>2022</v>
      </c>
      <c r="H495" s="2">
        <f>'mpi_dataset_summary_2017-2024'!$G495-'mpi_dataset_summary_2017-2024'!$F495+1</f>
        <v>6</v>
      </c>
      <c r="I495" s="2" t="s">
        <v>2111</v>
      </c>
      <c r="J495" s="2" t="s">
        <v>2111</v>
      </c>
      <c r="K495" s="2">
        <f>IF('mpi_dataset_summary_2017-2024'!$G495=2024,1,0)</f>
        <v>0</v>
      </c>
      <c r="L495" s="2">
        <f t="shared" si="14"/>
        <v>0</v>
      </c>
      <c r="M495" s="2">
        <v>0</v>
      </c>
      <c r="N495" s="2">
        <f t="shared" si="15"/>
        <v>0</v>
      </c>
      <c r="O495" s="2" t="s">
        <v>2114</v>
      </c>
      <c r="P495" s="2" t="s">
        <v>2114</v>
      </c>
      <c r="Q495" s="2" t="s">
        <v>2108</v>
      </c>
      <c r="R495" s="3" t="s">
        <v>41</v>
      </c>
      <c r="S495" s="2" t="s">
        <v>25</v>
      </c>
      <c r="T495" s="2" t="s">
        <v>46</v>
      </c>
    </row>
    <row r="496" spans="1:20" x14ac:dyDescent="0.2">
      <c r="A496" s="2">
        <v>1097</v>
      </c>
      <c r="B496" s="2" t="s">
        <v>119</v>
      </c>
      <c r="C496" s="2" t="s">
        <v>933</v>
      </c>
      <c r="D496" s="2" t="s">
        <v>66</v>
      </c>
      <c r="E496" s="2" t="s">
        <v>20</v>
      </c>
      <c r="F496" s="2">
        <v>2017</v>
      </c>
      <c r="G496" s="2">
        <v>2022</v>
      </c>
      <c r="H496" s="2">
        <f>'mpi_dataset_summary_2017-2024'!$G496-'mpi_dataset_summary_2017-2024'!$F496+1</f>
        <v>6</v>
      </c>
      <c r="I496" s="2" t="s">
        <v>2111</v>
      </c>
      <c r="J496" s="2" t="s">
        <v>2111</v>
      </c>
      <c r="K496" s="2">
        <f>IF('mpi_dataset_summary_2017-2024'!$G496=2024,1,0)</f>
        <v>0</v>
      </c>
      <c r="L496" s="2">
        <f t="shared" si="14"/>
        <v>0</v>
      </c>
      <c r="M496" s="2">
        <v>0</v>
      </c>
      <c r="N496" s="2">
        <f t="shared" si="15"/>
        <v>0</v>
      </c>
      <c r="O496" s="2" t="s">
        <v>2114</v>
      </c>
      <c r="P496" s="2" t="s">
        <v>2114</v>
      </c>
      <c r="Q496" s="2" t="s">
        <v>2108</v>
      </c>
      <c r="R496" s="3" t="s">
        <v>49</v>
      </c>
      <c r="S496" s="2" t="s">
        <v>25</v>
      </c>
      <c r="T496" s="2" t="s">
        <v>45</v>
      </c>
    </row>
    <row r="497" spans="1:20" x14ac:dyDescent="0.2">
      <c r="A497" s="2">
        <v>1098</v>
      </c>
      <c r="B497" s="2" t="s">
        <v>934</v>
      </c>
      <c r="C497" s="2" t="s">
        <v>935</v>
      </c>
      <c r="D497" s="2" t="s">
        <v>66</v>
      </c>
      <c r="E497" s="2" t="s">
        <v>20</v>
      </c>
      <c r="F497" s="2">
        <v>2017</v>
      </c>
      <c r="G497" s="2">
        <v>2022</v>
      </c>
      <c r="H497" s="2">
        <f>'mpi_dataset_summary_2017-2024'!$G497-'mpi_dataset_summary_2017-2024'!$F497+1</f>
        <v>6</v>
      </c>
      <c r="I497" s="2" t="s">
        <v>2111</v>
      </c>
      <c r="J497" s="2" t="s">
        <v>2113</v>
      </c>
      <c r="K497" s="2">
        <f>IF('mpi_dataset_summary_2017-2024'!$G497=2024,1,0)</f>
        <v>0</v>
      </c>
      <c r="L497" s="2">
        <f t="shared" si="14"/>
        <v>0</v>
      </c>
      <c r="M497" s="2">
        <v>0</v>
      </c>
      <c r="N497" s="2">
        <f t="shared" si="15"/>
        <v>0</v>
      </c>
      <c r="O497" s="2" t="s">
        <v>2114</v>
      </c>
      <c r="P497" s="2" t="s">
        <v>2114</v>
      </c>
      <c r="Q497" s="2" t="s">
        <v>2108</v>
      </c>
      <c r="R497" s="3" t="s">
        <v>24</v>
      </c>
      <c r="S497" s="2" t="s">
        <v>25</v>
      </c>
      <c r="T497" s="2" t="s">
        <v>26</v>
      </c>
    </row>
    <row r="498" spans="1:20" x14ac:dyDescent="0.2">
      <c r="A498" s="2">
        <v>1099</v>
      </c>
      <c r="B498" s="2" t="s">
        <v>936</v>
      </c>
      <c r="C498" s="2" t="s">
        <v>937</v>
      </c>
      <c r="D498" s="2" t="s">
        <v>66</v>
      </c>
      <c r="E498" s="2" t="s">
        <v>20</v>
      </c>
      <c r="F498" s="2">
        <v>2017</v>
      </c>
      <c r="G498" s="2">
        <v>2021</v>
      </c>
      <c r="H498" s="2">
        <f>'mpi_dataset_summary_2017-2024'!$G498-'mpi_dataset_summary_2017-2024'!$F498+1</f>
        <v>5</v>
      </c>
      <c r="I498" s="2" t="s">
        <v>2111</v>
      </c>
      <c r="J498" s="2" t="s">
        <v>2110</v>
      </c>
      <c r="K498" s="2">
        <f>IF('mpi_dataset_summary_2017-2024'!$G498=2024,1,0)</f>
        <v>0</v>
      </c>
      <c r="L498" s="2">
        <f t="shared" si="14"/>
        <v>1</v>
      </c>
      <c r="M498" s="2">
        <v>400</v>
      </c>
      <c r="N498" s="2">
        <f t="shared" si="15"/>
        <v>0.63500000000000001</v>
      </c>
      <c r="O498" s="2" t="s">
        <v>2114</v>
      </c>
      <c r="P498" s="2" t="s">
        <v>2114</v>
      </c>
      <c r="Q498" s="2" t="s">
        <v>2108</v>
      </c>
      <c r="R498" s="3" t="s">
        <v>41</v>
      </c>
      <c r="S498" s="2" t="s">
        <v>25</v>
      </c>
      <c r="T498" s="2" t="s">
        <v>46</v>
      </c>
    </row>
    <row r="499" spans="1:20" x14ac:dyDescent="0.2">
      <c r="A499" s="2">
        <v>2000</v>
      </c>
      <c r="B499" s="2" t="s">
        <v>938</v>
      </c>
      <c r="C499" s="2" t="s">
        <v>939</v>
      </c>
      <c r="D499" s="2" t="s">
        <v>66</v>
      </c>
      <c r="E499" s="2" t="s">
        <v>20</v>
      </c>
      <c r="F499" s="2">
        <v>2017</v>
      </c>
      <c r="G499" s="2">
        <v>2022</v>
      </c>
      <c r="H499" s="2">
        <f>'mpi_dataset_summary_2017-2024'!$G499-'mpi_dataset_summary_2017-2024'!$F499+1</f>
        <v>6</v>
      </c>
      <c r="I499" s="2" t="s">
        <v>2111</v>
      </c>
      <c r="J499" s="2" t="s">
        <v>2111</v>
      </c>
      <c r="K499" s="2">
        <f>IF('mpi_dataset_summary_2017-2024'!$G499=2024,1,0)</f>
        <v>0</v>
      </c>
      <c r="L499" s="2">
        <f t="shared" si="14"/>
        <v>0</v>
      </c>
      <c r="M499" s="2">
        <v>0</v>
      </c>
      <c r="N499" s="2">
        <f t="shared" si="15"/>
        <v>0</v>
      </c>
      <c r="O499" s="2" t="s">
        <v>2114</v>
      </c>
      <c r="P499" s="2" t="s">
        <v>2114</v>
      </c>
      <c r="Q499" s="2" t="s">
        <v>2108</v>
      </c>
      <c r="R499" s="3" t="s">
        <v>24</v>
      </c>
      <c r="S499" s="2" t="s">
        <v>25</v>
      </c>
      <c r="T499" s="2" t="s">
        <v>26</v>
      </c>
    </row>
    <row r="500" spans="1:20" x14ac:dyDescent="0.2">
      <c r="A500" s="2">
        <v>2001</v>
      </c>
      <c r="B500" s="2" t="s">
        <v>349</v>
      </c>
      <c r="C500" s="2" t="s">
        <v>350</v>
      </c>
      <c r="D500" s="2" t="s">
        <v>66</v>
      </c>
      <c r="E500" s="2" t="s">
        <v>20</v>
      </c>
      <c r="F500" s="2">
        <v>2017</v>
      </c>
      <c r="G500" s="2">
        <v>2022</v>
      </c>
      <c r="H500" s="2">
        <f>'mpi_dataset_summary_2017-2024'!$G500-'mpi_dataset_summary_2017-2024'!$F500+1</f>
        <v>6</v>
      </c>
      <c r="I500" s="2" t="s">
        <v>2111</v>
      </c>
      <c r="J500" s="2" t="s">
        <v>2111</v>
      </c>
      <c r="K500" s="2">
        <f>IF('mpi_dataset_summary_2017-2024'!$G500=2024,1,0)</f>
        <v>0</v>
      </c>
      <c r="L500" s="2">
        <f t="shared" si="14"/>
        <v>0</v>
      </c>
      <c r="M500" s="2">
        <v>0</v>
      </c>
      <c r="N500" s="2">
        <f t="shared" si="15"/>
        <v>0</v>
      </c>
      <c r="O500" s="2" t="s">
        <v>2114</v>
      </c>
      <c r="P500" s="2" t="s">
        <v>2114</v>
      </c>
      <c r="Q500" s="2" t="s">
        <v>2108</v>
      </c>
      <c r="R500" s="3" t="s">
        <v>27</v>
      </c>
      <c r="S500" s="2" t="s">
        <v>25</v>
      </c>
      <c r="T500" s="2" t="s">
        <v>28</v>
      </c>
    </row>
    <row r="501" spans="1:20" x14ac:dyDescent="0.2">
      <c r="A501" s="2">
        <v>2002</v>
      </c>
      <c r="B501" s="2" t="s">
        <v>349</v>
      </c>
      <c r="C501" s="2" t="s">
        <v>940</v>
      </c>
      <c r="D501" s="2" t="s">
        <v>66</v>
      </c>
      <c r="E501" s="2" t="s">
        <v>20</v>
      </c>
      <c r="F501" s="2">
        <v>2017</v>
      </c>
      <c r="G501" s="2">
        <v>2022</v>
      </c>
      <c r="H501" s="2">
        <f>'mpi_dataset_summary_2017-2024'!$G501-'mpi_dataset_summary_2017-2024'!$F501+1</f>
        <v>6</v>
      </c>
      <c r="I501" s="2" t="s">
        <v>2111</v>
      </c>
      <c r="J501" s="2" t="s">
        <v>2111</v>
      </c>
      <c r="K501" s="2">
        <f>IF('mpi_dataset_summary_2017-2024'!$G501=2024,1,0)</f>
        <v>0</v>
      </c>
      <c r="L501" s="2">
        <f t="shared" si="14"/>
        <v>0</v>
      </c>
      <c r="M501" s="2">
        <v>0</v>
      </c>
      <c r="N501" s="2">
        <f t="shared" si="15"/>
        <v>0</v>
      </c>
      <c r="O501" s="2" t="s">
        <v>2114</v>
      </c>
      <c r="P501" s="2" t="s">
        <v>2114</v>
      </c>
      <c r="Q501" s="2" t="s">
        <v>2108</v>
      </c>
      <c r="R501" s="3" t="s">
        <v>39</v>
      </c>
      <c r="S501" s="2" t="s">
        <v>22</v>
      </c>
      <c r="T501" s="2" t="s">
        <v>40</v>
      </c>
    </row>
    <row r="502" spans="1:20" x14ac:dyDescent="0.2">
      <c r="A502" s="2">
        <v>2003</v>
      </c>
      <c r="B502" s="2" t="s">
        <v>941</v>
      </c>
      <c r="C502" s="2" t="s">
        <v>162</v>
      </c>
      <c r="D502" s="2" t="s">
        <v>66</v>
      </c>
      <c r="E502" s="2" t="s">
        <v>20</v>
      </c>
      <c r="F502" s="2">
        <v>2017</v>
      </c>
      <c r="G502" s="2">
        <v>2022</v>
      </c>
      <c r="H502" s="2">
        <f>'mpi_dataset_summary_2017-2024'!$G502-'mpi_dataset_summary_2017-2024'!$F502+1</f>
        <v>6</v>
      </c>
      <c r="I502" s="2" t="s">
        <v>2111</v>
      </c>
      <c r="J502" s="2" t="s">
        <v>2111</v>
      </c>
      <c r="K502" s="2">
        <f>IF('mpi_dataset_summary_2017-2024'!$G502=2024,1,0)</f>
        <v>0</v>
      </c>
      <c r="L502" s="2">
        <f t="shared" si="14"/>
        <v>0</v>
      </c>
      <c r="M502" s="2">
        <v>0</v>
      </c>
      <c r="N502" s="2">
        <f t="shared" si="15"/>
        <v>0</v>
      </c>
      <c r="O502" s="2" t="s">
        <v>2114</v>
      </c>
      <c r="P502" s="2" t="s">
        <v>2114</v>
      </c>
      <c r="Q502" s="2" t="s">
        <v>2108</v>
      </c>
      <c r="R502" s="3" t="s">
        <v>39</v>
      </c>
      <c r="S502" s="2" t="s">
        <v>22</v>
      </c>
      <c r="T502" s="2" t="s">
        <v>40</v>
      </c>
    </row>
    <row r="503" spans="1:20" x14ac:dyDescent="0.2">
      <c r="A503" s="2">
        <v>2004</v>
      </c>
      <c r="B503" s="2" t="s">
        <v>211</v>
      </c>
      <c r="C503" s="2" t="s">
        <v>942</v>
      </c>
      <c r="D503" s="2" t="s">
        <v>66</v>
      </c>
      <c r="E503" s="2" t="s">
        <v>20</v>
      </c>
      <c r="F503" s="2">
        <v>2017</v>
      </c>
      <c r="G503" s="2">
        <v>2022</v>
      </c>
      <c r="H503" s="2">
        <f>'mpi_dataset_summary_2017-2024'!$G503-'mpi_dataset_summary_2017-2024'!$F503+1</f>
        <v>6</v>
      </c>
      <c r="I503" s="2" t="s">
        <v>2111</v>
      </c>
      <c r="J503" s="2" t="s">
        <v>2111</v>
      </c>
      <c r="K503" s="2">
        <f>IF('mpi_dataset_summary_2017-2024'!$G503=2024,1,0)</f>
        <v>0</v>
      </c>
      <c r="L503" s="2">
        <f t="shared" si="14"/>
        <v>0</v>
      </c>
      <c r="M503" s="2">
        <v>0</v>
      </c>
      <c r="N503" s="2">
        <f t="shared" si="15"/>
        <v>0</v>
      </c>
      <c r="O503" s="2" t="s">
        <v>2114</v>
      </c>
      <c r="P503" s="2" t="s">
        <v>2114</v>
      </c>
      <c r="Q503" s="2" t="s">
        <v>2108</v>
      </c>
      <c r="R503" s="3" t="s">
        <v>24</v>
      </c>
      <c r="S503" s="2" t="s">
        <v>25</v>
      </c>
      <c r="T503" s="2" t="s">
        <v>26</v>
      </c>
    </row>
    <row r="504" spans="1:20" x14ac:dyDescent="0.2">
      <c r="A504" s="2">
        <v>2005</v>
      </c>
      <c r="B504" s="2" t="s">
        <v>675</v>
      </c>
      <c r="C504" s="2" t="s">
        <v>943</v>
      </c>
      <c r="D504" s="2" t="s">
        <v>66</v>
      </c>
      <c r="E504" s="2" t="s">
        <v>20</v>
      </c>
      <c r="F504" s="2">
        <v>2017</v>
      </c>
      <c r="G504" s="2">
        <v>2022</v>
      </c>
      <c r="H504" s="2">
        <f>'mpi_dataset_summary_2017-2024'!$G504-'mpi_dataset_summary_2017-2024'!$F504+1</f>
        <v>6</v>
      </c>
      <c r="I504" s="2" t="s">
        <v>2111</v>
      </c>
      <c r="J504" s="2" t="s">
        <v>2111</v>
      </c>
      <c r="K504" s="2">
        <f>IF('mpi_dataset_summary_2017-2024'!$G504=2024,1,0)</f>
        <v>0</v>
      </c>
      <c r="L504" s="2">
        <f t="shared" si="14"/>
        <v>0</v>
      </c>
      <c r="M504" s="2">
        <v>0</v>
      </c>
      <c r="N504" s="2">
        <f t="shared" si="15"/>
        <v>0</v>
      </c>
      <c r="O504" s="2" t="s">
        <v>2114</v>
      </c>
      <c r="P504" s="2" t="s">
        <v>2114</v>
      </c>
      <c r="Q504" s="2" t="s">
        <v>2108</v>
      </c>
      <c r="R504" s="3" t="s">
        <v>24</v>
      </c>
      <c r="S504" s="2" t="s">
        <v>25</v>
      </c>
      <c r="T504" s="2" t="s">
        <v>26</v>
      </c>
    </row>
    <row r="505" spans="1:20" x14ac:dyDescent="0.2">
      <c r="A505" s="2">
        <v>2006</v>
      </c>
      <c r="B505" s="2" t="s">
        <v>338</v>
      </c>
      <c r="C505" s="2" t="s">
        <v>944</v>
      </c>
      <c r="D505" s="2" t="s">
        <v>66</v>
      </c>
      <c r="E505" s="2" t="s">
        <v>20</v>
      </c>
      <c r="F505" s="2">
        <v>2017</v>
      </c>
      <c r="G505" s="2">
        <v>2019</v>
      </c>
      <c r="H505" s="2">
        <f>'mpi_dataset_summary_2017-2024'!$G505-'mpi_dataset_summary_2017-2024'!$F505+1</f>
        <v>3</v>
      </c>
      <c r="I505" s="2" t="s">
        <v>2111</v>
      </c>
      <c r="J505" s="2" t="s">
        <v>2111</v>
      </c>
      <c r="K505" s="2">
        <f>IF('mpi_dataset_summary_2017-2024'!$G505=2024,1,0)</f>
        <v>0</v>
      </c>
      <c r="L505" s="2">
        <f t="shared" si="14"/>
        <v>0</v>
      </c>
      <c r="M505" s="2">
        <v>0</v>
      </c>
      <c r="N505" s="2">
        <f t="shared" si="15"/>
        <v>0</v>
      </c>
      <c r="O505" s="2" t="s">
        <v>2114</v>
      </c>
      <c r="P505" s="2" t="s">
        <v>2114</v>
      </c>
      <c r="Q505" s="2" t="s">
        <v>2108</v>
      </c>
      <c r="R505" s="3" t="s">
        <v>39</v>
      </c>
      <c r="S505" s="2" t="s">
        <v>22</v>
      </c>
      <c r="T505" s="2" t="s">
        <v>40</v>
      </c>
    </row>
    <row r="506" spans="1:20" x14ac:dyDescent="0.2">
      <c r="A506" s="2">
        <v>2007</v>
      </c>
      <c r="B506" s="2" t="s">
        <v>934</v>
      </c>
      <c r="C506" s="2" t="s">
        <v>945</v>
      </c>
      <c r="D506" s="2" t="s">
        <v>66</v>
      </c>
      <c r="E506" s="2" t="s">
        <v>20</v>
      </c>
      <c r="F506" s="2">
        <v>2017</v>
      </c>
      <c r="G506" s="2">
        <v>2022</v>
      </c>
      <c r="H506" s="2">
        <f>'mpi_dataset_summary_2017-2024'!$G506-'mpi_dataset_summary_2017-2024'!$F506+1</f>
        <v>6</v>
      </c>
      <c r="I506" s="2" t="s">
        <v>2111</v>
      </c>
      <c r="J506" s="2" t="s">
        <v>2111</v>
      </c>
      <c r="K506" s="2">
        <f>IF('mpi_dataset_summary_2017-2024'!$G506=2024,1,0)</f>
        <v>0</v>
      </c>
      <c r="L506" s="2">
        <f t="shared" si="14"/>
        <v>0</v>
      </c>
      <c r="M506" s="2">
        <v>0</v>
      </c>
      <c r="N506" s="2">
        <f t="shared" si="15"/>
        <v>0</v>
      </c>
      <c r="O506" s="2" t="s">
        <v>2114</v>
      </c>
      <c r="P506" s="2" t="s">
        <v>2114</v>
      </c>
      <c r="Q506" s="2" t="s">
        <v>2108</v>
      </c>
      <c r="R506" s="3" t="s">
        <v>24</v>
      </c>
      <c r="S506" s="2" t="s">
        <v>25</v>
      </c>
      <c r="T506" s="2" t="s">
        <v>26</v>
      </c>
    </row>
    <row r="507" spans="1:20" x14ac:dyDescent="0.2">
      <c r="A507" s="2">
        <v>2008</v>
      </c>
      <c r="B507" s="2" t="s">
        <v>934</v>
      </c>
      <c r="C507" s="2" t="s">
        <v>946</v>
      </c>
      <c r="D507" s="2" t="s">
        <v>66</v>
      </c>
      <c r="E507" s="2" t="s">
        <v>20</v>
      </c>
      <c r="F507" s="2">
        <v>2017</v>
      </c>
      <c r="G507" s="2">
        <v>2022</v>
      </c>
      <c r="H507" s="2">
        <f>'mpi_dataset_summary_2017-2024'!$G507-'mpi_dataset_summary_2017-2024'!$F507+1</f>
        <v>6</v>
      </c>
      <c r="I507" s="2" t="s">
        <v>2111</v>
      </c>
      <c r="J507" s="2" t="s">
        <v>2111</v>
      </c>
      <c r="K507" s="2">
        <f>IF('mpi_dataset_summary_2017-2024'!$G507=2024,1,0)</f>
        <v>0</v>
      </c>
      <c r="L507" s="2">
        <f t="shared" si="14"/>
        <v>0</v>
      </c>
      <c r="M507" s="2">
        <v>0</v>
      </c>
      <c r="N507" s="2">
        <f t="shared" si="15"/>
        <v>0</v>
      </c>
      <c r="O507" s="2" t="s">
        <v>2114</v>
      </c>
      <c r="P507" s="2" t="s">
        <v>2114</v>
      </c>
      <c r="Q507" s="2" t="s">
        <v>2108</v>
      </c>
      <c r="R507" s="3" t="s">
        <v>24</v>
      </c>
      <c r="S507" s="2" t="s">
        <v>25</v>
      </c>
      <c r="T507" s="2" t="s">
        <v>26</v>
      </c>
    </row>
    <row r="508" spans="1:20" x14ac:dyDescent="0.2">
      <c r="A508" s="2">
        <v>2009</v>
      </c>
      <c r="B508" s="2" t="s">
        <v>907</v>
      </c>
      <c r="C508" s="2" t="s">
        <v>947</v>
      </c>
      <c r="D508" s="2" t="s">
        <v>66</v>
      </c>
      <c r="E508" s="2" t="s">
        <v>20</v>
      </c>
      <c r="F508" s="2">
        <v>2017</v>
      </c>
      <c r="G508" s="2">
        <v>2022</v>
      </c>
      <c r="H508" s="2">
        <f>'mpi_dataset_summary_2017-2024'!$G508-'mpi_dataset_summary_2017-2024'!$F508+1</f>
        <v>6</v>
      </c>
      <c r="I508" s="2" t="s">
        <v>2111</v>
      </c>
      <c r="J508" s="2" t="s">
        <v>2111</v>
      </c>
      <c r="K508" s="2">
        <f>IF('mpi_dataset_summary_2017-2024'!$G508=2024,1,0)</f>
        <v>0</v>
      </c>
      <c r="L508" s="2">
        <f t="shared" si="14"/>
        <v>0</v>
      </c>
      <c r="M508" s="2">
        <v>0</v>
      </c>
      <c r="N508" s="2">
        <f t="shared" si="15"/>
        <v>0</v>
      </c>
      <c r="O508" s="2" t="s">
        <v>2114</v>
      </c>
      <c r="P508" s="2" t="s">
        <v>2114</v>
      </c>
      <c r="Q508" s="2" t="s">
        <v>2108</v>
      </c>
      <c r="R508" s="3" t="s">
        <v>39</v>
      </c>
      <c r="S508" s="2" t="s">
        <v>22</v>
      </c>
      <c r="T508" s="2" t="s">
        <v>40</v>
      </c>
    </row>
    <row r="509" spans="1:20" x14ac:dyDescent="0.2">
      <c r="A509" s="2">
        <v>2013</v>
      </c>
      <c r="B509" s="2" t="s">
        <v>948</v>
      </c>
      <c r="C509" s="2" t="s">
        <v>949</v>
      </c>
      <c r="D509" s="2" t="s">
        <v>69</v>
      </c>
      <c r="E509" s="2" t="s">
        <v>43</v>
      </c>
      <c r="F509" s="2">
        <v>2017</v>
      </c>
      <c r="G509" s="2">
        <v>2018</v>
      </c>
      <c r="H509" s="2">
        <f>'mpi_dataset_summary_2017-2024'!$G509-'mpi_dataset_summary_2017-2024'!$F509+1</f>
        <v>2</v>
      </c>
      <c r="I509" s="2" t="s">
        <v>2110</v>
      </c>
      <c r="J509" s="2" t="s">
        <v>2110</v>
      </c>
      <c r="K509" s="2">
        <f>IF('mpi_dataset_summary_2017-2024'!$G509=2024,1,0)</f>
        <v>0</v>
      </c>
      <c r="L509" s="2">
        <f t="shared" si="14"/>
        <v>1</v>
      </c>
      <c r="M509" s="2">
        <v>90</v>
      </c>
      <c r="N509" s="2">
        <f t="shared" si="15"/>
        <v>0.32900000000000001</v>
      </c>
      <c r="O509" s="2">
        <v>49.640850999999998</v>
      </c>
      <c r="P509" s="2">
        <v>-121.98224399999999</v>
      </c>
      <c r="Q509" s="2" t="s">
        <v>2108</v>
      </c>
      <c r="R509" s="3" t="s">
        <v>24</v>
      </c>
      <c r="S509" s="2" t="s">
        <v>25</v>
      </c>
      <c r="T509" s="2" t="s">
        <v>26</v>
      </c>
    </row>
    <row r="510" spans="1:20" x14ac:dyDescent="0.2">
      <c r="A510" s="2">
        <v>2014</v>
      </c>
      <c r="B510" s="2" t="s">
        <v>950</v>
      </c>
      <c r="C510" s="2" t="s">
        <v>951</v>
      </c>
      <c r="D510" s="2" t="s">
        <v>161</v>
      </c>
      <c r="E510" s="2" t="s">
        <v>20</v>
      </c>
      <c r="F510" s="2">
        <v>2017</v>
      </c>
      <c r="G510" s="2">
        <v>2019</v>
      </c>
      <c r="H510" s="2">
        <f>'mpi_dataset_summary_2017-2024'!$G510-'mpi_dataset_summary_2017-2024'!$F510+1</f>
        <v>3</v>
      </c>
      <c r="I510" s="2" t="s">
        <v>2111</v>
      </c>
      <c r="J510" s="2" t="s">
        <v>2110</v>
      </c>
      <c r="K510" s="2">
        <f>IF('mpi_dataset_summary_2017-2024'!$G510=2024,1,0)</f>
        <v>0</v>
      </c>
      <c r="L510" s="2">
        <f t="shared" si="14"/>
        <v>1</v>
      </c>
      <c r="M510" s="2">
        <v>324.64999999999998</v>
      </c>
      <c r="N510" s="2">
        <f t="shared" si="15"/>
        <v>0.59099999999999997</v>
      </c>
      <c r="O510" s="2" t="s">
        <v>2114</v>
      </c>
      <c r="P510" s="2" t="s">
        <v>2114</v>
      </c>
      <c r="Q510" s="2" t="s">
        <v>2107</v>
      </c>
      <c r="R510" s="3" t="s">
        <v>29</v>
      </c>
      <c r="S510" s="2" t="s">
        <v>22</v>
      </c>
      <c r="T510" s="2" t="s">
        <v>30</v>
      </c>
    </row>
    <row r="511" spans="1:20" x14ac:dyDescent="0.2">
      <c r="A511" s="2">
        <v>2015</v>
      </c>
      <c r="B511" s="2" t="s">
        <v>952</v>
      </c>
      <c r="C511" s="2" t="s">
        <v>953</v>
      </c>
      <c r="D511" s="2" t="s">
        <v>161</v>
      </c>
      <c r="E511" s="2" t="s">
        <v>20</v>
      </c>
      <c r="F511" s="2">
        <v>2017</v>
      </c>
      <c r="G511" s="2">
        <v>2018</v>
      </c>
      <c r="H511" s="2">
        <f>'mpi_dataset_summary_2017-2024'!$G511-'mpi_dataset_summary_2017-2024'!$F511+1</f>
        <v>2</v>
      </c>
      <c r="I511" s="2" t="s">
        <v>2110</v>
      </c>
      <c r="J511" s="2" t="s">
        <v>2110</v>
      </c>
      <c r="K511" s="2">
        <f>IF('mpi_dataset_summary_2017-2024'!$G511=2024,1,0)</f>
        <v>0</v>
      </c>
      <c r="L511" s="2">
        <f t="shared" si="14"/>
        <v>1</v>
      </c>
      <c r="M511" s="2">
        <v>81</v>
      </c>
      <c r="N511" s="2">
        <f t="shared" si="15"/>
        <v>0.311</v>
      </c>
      <c r="O511" s="2">
        <v>48.334499999999998</v>
      </c>
      <c r="P511" s="2">
        <v>-81.104100000000003</v>
      </c>
      <c r="Q511" s="2" t="s">
        <v>2107</v>
      </c>
      <c r="R511" s="3" t="s">
        <v>41</v>
      </c>
      <c r="S511" s="2" t="s">
        <v>22</v>
      </c>
      <c r="T511" s="2" t="s">
        <v>42</v>
      </c>
    </row>
    <row r="512" spans="1:20" x14ac:dyDescent="0.2">
      <c r="A512" s="2">
        <v>2016</v>
      </c>
      <c r="B512" s="2" t="s">
        <v>950</v>
      </c>
      <c r="C512" s="2" t="s">
        <v>954</v>
      </c>
      <c r="D512" s="2" t="s">
        <v>161</v>
      </c>
      <c r="E512" s="2" t="s">
        <v>20</v>
      </c>
      <c r="F512" s="2">
        <v>2017</v>
      </c>
      <c r="G512" s="2">
        <v>2020</v>
      </c>
      <c r="H512" s="2">
        <f>'mpi_dataset_summary_2017-2024'!$G512-'mpi_dataset_summary_2017-2024'!$F512+1</f>
        <v>4</v>
      </c>
      <c r="I512" s="2" t="s">
        <v>2110</v>
      </c>
      <c r="J512" s="2" t="s">
        <v>2110</v>
      </c>
      <c r="K512" s="2">
        <f>IF('mpi_dataset_summary_2017-2024'!$G512=2024,1,0)</f>
        <v>0</v>
      </c>
      <c r="L512" s="2">
        <f t="shared" si="14"/>
        <v>1</v>
      </c>
      <c r="M512" s="2">
        <v>118</v>
      </c>
      <c r="N512" s="2">
        <f t="shared" si="15"/>
        <v>0.38600000000000001</v>
      </c>
      <c r="O512" s="2">
        <v>51.468187</v>
      </c>
      <c r="P512" s="2">
        <v>-90.193934999999996</v>
      </c>
      <c r="Q512" s="2" t="s">
        <v>2107</v>
      </c>
      <c r="R512" s="3" t="s">
        <v>29</v>
      </c>
      <c r="S512" s="2" t="s">
        <v>22</v>
      </c>
      <c r="T512" s="2" t="s">
        <v>30</v>
      </c>
    </row>
    <row r="513" spans="1:20" x14ac:dyDescent="0.2">
      <c r="A513" s="2">
        <v>2017</v>
      </c>
      <c r="B513" s="2" t="s">
        <v>955</v>
      </c>
      <c r="C513" s="2" t="s">
        <v>956</v>
      </c>
      <c r="D513" s="2" t="s">
        <v>161</v>
      </c>
      <c r="E513" s="2" t="s">
        <v>20</v>
      </c>
      <c r="F513" s="2">
        <v>2017</v>
      </c>
      <c r="G513" s="2">
        <v>2019</v>
      </c>
      <c r="H513" s="2">
        <f>'mpi_dataset_summary_2017-2024'!$G513-'mpi_dataset_summary_2017-2024'!$F513+1</f>
        <v>3</v>
      </c>
      <c r="I513" s="2" t="s">
        <v>2111</v>
      </c>
      <c r="J513" s="2" t="s">
        <v>2110</v>
      </c>
      <c r="K513" s="2">
        <f>IF('mpi_dataset_summary_2017-2024'!$G513=2024,1,0)</f>
        <v>0</v>
      </c>
      <c r="L513" s="2">
        <f t="shared" si="14"/>
        <v>1</v>
      </c>
      <c r="M513" s="2">
        <v>22</v>
      </c>
      <c r="N513" s="2">
        <f t="shared" si="15"/>
        <v>0.109</v>
      </c>
      <c r="O513" s="2">
        <v>45.01229</v>
      </c>
      <c r="P513" s="2">
        <v>-79.612781999999996</v>
      </c>
      <c r="Q513" s="2" t="s">
        <v>2108</v>
      </c>
      <c r="R513" s="3" t="s">
        <v>24</v>
      </c>
      <c r="S513" s="2" t="s">
        <v>25</v>
      </c>
      <c r="T513" s="2" t="s">
        <v>26</v>
      </c>
    </row>
    <row r="514" spans="1:20" x14ac:dyDescent="0.2">
      <c r="A514" s="2">
        <v>2018</v>
      </c>
      <c r="B514" s="2" t="s">
        <v>957</v>
      </c>
      <c r="C514" s="2" t="s">
        <v>958</v>
      </c>
      <c r="D514" s="2" t="s">
        <v>161</v>
      </c>
      <c r="E514" s="2" t="s">
        <v>20</v>
      </c>
      <c r="F514" s="2">
        <v>2017</v>
      </c>
      <c r="G514" s="2">
        <v>2019</v>
      </c>
      <c r="H514" s="2">
        <f>'mpi_dataset_summary_2017-2024'!$G514-'mpi_dataset_summary_2017-2024'!$F514+1</f>
        <v>3</v>
      </c>
      <c r="I514" s="2" t="s">
        <v>2111</v>
      </c>
      <c r="J514" s="2" t="s">
        <v>2112</v>
      </c>
      <c r="K514" s="2">
        <f>IF('mpi_dataset_summary_2017-2024'!$G514=2024,1,0)</f>
        <v>0</v>
      </c>
      <c r="L514" s="2">
        <f t="shared" ref="L514:L577" si="16">IF(J514="Under Construction",1,0)</f>
        <v>0</v>
      </c>
      <c r="M514" s="2">
        <v>20</v>
      </c>
      <c r="N514" s="2">
        <f t="shared" ref="N514:N577" si="17">_xlfn.PERCENTRANK.INC($M$2:$M$4056,M514)</f>
        <v>8.8999999999999996E-2</v>
      </c>
      <c r="O514" s="2">
        <v>49.808455000000002</v>
      </c>
      <c r="P514" s="2">
        <v>-84.180369999999996</v>
      </c>
      <c r="Q514" s="2" t="s">
        <v>2108</v>
      </c>
      <c r="R514" s="3" t="s">
        <v>24</v>
      </c>
      <c r="S514" s="2" t="s">
        <v>25</v>
      </c>
      <c r="T514" s="2" t="s">
        <v>26</v>
      </c>
    </row>
    <row r="515" spans="1:20" x14ac:dyDescent="0.2">
      <c r="A515" s="2">
        <v>2019</v>
      </c>
      <c r="B515" s="2" t="s">
        <v>959</v>
      </c>
      <c r="C515" s="2" t="s">
        <v>960</v>
      </c>
      <c r="D515" s="2" t="s">
        <v>161</v>
      </c>
      <c r="E515" s="2" t="s">
        <v>43</v>
      </c>
      <c r="F515" s="2">
        <v>2017</v>
      </c>
      <c r="G515" s="2">
        <v>2019</v>
      </c>
      <c r="H515" s="2">
        <f>'mpi_dataset_summary_2017-2024'!$G515-'mpi_dataset_summary_2017-2024'!$F515+1</f>
        <v>3</v>
      </c>
      <c r="I515" s="2" t="s">
        <v>2111</v>
      </c>
      <c r="J515" s="2" t="s">
        <v>2112</v>
      </c>
      <c r="K515" s="2">
        <f>IF('mpi_dataset_summary_2017-2024'!$G515=2024,1,0)</f>
        <v>0</v>
      </c>
      <c r="L515" s="2">
        <f t="shared" si="16"/>
        <v>0</v>
      </c>
      <c r="M515" s="2">
        <v>25</v>
      </c>
      <c r="N515" s="2">
        <f t="shared" si="17"/>
        <v>0.125</v>
      </c>
      <c r="O515" s="2">
        <v>50.818112999999997</v>
      </c>
      <c r="P515" s="2">
        <v>-93.419995</v>
      </c>
      <c r="Q515" s="2" t="s">
        <v>2108</v>
      </c>
      <c r="R515" s="3" t="s">
        <v>24</v>
      </c>
      <c r="S515" s="2" t="s">
        <v>25</v>
      </c>
      <c r="T515" s="2" t="s">
        <v>26</v>
      </c>
    </row>
    <row r="516" spans="1:20" x14ac:dyDescent="0.2">
      <c r="A516" s="2">
        <v>2020</v>
      </c>
      <c r="B516" s="2" t="s">
        <v>961</v>
      </c>
      <c r="C516" s="2" t="s">
        <v>962</v>
      </c>
      <c r="D516" s="2" t="s">
        <v>161</v>
      </c>
      <c r="E516" s="2" t="s">
        <v>20</v>
      </c>
      <c r="F516" s="2">
        <v>2017</v>
      </c>
      <c r="G516" s="2">
        <v>2024</v>
      </c>
      <c r="H516" s="2">
        <f>'mpi_dataset_summary_2017-2024'!$G516-'mpi_dataset_summary_2017-2024'!$F516+1</f>
        <v>8</v>
      </c>
      <c r="I516" s="2" t="s">
        <v>2111</v>
      </c>
      <c r="J516" s="2" t="s">
        <v>2110</v>
      </c>
      <c r="K516" s="2">
        <f>IF('mpi_dataset_summary_2017-2024'!$G516=2024,1,0)</f>
        <v>1</v>
      </c>
      <c r="L516" s="2">
        <f t="shared" si="16"/>
        <v>1</v>
      </c>
      <c r="M516" s="2">
        <v>80</v>
      </c>
      <c r="N516" s="2">
        <f t="shared" si="17"/>
        <v>0.30499999999999999</v>
      </c>
      <c r="O516" s="2">
        <v>45.408804000000003</v>
      </c>
      <c r="P516" s="2">
        <v>-75.980108999999999</v>
      </c>
      <c r="Q516" s="2" t="s">
        <v>2108</v>
      </c>
      <c r="R516" s="3" t="s">
        <v>24</v>
      </c>
      <c r="S516" s="2" t="s">
        <v>25</v>
      </c>
      <c r="T516" s="2" t="s">
        <v>26</v>
      </c>
    </row>
    <row r="517" spans="1:20" x14ac:dyDescent="0.2">
      <c r="A517" s="2">
        <v>2021</v>
      </c>
      <c r="B517" s="2" t="s">
        <v>963</v>
      </c>
      <c r="C517" s="2" t="s">
        <v>964</v>
      </c>
      <c r="D517" s="2" t="s">
        <v>161</v>
      </c>
      <c r="E517" s="2" t="s">
        <v>20</v>
      </c>
      <c r="F517" s="2">
        <v>2017</v>
      </c>
      <c r="G517" s="2">
        <v>2017</v>
      </c>
      <c r="H517" s="2">
        <f>'mpi_dataset_summary_2017-2024'!$G517-'mpi_dataset_summary_2017-2024'!$F517+1</f>
        <v>1</v>
      </c>
      <c r="I517" s="2" t="s">
        <v>2111</v>
      </c>
      <c r="J517" s="2" t="s">
        <v>2111</v>
      </c>
      <c r="K517" s="2">
        <f>IF('mpi_dataset_summary_2017-2024'!$G517=2024,1,0)</f>
        <v>0</v>
      </c>
      <c r="L517" s="2">
        <f t="shared" si="16"/>
        <v>0</v>
      </c>
      <c r="M517" s="2">
        <v>15</v>
      </c>
      <c r="N517" s="2">
        <f t="shared" si="17"/>
        <v>7.2999999999999995E-2</v>
      </c>
      <c r="O517" s="2">
        <v>47.518093</v>
      </c>
      <c r="P517" s="2">
        <v>-79.683858999999998</v>
      </c>
      <c r="Q517" s="2" t="s">
        <v>2108</v>
      </c>
      <c r="R517" s="3" t="s">
        <v>24</v>
      </c>
      <c r="S517" s="2" t="s">
        <v>25</v>
      </c>
      <c r="T517" s="2" t="s">
        <v>45</v>
      </c>
    </row>
    <row r="518" spans="1:20" x14ac:dyDescent="0.2">
      <c r="A518" s="2">
        <v>2022</v>
      </c>
      <c r="B518" s="2" t="s">
        <v>965</v>
      </c>
      <c r="C518" s="2" t="s">
        <v>966</v>
      </c>
      <c r="D518" s="2" t="s">
        <v>161</v>
      </c>
      <c r="E518" s="2" t="s">
        <v>20</v>
      </c>
      <c r="F518" s="2">
        <v>2017</v>
      </c>
      <c r="G518" s="2">
        <v>2019</v>
      </c>
      <c r="H518" s="2">
        <f>'mpi_dataset_summary_2017-2024'!$G518-'mpi_dataset_summary_2017-2024'!$F518+1</f>
        <v>3</v>
      </c>
      <c r="I518" s="2" t="s">
        <v>2111</v>
      </c>
      <c r="J518" s="2" t="s">
        <v>2112</v>
      </c>
      <c r="K518" s="2">
        <f>IF('mpi_dataset_summary_2017-2024'!$G518=2024,1,0)</f>
        <v>0</v>
      </c>
      <c r="L518" s="2">
        <f t="shared" si="16"/>
        <v>0</v>
      </c>
      <c r="M518" s="2">
        <v>20</v>
      </c>
      <c r="N518" s="2">
        <f t="shared" si="17"/>
        <v>8.8999999999999996E-2</v>
      </c>
      <c r="O518" s="2">
        <v>49.930647999999998</v>
      </c>
      <c r="P518" s="2">
        <v>-83.894397999999995</v>
      </c>
      <c r="Q518" s="2" t="s">
        <v>2108</v>
      </c>
      <c r="R518" s="3" t="s">
        <v>24</v>
      </c>
      <c r="S518" s="2" t="s">
        <v>25</v>
      </c>
      <c r="T518" s="2" t="s">
        <v>26</v>
      </c>
    </row>
    <row r="519" spans="1:20" x14ac:dyDescent="0.2">
      <c r="A519" s="2">
        <v>2023</v>
      </c>
      <c r="B519" s="2" t="s">
        <v>967</v>
      </c>
      <c r="C519" s="2" t="s">
        <v>968</v>
      </c>
      <c r="D519" s="2" t="s">
        <v>161</v>
      </c>
      <c r="E519" s="2" t="s">
        <v>20</v>
      </c>
      <c r="F519" s="2">
        <v>2017</v>
      </c>
      <c r="G519" s="2">
        <v>2019</v>
      </c>
      <c r="H519" s="2">
        <f>'mpi_dataset_summary_2017-2024'!$G519-'mpi_dataset_summary_2017-2024'!$F519+1</f>
        <v>3</v>
      </c>
      <c r="I519" s="2" t="s">
        <v>2111</v>
      </c>
      <c r="J519" s="2" t="s">
        <v>2112</v>
      </c>
      <c r="K519" s="2">
        <f>IF('mpi_dataset_summary_2017-2024'!$G519=2024,1,0)</f>
        <v>0</v>
      </c>
      <c r="L519" s="2">
        <f t="shared" si="16"/>
        <v>0</v>
      </c>
      <c r="M519" s="2">
        <v>20</v>
      </c>
      <c r="N519" s="2">
        <f t="shared" si="17"/>
        <v>8.8999999999999996E-2</v>
      </c>
      <c r="O519" s="2">
        <v>49.930647999999998</v>
      </c>
      <c r="P519" s="2">
        <v>-83.894397999999995</v>
      </c>
      <c r="Q519" s="2" t="s">
        <v>2108</v>
      </c>
      <c r="R519" s="3" t="s">
        <v>24</v>
      </c>
      <c r="S519" s="2" t="s">
        <v>25</v>
      </c>
      <c r="T519" s="2" t="s">
        <v>26</v>
      </c>
    </row>
    <row r="520" spans="1:20" x14ac:dyDescent="0.2">
      <c r="A520" s="2">
        <v>2024</v>
      </c>
      <c r="B520" s="2" t="s">
        <v>969</v>
      </c>
      <c r="C520" s="2" t="s">
        <v>970</v>
      </c>
      <c r="D520" s="2" t="s">
        <v>161</v>
      </c>
      <c r="E520" s="2" t="s">
        <v>20</v>
      </c>
      <c r="F520" s="2">
        <v>2017</v>
      </c>
      <c r="G520" s="2">
        <v>2017</v>
      </c>
      <c r="H520" s="2">
        <f>'mpi_dataset_summary_2017-2024'!$G520-'mpi_dataset_summary_2017-2024'!$F520+1</f>
        <v>1</v>
      </c>
      <c r="I520" s="2" t="s">
        <v>2111</v>
      </c>
      <c r="J520" s="2" t="s">
        <v>2111</v>
      </c>
      <c r="K520" s="2">
        <f>IF('mpi_dataset_summary_2017-2024'!$G520=2024,1,0)</f>
        <v>0</v>
      </c>
      <c r="L520" s="2">
        <f t="shared" si="16"/>
        <v>0</v>
      </c>
      <c r="M520" s="2">
        <v>18</v>
      </c>
      <c r="N520" s="2">
        <f t="shared" si="17"/>
        <v>8.3000000000000004E-2</v>
      </c>
      <c r="O520" s="2">
        <v>44.311629000000003</v>
      </c>
      <c r="P520" s="2">
        <v>-78.314267999999998</v>
      </c>
      <c r="Q520" s="2" t="s">
        <v>2108</v>
      </c>
      <c r="R520" s="3" t="s">
        <v>41</v>
      </c>
      <c r="S520" s="2" t="s">
        <v>25</v>
      </c>
      <c r="T520" s="2" t="s">
        <v>46</v>
      </c>
    </row>
    <row r="521" spans="1:20" x14ac:dyDescent="0.2">
      <c r="A521" s="2">
        <v>2025</v>
      </c>
      <c r="B521" s="2" t="s">
        <v>971</v>
      </c>
      <c r="C521" s="2" t="s">
        <v>972</v>
      </c>
      <c r="D521" s="2" t="s">
        <v>161</v>
      </c>
      <c r="E521" s="2" t="s">
        <v>20</v>
      </c>
      <c r="F521" s="2">
        <v>2017</v>
      </c>
      <c r="G521" s="2">
        <v>2024</v>
      </c>
      <c r="H521" s="2">
        <f>'mpi_dataset_summary_2017-2024'!$G521-'mpi_dataset_summary_2017-2024'!$F521+1</f>
        <v>8</v>
      </c>
      <c r="I521" s="2" t="s">
        <v>2111</v>
      </c>
      <c r="J521" s="2" t="s">
        <v>2112</v>
      </c>
      <c r="K521" s="2">
        <f>IF('mpi_dataset_summary_2017-2024'!$G521=2024,1,0)</f>
        <v>1</v>
      </c>
      <c r="L521" s="2">
        <f t="shared" si="16"/>
        <v>0</v>
      </c>
      <c r="M521" s="2">
        <v>18</v>
      </c>
      <c r="N521" s="2">
        <f t="shared" si="17"/>
        <v>8.3000000000000004E-2</v>
      </c>
      <c r="O521" s="2">
        <v>49.777918</v>
      </c>
      <c r="P521" s="2">
        <v>-94.497041999999993</v>
      </c>
      <c r="Q521" s="2" t="s">
        <v>2108</v>
      </c>
      <c r="R521" s="3" t="s">
        <v>41</v>
      </c>
      <c r="S521" s="2" t="s">
        <v>25</v>
      </c>
      <c r="T521" s="2" t="s">
        <v>46</v>
      </c>
    </row>
    <row r="522" spans="1:20" x14ac:dyDescent="0.2">
      <c r="A522" s="2">
        <v>2026</v>
      </c>
      <c r="B522" s="2" t="s">
        <v>973</v>
      </c>
      <c r="C522" s="2" t="s">
        <v>974</v>
      </c>
      <c r="D522" s="2" t="s">
        <v>161</v>
      </c>
      <c r="E522" s="2" t="s">
        <v>20</v>
      </c>
      <c r="F522" s="2">
        <v>2017</v>
      </c>
      <c r="G522" s="2">
        <v>2017</v>
      </c>
      <c r="H522" s="2">
        <f>'mpi_dataset_summary_2017-2024'!$G522-'mpi_dataset_summary_2017-2024'!$F522+1</f>
        <v>1</v>
      </c>
      <c r="I522" s="2" t="s">
        <v>2111</v>
      </c>
      <c r="J522" s="2" t="s">
        <v>2111</v>
      </c>
      <c r="K522" s="2">
        <f>IF('mpi_dataset_summary_2017-2024'!$G522=2024,1,0)</f>
        <v>0</v>
      </c>
      <c r="L522" s="2">
        <f t="shared" si="16"/>
        <v>0</v>
      </c>
      <c r="M522" s="2">
        <v>19</v>
      </c>
      <c r="N522" s="2">
        <f t="shared" si="17"/>
        <v>8.5999999999999993E-2</v>
      </c>
      <c r="O522" s="2">
        <v>48.611685000000001</v>
      </c>
      <c r="P522" s="2">
        <v>-93.406470999999996</v>
      </c>
      <c r="Q522" s="2" t="s">
        <v>2108</v>
      </c>
      <c r="R522" s="3" t="s">
        <v>41</v>
      </c>
      <c r="S522" s="2" t="s">
        <v>25</v>
      </c>
      <c r="T522" s="2" t="s">
        <v>46</v>
      </c>
    </row>
    <row r="523" spans="1:20" x14ac:dyDescent="0.2">
      <c r="A523" s="2">
        <v>2027</v>
      </c>
      <c r="B523" s="2" t="s">
        <v>975</v>
      </c>
      <c r="C523" s="2" t="s">
        <v>976</v>
      </c>
      <c r="D523" s="2" t="s">
        <v>161</v>
      </c>
      <c r="E523" s="2" t="s">
        <v>43</v>
      </c>
      <c r="F523" s="2">
        <v>2017</v>
      </c>
      <c r="G523" s="2">
        <v>2017</v>
      </c>
      <c r="H523" s="2">
        <f>'mpi_dataset_summary_2017-2024'!$G523-'mpi_dataset_summary_2017-2024'!$F523+1</f>
        <v>1</v>
      </c>
      <c r="I523" s="2" t="s">
        <v>2111</v>
      </c>
      <c r="J523" s="2" t="s">
        <v>2111</v>
      </c>
      <c r="K523" s="2">
        <f>IF('mpi_dataset_summary_2017-2024'!$G523=2024,1,0)</f>
        <v>0</v>
      </c>
      <c r="L523" s="2">
        <f t="shared" si="16"/>
        <v>0</v>
      </c>
      <c r="M523" s="2">
        <v>12.6</v>
      </c>
      <c r="N523" s="2">
        <f t="shared" si="17"/>
        <v>7.0999999999999994E-2</v>
      </c>
      <c r="O523" s="2">
        <v>43.158735</v>
      </c>
      <c r="P523" s="2">
        <v>-79.258494999999996</v>
      </c>
      <c r="Q523" s="2" t="s">
        <v>2108</v>
      </c>
      <c r="R523" s="3" t="s">
        <v>24</v>
      </c>
      <c r="S523" s="2" t="s">
        <v>25</v>
      </c>
      <c r="T523" s="2" t="s">
        <v>26</v>
      </c>
    </row>
    <row r="524" spans="1:20" x14ac:dyDescent="0.2">
      <c r="A524" s="2">
        <v>2028</v>
      </c>
      <c r="B524" s="2" t="s">
        <v>977</v>
      </c>
      <c r="C524" s="2" t="s">
        <v>978</v>
      </c>
      <c r="D524" s="2" t="s">
        <v>161</v>
      </c>
      <c r="E524" s="2" t="s">
        <v>43</v>
      </c>
      <c r="F524" s="2">
        <v>2017</v>
      </c>
      <c r="G524" s="2">
        <v>2017</v>
      </c>
      <c r="H524" s="2">
        <f>'mpi_dataset_summary_2017-2024'!$G524-'mpi_dataset_summary_2017-2024'!$F524+1</f>
        <v>1</v>
      </c>
      <c r="I524" s="2" t="s">
        <v>2111</v>
      </c>
      <c r="J524" s="2" t="s">
        <v>2111</v>
      </c>
      <c r="K524" s="2">
        <f>IF('mpi_dataset_summary_2017-2024'!$G524=2024,1,0)</f>
        <v>0</v>
      </c>
      <c r="L524" s="2">
        <f t="shared" si="16"/>
        <v>0</v>
      </c>
      <c r="M524" s="2">
        <v>10</v>
      </c>
      <c r="N524" s="2">
        <f t="shared" si="17"/>
        <v>6.6000000000000003E-2</v>
      </c>
      <c r="O524" s="2">
        <v>44.293011</v>
      </c>
      <c r="P524" s="2">
        <v>-78.299539999999993</v>
      </c>
      <c r="Q524" s="2" t="s">
        <v>2108</v>
      </c>
      <c r="R524" s="3" t="s">
        <v>24</v>
      </c>
      <c r="S524" s="2" t="s">
        <v>25</v>
      </c>
      <c r="T524" s="2" t="s">
        <v>26</v>
      </c>
    </row>
    <row r="525" spans="1:20" x14ac:dyDescent="0.2">
      <c r="A525" s="2">
        <v>2029</v>
      </c>
      <c r="B525" s="2" t="s">
        <v>979</v>
      </c>
      <c r="C525" s="2" t="s">
        <v>980</v>
      </c>
      <c r="D525" s="2" t="s">
        <v>161</v>
      </c>
      <c r="E525" s="2" t="s">
        <v>43</v>
      </c>
      <c r="F525" s="2">
        <v>2017</v>
      </c>
      <c r="G525" s="2">
        <v>2017</v>
      </c>
      <c r="H525" s="2">
        <f>'mpi_dataset_summary_2017-2024'!$G525-'mpi_dataset_summary_2017-2024'!$F525+1</f>
        <v>1</v>
      </c>
      <c r="I525" s="2" t="s">
        <v>2111</v>
      </c>
      <c r="J525" s="2" t="s">
        <v>2111</v>
      </c>
      <c r="K525" s="2">
        <f>IF('mpi_dataset_summary_2017-2024'!$G525=2024,1,0)</f>
        <v>0</v>
      </c>
      <c r="L525" s="2">
        <f t="shared" si="16"/>
        <v>0</v>
      </c>
      <c r="M525" s="2">
        <v>21</v>
      </c>
      <c r="N525" s="2">
        <f t="shared" si="17"/>
        <v>0.104</v>
      </c>
      <c r="O525" s="2">
        <v>44.121785000000003</v>
      </c>
      <c r="P525" s="2">
        <v>-77.591426999999996</v>
      </c>
      <c r="Q525" s="2" t="s">
        <v>2108</v>
      </c>
      <c r="R525" s="3" t="s">
        <v>24</v>
      </c>
      <c r="S525" s="2" t="s">
        <v>25</v>
      </c>
      <c r="T525" s="2" t="s">
        <v>26</v>
      </c>
    </row>
    <row r="526" spans="1:20" x14ac:dyDescent="0.2">
      <c r="A526" s="2">
        <v>2030</v>
      </c>
      <c r="B526" s="2" t="s">
        <v>981</v>
      </c>
      <c r="C526" s="2" t="s">
        <v>982</v>
      </c>
      <c r="D526" s="2" t="s">
        <v>161</v>
      </c>
      <c r="E526" s="2" t="s">
        <v>20</v>
      </c>
      <c r="F526" s="2">
        <v>2017</v>
      </c>
      <c r="G526" s="2">
        <v>2017</v>
      </c>
      <c r="H526" s="2">
        <f>'mpi_dataset_summary_2017-2024'!$G526-'mpi_dataset_summary_2017-2024'!$F526+1</f>
        <v>1</v>
      </c>
      <c r="I526" s="2" t="s">
        <v>2111</v>
      </c>
      <c r="J526" s="2" t="s">
        <v>2111</v>
      </c>
      <c r="K526" s="2">
        <f>IF('mpi_dataset_summary_2017-2024'!$G526=2024,1,0)</f>
        <v>0</v>
      </c>
      <c r="L526" s="2">
        <f t="shared" si="16"/>
        <v>0</v>
      </c>
      <c r="M526" s="2">
        <v>10</v>
      </c>
      <c r="N526" s="2">
        <f t="shared" si="17"/>
        <v>6.6000000000000003E-2</v>
      </c>
      <c r="O526" s="2">
        <v>44.422172000000003</v>
      </c>
      <c r="P526" s="2">
        <v>-78.274800999999997</v>
      </c>
      <c r="Q526" s="2" t="s">
        <v>2108</v>
      </c>
      <c r="R526" s="3" t="s">
        <v>41</v>
      </c>
      <c r="S526" s="2" t="s">
        <v>25</v>
      </c>
      <c r="T526" s="2" t="s">
        <v>46</v>
      </c>
    </row>
    <row r="527" spans="1:20" x14ac:dyDescent="0.2">
      <c r="A527" s="2">
        <v>2031</v>
      </c>
      <c r="B527" s="2" t="s">
        <v>983</v>
      </c>
      <c r="C527" s="2" t="s">
        <v>984</v>
      </c>
      <c r="D527" s="2" t="s">
        <v>161</v>
      </c>
      <c r="E527" s="2" t="s">
        <v>43</v>
      </c>
      <c r="F527" s="2">
        <v>2017</v>
      </c>
      <c r="G527" s="2">
        <v>2017</v>
      </c>
      <c r="H527" s="2">
        <f>'mpi_dataset_summary_2017-2024'!$G527-'mpi_dataset_summary_2017-2024'!$F527+1</f>
        <v>1</v>
      </c>
      <c r="I527" s="2" t="s">
        <v>2111</v>
      </c>
      <c r="J527" s="2" t="s">
        <v>2111</v>
      </c>
      <c r="K527" s="2">
        <f>IF('mpi_dataset_summary_2017-2024'!$G527=2024,1,0)</f>
        <v>0</v>
      </c>
      <c r="L527" s="2">
        <f t="shared" si="16"/>
        <v>0</v>
      </c>
      <c r="M527" s="2">
        <v>88</v>
      </c>
      <c r="N527" s="2">
        <f t="shared" si="17"/>
        <v>0.32600000000000001</v>
      </c>
      <c r="O527" s="2">
        <v>45.420014000000002</v>
      </c>
      <c r="P527" s="2">
        <v>-75.721152000000004</v>
      </c>
      <c r="Q527" s="2" t="s">
        <v>2108</v>
      </c>
      <c r="R527" s="3" t="s">
        <v>24</v>
      </c>
      <c r="S527" s="2" t="s">
        <v>25</v>
      </c>
      <c r="T527" s="2" t="s">
        <v>26</v>
      </c>
    </row>
    <row r="528" spans="1:20" x14ac:dyDescent="0.2">
      <c r="A528" s="2">
        <v>2032</v>
      </c>
      <c r="B528" s="2" t="s">
        <v>985</v>
      </c>
      <c r="C528" s="2" t="s">
        <v>986</v>
      </c>
      <c r="D528" s="2" t="s">
        <v>161</v>
      </c>
      <c r="E528" s="2" t="s">
        <v>20</v>
      </c>
      <c r="F528" s="2">
        <v>2017</v>
      </c>
      <c r="G528" s="2">
        <v>2018</v>
      </c>
      <c r="H528" s="2">
        <f>'mpi_dataset_summary_2017-2024'!$G528-'mpi_dataset_summary_2017-2024'!$F528+1</f>
        <v>2</v>
      </c>
      <c r="I528" s="2" t="s">
        <v>2111</v>
      </c>
      <c r="J528" s="2" t="s">
        <v>2110</v>
      </c>
      <c r="K528" s="2">
        <f>IF('mpi_dataset_summary_2017-2024'!$G528=2024,1,0)</f>
        <v>0</v>
      </c>
      <c r="L528" s="2">
        <f t="shared" si="16"/>
        <v>1</v>
      </c>
      <c r="M528" s="2">
        <v>48</v>
      </c>
      <c r="N528" s="2">
        <f t="shared" si="17"/>
        <v>0.20799999999999999</v>
      </c>
      <c r="O528" s="2">
        <v>49.197785000000003</v>
      </c>
      <c r="P528" s="2">
        <v>-81.650557000000006</v>
      </c>
      <c r="Q528" s="2" t="s">
        <v>2108</v>
      </c>
      <c r="R528" s="3" t="s">
        <v>24</v>
      </c>
      <c r="S528" s="2" t="s">
        <v>25</v>
      </c>
      <c r="T528" s="2" t="s">
        <v>26</v>
      </c>
    </row>
    <row r="529" spans="1:20" x14ac:dyDescent="0.2">
      <c r="A529" s="2">
        <v>2033</v>
      </c>
      <c r="B529" s="2" t="s">
        <v>987</v>
      </c>
      <c r="C529" s="2" t="s">
        <v>988</v>
      </c>
      <c r="D529" s="2" t="s">
        <v>161</v>
      </c>
      <c r="E529" s="2" t="s">
        <v>20</v>
      </c>
      <c r="F529" s="2">
        <v>2017</v>
      </c>
      <c r="G529" s="2">
        <v>2018</v>
      </c>
      <c r="H529" s="2">
        <f>'mpi_dataset_summary_2017-2024'!$G529-'mpi_dataset_summary_2017-2024'!$F529+1</f>
        <v>2</v>
      </c>
      <c r="I529" s="2" t="s">
        <v>2111</v>
      </c>
      <c r="J529" s="2" t="s">
        <v>2110</v>
      </c>
      <c r="K529" s="2">
        <f>IF('mpi_dataset_summary_2017-2024'!$G529=2024,1,0)</f>
        <v>0</v>
      </c>
      <c r="L529" s="2">
        <f t="shared" si="16"/>
        <v>1</v>
      </c>
      <c r="M529" s="2">
        <v>23</v>
      </c>
      <c r="N529" s="2">
        <f t="shared" si="17"/>
        <v>0.11700000000000001</v>
      </c>
      <c r="O529" s="2">
        <v>50.111496000000002</v>
      </c>
      <c r="P529" s="2">
        <v>-82.208949000000004</v>
      </c>
      <c r="Q529" s="2" t="s">
        <v>2108</v>
      </c>
      <c r="R529" s="3" t="s">
        <v>41</v>
      </c>
      <c r="S529" s="2" t="s">
        <v>25</v>
      </c>
      <c r="T529" s="2" t="s">
        <v>46</v>
      </c>
    </row>
    <row r="530" spans="1:20" x14ac:dyDescent="0.2">
      <c r="A530" s="2">
        <v>2034</v>
      </c>
      <c r="B530" s="2" t="s">
        <v>987</v>
      </c>
      <c r="C530" s="2" t="s">
        <v>989</v>
      </c>
      <c r="D530" s="2" t="s">
        <v>161</v>
      </c>
      <c r="E530" s="2" t="s">
        <v>20</v>
      </c>
      <c r="F530" s="2">
        <v>2017</v>
      </c>
      <c r="G530" s="2">
        <v>2018</v>
      </c>
      <c r="H530" s="2">
        <f>'mpi_dataset_summary_2017-2024'!$G530-'mpi_dataset_summary_2017-2024'!$F530+1</f>
        <v>2</v>
      </c>
      <c r="I530" s="2" t="s">
        <v>2111</v>
      </c>
      <c r="J530" s="2" t="s">
        <v>2110</v>
      </c>
      <c r="K530" s="2">
        <f>IF('mpi_dataset_summary_2017-2024'!$G530=2024,1,0)</f>
        <v>0</v>
      </c>
      <c r="L530" s="2">
        <f t="shared" si="16"/>
        <v>1</v>
      </c>
      <c r="M530" s="2">
        <v>53</v>
      </c>
      <c r="N530" s="2">
        <f t="shared" si="17"/>
        <v>0.23599999999999999</v>
      </c>
      <c r="O530" s="2">
        <v>50.146158999999997</v>
      </c>
      <c r="P530" s="2">
        <v>-82.211957999999996</v>
      </c>
      <c r="Q530" s="2" t="s">
        <v>2108</v>
      </c>
      <c r="R530" s="3" t="s">
        <v>41</v>
      </c>
      <c r="S530" s="2" t="s">
        <v>25</v>
      </c>
      <c r="T530" s="2" t="s">
        <v>46</v>
      </c>
    </row>
    <row r="531" spans="1:20" x14ac:dyDescent="0.2">
      <c r="A531" s="2">
        <v>2035</v>
      </c>
      <c r="B531" s="2" t="s">
        <v>990</v>
      </c>
      <c r="C531" s="2" t="s">
        <v>991</v>
      </c>
      <c r="D531" s="2" t="s">
        <v>161</v>
      </c>
      <c r="E531" s="2" t="s">
        <v>43</v>
      </c>
      <c r="F531" s="2">
        <v>2017</v>
      </c>
      <c r="G531" s="2">
        <v>2017</v>
      </c>
      <c r="H531" s="2">
        <f>'mpi_dataset_summary_2017-2024'!$G531-'mpi_dataset_summary_2017-2024'!$F531+1</f>
        <v>1</v>
      </c>
      <c r="I531" s="2" t="s">
        <v>2111</v>
      </c>
      <c r="J531" s="2" t="s">
        <v>2111</v>
      </c>
      <c r="K531" s="2">
        <f>IF('mpi_dataset_summary_2017-2024'!$G531=2024,1,0)</f>
        <v>0</v>
      </c>
      <c r="L531" s="2">
        <f t="shared" si="16"/>
        <v>0</v>
      </c>
      <c r="M531" s="2">
        <v>30</v>
      </c>
      <c r="N531" s="2">
        <f t="shared" si="17"/>
        <v>0.14599999999999999</v>
      </c>
      <c r="O531" s="2">
        <v>49.683320999999999</v>
      </c>
      <c r="P531" s="2">
        <v>-88.005600000000001</v>
      </c>
      <c r="Q531" s="2" t="s">
        <v>2108</v>
      </c>
      <c r="R531" s="3" t="s">
        <v>24</v>
      </c>
      <c r="S531" s="2" t="s">
        <v>25</v>
      </c>
      <c r="T531" s="2" t="s">
        <v>45</v>
      </c>
    </row>
    <row r="532" spans="1:20" x14ac:dyDescent="0.2">
      <c r="A532" s="2">
        <v>2036</v>
      </c>
      <c r="B532" s="2" t="s">
        <v>992</v>
      </c>
      <c r="C532" s="2" t="s">
        <v>993</v>
      </c>
      <c r="D532" s="2" t="s">
        <v>161</v>
      </c>
      <c r="E532" s="2" t="s">
        <v>20</v>
      </c>
      <c r="F532" s="2">
        <v>2017</v>
      </c>
      <c r="G532" s="2">
        <v>2018</v>
      </c>
      <c r="H532" s="2">
        <f>'mpi_dataset_summary_2017-2024'!$G532-'mpi_dataset_summary_2017-2024'!$F532+1</f>
        <v>2</v>
      </c>
      <c r="I532" s="2" t="s">
        <v>2111</v>
      </c>
      <c r="J532" s="2" t="s">
        <v>2110</v>
      </c>
      <c r="K532" s="2">
        <f>IF('mpi_dataset_summary_2017-2024'!$G532=2024,1,0)</f>
        <v>0</v>
      </c>
      <c r="L532" s="2">
        <f t="shared" si="16"/>
        <v>1</v>
      </c>
      <c r="M532" s="2">
        <v>135</v>
      </c>
      <c r="N532" s="2">
        <f t="shared" si="17"/>
        <v>0.42</v>
      </c>
      <c r="O532" s="2">
        <v>44.376615999999999</v>
      </c>
      <c r="P532" s="2">
        <v>-76.948684</v>
      </c>
      <c r="Q532" s="2" t="s">
        <v>2108</v>
      </c>
      <c r="R532" s="3" t="s">
        <v>24</v>
      </c>
      <c r="S532" s="2" t="s">
        <v>25</v>
      </c>
      <c r="T532" s="2" t="s">
        <v>26</v>
      </c>
    </row>
    <row r="533" spans="1:20" x14ac:dyDescent="0.2">
      <c r="A533" s="2">
        <v>2037</v>
      </c>
      <c r="B533" s="2" t="s">
        <v>994</v>
      </c>
      <c r="C533" s="2" t="s">
        <v>995</v>
      </c>
      <c r="D533" s="2" t="s">
        <v>161</v>
      </c>
      <c r="E533" s="2" t="s">
        <v>20</v>
      </c>
      <c r="F533" s="2">
        <v>2017</v>
      </c>
      <c r="G533" s="2">
        <v>2017</v>
      </c>
      <c r="H533" s="2">
        <f>'mpi_dataset_summary_2017-2024'!$G533-'mpi_dataset_summary_2017-2024'!$F533+1</f>
        <v>1</v>
      </c>
      <c r="I533" s="2" t="s">
        <v>2111</v>
      </c>
      <c r="J533" s="2" t="s">
        <v>2111</v>
      </c>
      <c r="K533" s="2">
        <f>IF('mpi_dataset_summary_2017-2024'!$G533=2024,1,0)</f>
        <v>0</v>
      </c>
      <c r="L533" s="2">
        <f t="shared" si="16"/>
        <v>0</v>
      </c>
      <c r="M533" s="2">
        <v>125</v>
      </c>
      <c r="N533" s="2">
        <f t="shared" si="17"/>
        <v>0.40300000000000002</v>
      </c>
      <c r="O533" s="2">
        <v>42.275418000000002</v>
      </c>
      <c r="P533" s="2">
        <v>-82.944771000000003</v>
      </c>
      <c r="Q533" s="2" t="s">
        <v>2108</v>
      </c>
      <c r="R533" s="3" t="s">
        <v>24</v>
      </c>
      <c r="S533" s="2" t="s">
        <v>25</v>
      </c>
      <c r="T533" s="2" t="s">
        <v>26</v>
      </c>
    </row>
    <row r="534" spans="1:20" x14ac:dyDescent="0.2">
      <c r="A534" s="2">
        <v>2038</v>
      </c>
      <c r="B534" s="2" t="s">
        <v>996</v>
      </c>
      <c r="C534" s="2" t="s">
        <v>997</v>
      </c>
      <c r="D534" s="2" t="s">
        <v>161</v>
      </c>
      <c r="E534" s="2" t="s">
        <v>20</v>
      </c>
      <c r="F534" s="2">
        <v>2017</v>
      </c>
      <c r="G534" s="2">
        <v>2017</v>
      </c>
      <c r="H534" s="2">
        <f>'mpi_dataset_summary_2017-2024'!$G534-'mpi_dataset_summary_2017-2024'!$F534+1</f>
        <v>1</v>
      </c>
      <c r="I534" s="2" t="s">
        <v>2111</v>
      </c>
      <c r="J534" s="2" t="s">
        <v>2111</v>
      </c>
      <c r="K534" s="2">
        <f>IF('mpi_dataset_summary_2017-2024'!$G534=2024,1,0)</f>
        <v>0</v>
      </c>
      <c r="L534" s="2">
        <f t="shared" si="16"/>
        <v>0</v>
      </c>
      <c r="M534" s="2">
        <v>125</v>
      </c>
      <c r="N534" s="2">
        <f t="shared" si="17"/>
        <v>0.40300000000000002</v>
      </c>
      <c r="O534" s="2">
        <v>43.976139000000003</v>
      </c>
      <c r="P534" s="2">
        <v>-80.770801000000006</v>
      </c>
      <c r="Q534" s="2" t="s">
        <v>2108</v>
      </c>
      <c r="R534" s="3" t="s">
        <v>24</v>
      </c>
      <c r="S534" s="2" t="s">
        <v>25</v>
      </c>
      <c r="T534" s="2" t="s">
        <v>26</v>
      </c>
    </row>
    <row r="535" spans="1:20" x14ac:dyDescent="0.2">
      <c r="A535" s="2">
        <v>2039</v>
      </c>
      <c r="B535" s="2" t="s">
        <v>998</v>
      </c>
      <c r="C535" s="2" t="s">
        <v>999</v>
      </c>
      <c r="D535" s="2" t="s">
        <v>161</v>
      </c>
      <c r="E535" s="2" t="s">
        <v>20</v>
      </c>
      <c r="F535" s="2">
        <v>2017</v>
      </c>
      <c r="G535" s="2">
        <v>2018</v>
      </c>
      <c r="H535" s="2">
        <f>'mpi_dataset_summary_2017-2024'!$G535-'mpi_dataset_summary_2017-2024'!$F535+1</f>
        <v>2</v>
      </c>
      <c r="I535" s="2" t="s">
        <v>2111</v>
      </c>
      <c r="J535" s="2" t="s">
        <v>2110</v>
      </c>
      <c r="K535" s="2">
        <f>IF('mpi_dataset_summary_2017-2024'!$G535=2024,1,0)</f>
        <v>0</v>
      </c>
      <c r="L535" s="2">
        <f t="shared" si="16"/>
        <v>1</v>
      </c>
      <c r="M535" s="2">
        <v>110</v>
      </c>
      <c r="N535" s="2">
        <f t="shared" si="17"/>
        <v>0.372</v>
      </c>
      <c r="O535" s="2">
        <v>42.799588999999997</v>
      </c>
      <c r="P535" s="2">
        <v>-80.052075000000002</v>
      </c>
      <c r="Q535" s="2" t="s">
        <v>2108</v>
      </c>
      <c r="R535" s="3" t="s">
        <v>24</v>
      </c>
      <c r="S535" s="2" t="s">
        <v>25</v>
      </c>
      <c r="T535" s="2" t="s">
        <v>26</v>
      </c>
    </row>
    <row r="536" spans="1:20" x14ac:dyDescent="0.2">
      <c r="A536" s="2">
        <v>2040</v>
      </c>
      <c r="B536" s="2" t="s">
        <v>1000</v>
      </c>
      <c r="C536" s="2" t="s">
        <v>1001</v>
      </c>
      <c r="D536" s="2" t="s">
        <v>161</v>
      </c>
      <c r="E536" s="2" t="s">
        <v>20</v>
      </c>
      <c r="F536" s="2">
        <v>2017</v>
      </c>
      <c r="G536" s="2">
        <v>2018</v>
      </c>
      <c r="H536" s="2">
        <f>'mpi_dataset_summary_2017-2024'!$G536-'mpi_dataset_summary_2017-2024'!$F536+1</f>
        <v>2</v>
      </c>
      <c r="I536" s="2" t="s">
        <v>2111</v>
      </c>
      <c r="J536" s="2" t="s">
        <v>2110</v>
      </c>
      <c r="K536" s="2">
        <f>IF('mpi_dataset_summary_2017-2024'!$G536=2024,1,0)</f>
        <v>0</v>
      </c>
      <c r="L536" s="2">
        <f t="shared" si="16"/>
        <v>1</v>
      </c>
      <c r="M536" s="2">
        <v>30</v>
      </c>
      <c r="N536" s="2">
        <f t="shared" si="17"/>
        <v>0.14599999999999999</v>
      </c>
      <c r="O536" s="2" t="s">
        <v>2114</v>
      </c>
      <c r="P536" s="2">
        <v>-75.071146999999996</v>
      </c>
      <c r="Q536" s="2" t="s">
        <v>2108</v>
      </c>
      <c r="R536" s="3" t="s">
        <v>24</v>
      </c>
      <c r="S536" s="2" t="s">
        <v>25</v>
      </c>
      <c r="T536" s="2" t="s">
        <v>26</v>
      </c>
    </row>
    <row r="537" spans="1:20" x14ac:dyDescent="0.2">
      <c r="A537" s="2">
        <v>2041</v>
      </c>
      <c r="B537" s="2" t="s">
        <v>1002</v>
      </c>
      <c r="C537" s="2" t="s">
        <v>1003</v>
      </c>
      <c r="D537" s="2" t="s">
        <v>161</v>
      </c>
      <c r="E537" s="2" t="s">
        <v>20</v>
      </c>
      <c r="F537" s="2">
        <v>2017</v>
      </c>
      <c r="G537" s="2">
        <v>2017</v>
      </c>
      <c r="H537" s="2">
        <f>'mpi_dataset_summary_2017-2024'!$G537-'mpi_dataset_summary_2017-2024'!$F537+1</f>
        <v>1</v>
      </c>
      <c r="I537" s="2" t="s">
        <v>2111</v>
      </c>
      <c r="J537" s="2" t="s">
        <v>2111</v>
      </c>
      <c r="K537" s="2">
        <f>IF('mpi_dataset_summary_2017-2024'!$G537=2024,1,0)</f>
        <v>0</v>
      </c>
      <c r="L537" s="2">
        <f t="shared" si="16"/>
        <v>0</v>
      </c>
      <c r="M537" s="2">
        <v>30</v>
      </c>
      <c r="N537" s="2">
        <f t="shared" si="17"/>
        <v>0.14599999999999999</v>
      </c>
      <c r="O537" s="2">
        <v>45.610067999999998</v>
      </c>
      <c r="P537" s="2">
        <v>-79.421249000000003</v>
      </c>
      <c r="Q537" s="2" t="s">
        <v>2108</v>
      </c>
      <c r="R537" s="3" t="s">
        <v>24</v>
      </c>
      <c r="S537" s="2" t="s">
        <v>25</v>
      </c>
      <c r="T537" s="2" t="s">
        <v>26</v>
      </c>
    </row>
    <row r="538" spans="1:20" x14ac:dyDescent="0.2">
      <c r="A538" s="2">
        <v>2042</v>
      </c>
      <c r="B538" s="2" t="s">
        <v>1004</v>
      </c>
      <c r="C538" s="2" t="s">
        <v>1005</v>
      </c>
      <c r="D538" s="2" t="s">
        <v>161</v>
      </c>
      <c r="E538" s="2" t="s">
        <v>20</v>
      </c>
      <c r="F538" s="2">
        <v>2017</v>
      </c>
      <c r="G538" s="2">
        <v>2018</v>
      </c>
      <c r="H538" s="2">
        <f>'mpi_dataset_summary_2017-2024'!$G538-'mpi_dataset_summary_2017-2024'!$F538+1</f>
        <v>2</v>
      </c>
      <c r="I538" s="2" t="s">
        <v>2111</v>
      </c>
      <c r="J538" s="2" t="s">
        <v>2110</v>
      </c>
      <c r="K538" s="2">
        <f>IF('mpi_dataset_summary_2017-2024'!$G538=2024,1,0)</f>
        <v>0</v>
      </c>
      <c r="L538" s="2">
        <f t="shared" si="16"/>
        <v>1</v>
      </c>
      <c r="M538" s="2">
        <v>25</v>
      </c>
      <c r="N538" s="2">
        <f t="shared" si="17"/>
        <v>0.125</v>
      </c>
      <c r="O538" s="2">
        <v>45.046706999999998</v>
      </c>
      <c r="P538" s="2">
        <v>-74.812532000000004</v>
      </c>
      <c r="Q538" s="2" t="s">
        <v>2108</v>
      </c>
      <c r="R538" s="3" t="s">
        <v>24</v>
      </c>
      <c r="S538" s="2" t="s">
        <v>25</v>
      </c>
      <c r="T538" s="2" t="s">
        <v>26</v>
      </c>
    </row>
    <row r="539" spans="1:20" x14ac:dyDescent="0.2">
      <c r="A539" s="2">
        <v>2043</v>
      </c>
      <c r="B539" s="2" t="s">
        <v>1006</v>
      </c>
      <c r="C539" s="2" t="s">
        <v>1007</v>
      </c>
      <c r="D539" s="2" t="s">
        <v>161</v>
      </c>
      <c r="E539" s="2" t="s">
        <v>20</v>
      </c>
      <c r="F539" s="2">
        <v>2017</v>
      </c>
      <c r="G539" s="2">
        <v>2017</v>
      </c>
      <c r="H539" s="2">
        <f>'mpi_dataset_summary_2017-2024'!$G539-'mpi_dataset_summary_2017-2024'!$F539+1</f>
        <v>1</v>
      </c>
      <c r="I539" s="2" t="s">
        <v>2111</v>
      </c>
      <c r="J539" s="2" t="s">
        <v>2111</v>
      </c>
      <c r="K539" s="2">
        <f>IF('mpi_dataset_summary_2017-2024'!$G539=2024,1,0)</f>
        <v>0</v>
      </c>
      <c r="L539" s="2">
        <f t="shared" si="16"/>
        <v>0</v>
      </c>
      <c r="M539" s="2">
        <v>16.899999999999999</v>
      </c>
      <c r="N539" s="2">
        <f t="shared" si="17"/>
        <v>8.1000000000000003E-2</v>
      </c>
      <c r="O539" s="2">
        <v>44.472645999999997</v>
      </c>
      <c r="P539" s="2">
        <v>-79.559584999999998</v>
      </c>
      <c r="Q539" s="2" t="s">
        <v>2108</v>
      </c>
      <c r="R539" s="3" t="s">
        <v>24</v>
      </c>
      <c r="S539" s="2" t="s">
        <v>25</v>
      </c>
      <c r="T539" s="2" t="s">
        <v>26</v>
      </c>
    </row>
    <row r="540" spans="1:20" x14ac:dyDescent="0.2">
      <c r="A540" s="2">
        <v>2044</v>
      </c>
      <c r="B540" s="2" t="s">
        <v>1008</v>
      </c>
      <c r="C540" s="2" t="s">
        <v>1009</v>
      </c>
      <c r="D540" s="2" t="s">
        <v>161</v>
      </c>
      <c r="E540" s="2" t="s">
        <v>20</v>
      </c>
      <c r="F540" s="2">
        <v>2017</v>
      </c>
      <c r="G540" s="2">
        <v>2017</v>
      </c>
      <c r="H540" s="2">
        <f>'mpi_dataset_summary_2017-2024'!$G540-'mpi_dataset_summary_2017-2024'!$F540+1</f>
        <v>1</v>
      </c>
      <c r="I540" s="2" t="s">
        <v>2111</v>
      </c>
      <c r="J540" s="2" t="s">
        <v>2111</v>
      </c>
      <c r="K540" s="2">
        <f>IF('mpi_dataset_summary_2017-2024'!$G540=2024,1,0)</f>
        <v>0</v>
      </c>
      <c r="L540" s="2">
        <f t="shared" si="16"/>
        <v>0</v>
      </c>
      <c r="M540" s="2">
        <v>20</v>
      </c>
      <c r="N540" s="2">
        <f t="shared" si="17"/>
        <v>8.8999999999999996E-2</v>
      </c>
      <c r="O540" s="2">
        <v>44.109968000000002</v>
      </c>
      <c r="P540" s="2">
        <v>-78.648312000000004</v>
      </c>
      <c r="Q540" s="2" t="s">
        <v>2108</v>
      </c>
      <c r="R540" s="3" t="s">
        <v>24</v>
      </c>
      <c r="S540" s="2" t="s">
        <v>25</v>
      </c>
      <c r="T540" s="2" t="s">
        <v>26</v>
      </c>
    </row>
    <row r="541" spans="1:20" x14ac:dyDescent="0.2">
      <c r="A541" s="2">
        <v>2045</v>
      </c>
      <c r="B541" s="2" t="s">
        <v>1010</v>
      </c>
      <c r="C541" s="2" t="s">
        <v>1011</v>
      </c>
      <c r="D541" s="2" t="s">
        <v>161</v>
      </c>
      <c r="E541" s="2" t="s">
        <v>20</v>
      </c>
      <c r="F541" s="2">
        <v>2017</v>
      </c>
      <c r="G541" s="2">
        <v>2019</v>
      </c>
      <c r="H541" s="2">
        <f>'mpi_dataset_summary_2017-2024'!$G541-'mpi_dataset_summary_2017-2024'!$F541+1</f>
        <v>3</v>
      </c>
      <c r="I541" s="2" t="s">
        <v>2111</v>
      </c>
      <c r="J541" s="2" t="s">
        <v>2110</v>
      </c>
      <c r="K541" s="2">
        <f>IF('mpi_dataset_summary_2017-2024'!$G541=2024,1,0)</f>
        <v>0</v>
      </c>
      <c r="L541" s="2">
        <f t="shared" si="16"/>
        <v>1</v>
      </c>
      <c r="M541" s="2">
        <v>750</v>
      </c>
      <c r="N541" s="2">
        <f t="shared" si="17"/>
        <v>0.75700000000000001</v>
      </c>
      <c r="O541" s="2">
        <v>45.983545999999997</v>
      </c>
      <c r="P541" s="2">
        <v>-80.532995999999997</v>
      </c>
      <c r="Q541" s="2" t="s">
        <v>2108</v>
      </c>
      <c r="R541" s="3" t="s">
        <v>24</v>
      </c>
      <c r="S541" s="2" t="s">
        <v>25</v>
      </c>
      <c r="T541" s="2" t="s">
        <v>45</v>
      </c>
    </row>
    <row r="542" spans="1:20" x14ac:dyDescent="0.2">
      <c r="A542" s="2">
        <v>2046</v>
      </c>
      <c r="B542" s="2" t="s">
        <v>1012</v>
      </c>
      <c r="C542" s="2" t="s">
        <v>1013</v>
      </c>
      <c r="D542" s="2" t="s">
        <v>161</v>
      </c>
      <c r="E542" s="2" t="s">
        <v>20</v>
      </c>
      <c r="F542" s="2">
        <v>2017</v>
      </c>
      <c r="G542" s="2">
        <v>2017</v>
      </c>
      <c r="H542" s="2">
        <f>'mpi_dataset_summary_2017-2024'!$G542-'mpi_dataset_summary_2017-2024'!$F542+1</f>
        <v>1</v>
      </c>
      <c r="I542" s="2" t="s">
        <v>2111</v>
      </c>
      <c r="J542" s="2" t="s">
        <v>2111</v>
      </c>
      <c r="K542" s="2">
        <f>IF('mpi_dataset_summary_2017-2024'!$G542=2024,1,0)</f>
        <v>0</v>
      </c>
      <c r="L542" s="2">
        <f t="shared" si="16"/>
        <v>0</v>
      </c>
      <c r="M542" s="2">
        <v>250</v>
      </c>
      <c r="N542" s="2">
        <f t="shared" si="17"/>
        <v>0.53500000000000003</v>
      </c>
      <c r="O542" s="2">
        <v>42.241880000000002</v>
      </c>
      <c r="P542" s="2">
        <v>-82.702027000000001</v>
      </c>
      <c r="Q542" s="2" t="s">
        <v>2108</v>
      </c>
      <c r="R542" s="3" t="s">
        <v>24</v>
      </c>
      <c r="S542" s="2" t="s">
        <v>25</v>
      </c>
      <c r="T542" s="2" t="s">
        <v>26</v>
      </c>
    </row>
    <row r="543" spans="1:20" x14ac:dyDescent="0.2">
      <c r="A543" s="2">
        <v>2047</v>
      </c>
      <c r="B543" s="2" t="s">
        <v>1014</v>
      </c>
      <c r="C543" s="2" t="s">
        <v>1015</v>
      </c>
      <c r="D543" s="2" t="s">
        <v>161</v>
      </c>
      <c r="E543" s="2" t="s">
        <v>20</v>
      </c>
      <c r="F543" s="2">
        <v>2017</v>
      </c>
      <c r="G543" s="2">
        <v>2017</v>
      </c>
      <c r="H543" s="2">
        <f>'mpi_dataset_summary_2017-2024'!$G543-'mpi_dataset_summary_2017-2024'!$F543+1</f>
        <v>1</v>
      </c>
      <c r="I543" s="2" t="s">
        <v>2111</v>
      </c>
      <c r="J543" s="2" t="s">
        <v>2111</v>
      </c>
      <c r="K543" s="2">
        <f>IF('mpi_dataset_summary_2017-2024'!$G543=2024,1,0)</f>
        <v>0</v>
      </c>
      <c r="L543" s="2">
        <f t="shared" si="16"/>
        <v>0</v>
      </c>
      <c r="M543" s="2">
        <v>250</v>
      </c>
      <c r="N543" s="2">
        <f t="shared" si="17"/>
        <v>0.53500000000000003</v>
      </c>
      <c r="O543" s="2">
        <v>42.516451000000004</v>
      </c>
      <c r="P543" s="2">
        <v>-82.326943999999997</v>
      </c>
      <c r="Q543" s="2" t="s">
        <v>2108</v>
      </c>
      <c r="R543" s="3" t="s">
        <v>24</v>
      </c>
      <c r="S543" s="2" t="s">
        <v>25</v>
      </c>
      <c r="T543" s="2" t="s">
        <v>26</v>
      </c>
    </row>
    <row r="544" spans="1:20" x14ac:dyDescent="0.2">
      <c r="A544" s="2">
        <v>2048</v>
      </c>
      <c r="B544" s="2" t="s">
        <v>1016</v>
      </c>
      <c r="C544" s="2" t="s">
        <v>1017</v>
      </c>
      <c r="D544" s="2" t="s">
        <v>161</v>
      </c>
      <c r="E544" s="2" t="s">
        <v>20</v>
      </c>
      <c r="F544" s="2">
        <v>2017</v>
      </c>
      <c r="G544" s="2">
        <v>2021</v>
      </c>
      <c r="H544" s="2">
        <f>'mpi_dataset_summary_2017-2024'!$G544-'mpi_dataset_summary_2017-2024'!$F544+1</f>
        <v>5</v>
      </c>
      <c r="I544" s="2" t="s">
        <v>2111</v>
      </c>
      <c r="J544" s="2" t="s">
        <v>2110</v>
      </c>
      <c r="K544" s="2">
        <f>IF('mpi_dataset_summary_2017-2024'!$G544=2024,1,0)</f>
        <v>0</v>
      </c>
      <c r="L544" s="2">
        <f t="shared" si="16"/>
        <v>1</v>
      </c>
      <c r="M544" s="2">
        <v>250</v>
      </c>
      <c r="N544" s="2">
        <f t="shared" si="17"/>
        <v>0.53500000000000003</v>
      </c>
      <c r="O544" s="2">
        <v>45.121541000000001</v>
      </c>
      <c r="P544" s="2">
        <v>-75.065136999999993</v>
      </c>
      <c r="Q544" s="2" t="s">
        <v>2108</v>
      </c>
      <c r="R544" s="3" t="s">
        <v>24</v>
      </c>
      <c r="S544" s="2" t="s">
        <v>25</v>
      </c>
      <c r="T544" s="2" t="s">
        <v>26</v>
      </c>
    </row>
    <row r="545" spans="1:20" x14ac:dyDescent="0.2">
      <c r="A545" s="2">
        <v>2049</v>
      </c>
      <c r="B545" s="2" t="s">
        <v>1018</v>
      </c>
      <c r="C545" s="2" t="s">
        <v>1019</v>
      </c>
      <c r="D545" s="2" t="s">
        <v>161</v>
      </c>
      <c r="E545" s="2" t="s">
        <v>20</v>
      </c>
      <c r="F545" s="2">
        <v>2017</v>
      </c>
      <c r="G545" s="2">
        <v>2018</v>
      </c>
      <c r="H545" s="2">
        <f>'mpi_dataset_summary_2017-2024'!$G545-'mpi_dataset_summary_2017-2024'!$F545+1</f>
        <v>2</v>
      </c>
      <c r="I545" s="2" t="s">
        <v>2111</v>
      </c>
      <c r="J545" s="2" t="s">
        <v>2110</v>
      </c>
      <c r="K545" s="2">
        <f>IF('mpi_dataset_summary_2017-2024'!$G545=2024,1,0)</f>
        <v>0</v>
      </c>
      <c r="L545" s="2">
        <f t="shared" si="16"/>
        <v>1</v>
      </c>
      <c r="M545" s="2">
        <v>150</v>
      </c>
      <c r="N545" s="2">
        <f t="shared" si="17"/>
        <v>0.442</v>
      </c>
      <c r="O545" s="2">
        <v>43.883994999999999</v>
      </c>
      <c r="P545" s="2">
        <v>-77.111536999999998</v>
      </c>
      <c r="Q545" s="2" t="s">
        <v>2108</v>
      </c>
      <c r="R545" s="3" t="s">
        <v>24</v>
      </c>
      <c r="S545" s="2" t="s">
        <v>25</v>
      </c>
      <c r="T545" s="2" t="s">
        <v>26</v>
      </c>
    </row>
    <row r="546" spans="1:20" x14ac:dyDescent="0.2">
      <c r="A546" s="2">
        <v>2050</v>
      </c>
      <c r="B546" s="2" t="s">
        <v>1020</v>
      </c>
      <c r="C546" s="2" t="s">
        <v>1021</v>
      </c>
      <c r="D546" s="2" t="s">
        <v>161</v>
      </c>
      <c r="E546" s="2" t="s">
        <v>20</v>
      </c>
      <c r="F546" s="2">
        <v>2017</v>
      </c>
      <c r="G546" s="2">
        <v>2018</v>
      </c>
      <c r="H546" s="2">
        <f>'mpi_dataset_summary_2017-2024'!$G546-'mpi_dataset_summary_2017-2024'!$F546+1</f>
        <v>2</v>
      </c>
      <c r="I546" s="2" t="s">
        <v>2111</v>
      </c>
      <c r="J546" s="2" t="s">
        <v>2110</v>
      </c>
      <c r="K546" s="2">
        <f>IF('mpi_dataset_summary_2017-2024'!$G546=2024,1,0)</f>
        <v>0</v>
      </c>
      <c r="L546" s="2">
        <f t="shared" si="16"/>
        <v>1</v>
      </c>
      <c r="M546" s="2">
        <v>188</v>
      </c>
      <c r="N546" s="2">
        <f t="shared" si="17"/>
        <v>0.48</v>
      </c>
      <c r="O546" s="2">
        <v>44.170335999999999</v>
      </c>
      <c r="P546" s="2">
        <v>-76.701044999999993</v>
      </c>
      <c r="Q546" s="2" t="s">
        <v>2108</v>
      </c>
      <c r="R546" s="3" t="s">
        <v>24</v>
      </c>
      <c r="S546" s="2" t="s">
        <v>25</v>
      </c>
      <c r="T546" s="2" t="s">
        <v>26</v>
      </c>
    </row>
    <row r="547" spans="1:20" x14ac:dyDescent="0.2">
      <c r="A547" s="2">
        <v>2051</v>
      </c>
      <c r="B547" s="2" t="s">
        <v>1022</v>
      </c>
      <c r="C547" s="2" t="s">
        <v>1023</v>
      </c>
      <c r="D547" s="2" t="s">
        <v>161</v>
      </c>
      <c r="E547" s="2" t="s">
        <v>20</v>
      </c>
      <c r="F547" s="2">
        <v>2017</v>
      </c>
      <c r="G547" s="2">
        <v>2019</v>
      </c>
      <c r="H547" s="2">
        <f>'mpi_dataset_summary_2017-2024'!$G547-'mpi_dataset_summary_2017-2024'!$F547+1</f>
        <v>3</v>
      </c>
      <c r="I547" s="2" t="s">
        <v>2111</v>
      </c>
      <c r="J547" s="2" t="s">
        <v>2110</v>
      </c>
      <c r="K547" s="2">
        <f>IF('mpi_dataset_summary_2017-2024'!$G547=2024,1,0)</f>
        <v>0</v>
      </c>
      <c r="L547" s="2">
        <f t="shared" si="16"/>
        <v>1</v>
      </c>
      <c r="M547" s="2">
        <v>150</v>
      </c>
      <c r="N547" s="2">
        <f t="shared" si="17"/>
        <v>0.442</v>
      </c>
      <c r="O547" s="2">
        <v>42.203341000000002</v>
      </c>
      <c r="P547" s="2">
        <v>-82.401443999999998</v>
      </c>
      <c r="Q547" s="2" t="s">
        <v>2108</v>
      </c>
      <c r="R547" s="3" t="s">
        <v>24</v>
      </c>
      <c r="S547" s="2" t="s">
        <v>25</v>
      </c>
      <c r="T547" s="2" t="s">
        <v>26</v>
      </c>
    </row>
    <row r="548" spans="1:20" x14ac:dyDescent="0.2">
      <c r="A548" s="2">
        <v>2052</v>
      </c>
      <c r="B548" s="2" t="s">
        <v>1024</v>
      </c>
      <c r="C548" s="2" t="s">
        <v>1025</v>
      </c>
      <c r="D548" s="2" t="s">
        <v>161</v>
      </c>
      <c r="E548" s="2" t="s">
        <v>20</v>
      </c>
      <c r="F548" s="2">
        <v>2017</v>
      </c>
      <c r="G548" s="2">
        <v>2017</v>
      </c>
      <c r="H548" s="2">
        <f>'mpi_dataset_summary_2017-2024'!$G548-'mpi_dataset_summary_2017-2024'!$F548+1</f>
        <v>1</v>
      </c>
      <c r="I548" s="2" t="s">
        <v>2111</v>
      </c>
      <c r="J548" s="2" t="s">
        <v>2111</v>
      </c>
      <c r="K548" s="2">
        <f>IF('mpi_dataset_summary_2017-2024'!$G548=2024,1,0)</f>
        <v>0</v>
      </c>
      <c r="L548" s="2">
        <f t="shared" si="16"/>
        <v>0</v>
      </c>
      <c r="M548" s="2">
        <v>125</v>
      </c>
      <c r="N548" s="2">
        <f t="shared" si="17"/>
        <v>0.40300000000000002</v>
      </c>
      <c r="O548" s="2">
        <v>42.630071999999998</v>
      </c>
      <c r="P548" s="2">
        <v>-82.410321999999994</v>
      </c>
      <c r="Q548" s="2" t="s">
        <v>2108</v>
      </c>
      <c r="R548" s="3" t="s">
        <v>24</v>
      </c>
      <c r="S548" s="2" t="s">
        <v>25</v>
      </c>
      <c r="T548" s="2" t="s">
        <v>26</v>
      </c>
    </row>
    <row r="549" spans="1:20" x14ac:dyDescent="0.2">
      <c r="A549" s="2">
        <v>2053</v>
      </c>
      <c r="B549" s="2" t="s">
        <v>1026</v>
      </c>
      <c r="C549" s="2" t="s">
        <v>1027</v>
      </c>
      <c r="D549" s="2" t="s">
        <v>161</v>
      </c>
      <c r="E549" s="2" t="s">
        <v>20</v>
      </c>
      <c r="F549" s="2">
        <v>2017</v>
      </c>
      <c r="G549" s="2">
        <v>2017</v>
      </c>
      <c r="H549" s="2">
        <f>'mpi_dataset_summary_2017-2024'!$G549-'mpi_dataset_summary_2017-2024'!$F549+1</f>
        <v>1</v>
      </c>
      <c r="I549" s="2" t="s">
        <v>2111</v>
      </c>
      <c r="J549" s="2" t="s">
        <v>2111</v>
      </c>
      <c r="K549" s="2">
        <f>IF('mpi_dataset_summary_2017-2024'!$G549=2024,1,0)</f>
        <v>0</v>
      </c>
      <c r="L549" s="2">
        <f t="shared" si="16"/>
        <v>0</v>
      </c>
      <c r="M549" s="2">
        <v>144</v>
      </c>
      <c r="N549" s="2">
        <f t="shared" si="17"/>
        <v>0.435</v>
      </c>
      <c r="O549" s="2">
        <v>42.630712000000003</v>
      </c>
      <c r="P549" s="2">
        <v>-81.518192999999997</v>
      </c>
      <c r="Q549" s="2" t="s">
        <v>2108</v>
      </c>
      <c r="R549" s="3" t="s">
        <v>24</v>
      </c>
      <c r="S549" s="2" t="s">
        <v>25</v>
      </c>
      <c r="T549" s="2" t="s">
        <v>26</v>
      </c>
    </row>
    <row r="550" spans="1:20" x14ac:dyDescent="0.2">
      <c r="A550" s="2">
        <v>2054</v>
      </c>
      <c r="B550" s="2" t="s">
        <v>1028</v>
      </c>
      <c r="C550" s="2" t="s">
        <v>1029</v>
      </c>
      <c r="D550" s="2" t="s">
        <v>161</v>
      </c>
      <c r="E550" s="2" t="s">
        <v>20</v>
      </c>
      <c r="F550" s="2">
        <v>2017</v>
      </c>
      <c r="G550" s="2">
        <v>2017</v>
      </c>
      <c r="H550" s="2">
        <f>'mpi_dataset_summary_2017-2024'!$G550-'mpi_dataset_summary_2017-2024'!$F550+1</f>
        <v>1</v>
      </c>
      <c r="I550" s="2" t="s">
        <v>2111</v>
      </c>
      <c r="J550" s="2" t="s">
        <v>2111</v>
      </c>
      <c r="K550" s="2">
        <f>IF('mpi_dataset_summary_2017-2024'!$G550=2024,1,0)</f>
        <v>0</v>
      </c>
      <c r="L550" s="2">
        <f t="shared" si="16"/>
        <v>0</v>
      </c>
      <c r="M550" s="2">
        <v>80</v>
      </c>
      <c r="N550" s="2">
        <f t="shared" si="17"/>
        <v>0.30499999999999999</v>
      </c>
      <c r="O550" s="2">
        <v>45.458480999999999</v>
      </c>
      <c r="P550" s="2">
        <v>-74.800169999999994</v>
      </c>
      <c r="Q550" s="2" t="s">
        <v>2108</v>
      </c>
      <c r="R550" s="3" t="s">
        <v>41</v>
      </c>
      <c r="S550" s="2" t="s">
        <v>25</v>
      </c>
      <c r="T550" s="2" t="s">
        <v>46</v>
      </c>
    </row>
    <row r="551" spans="1:20" x14ac:dyDescent="0.2">
      <c r="A551" s="2">
        <v>2055</v>
      </c>
      <c r="B551" s="2" t="s">
        <v>1030</v>
      </c>
      <c r="C551" s="2" t="s">
        <v>1031</v>
      </c>
      <c r="D551" s="2" t="s">
        <v>161</v>
      </c>
      <c r="E551" s="2" t="s">
        <v>20</v>
      </c>
      <c r="F551" s="2">
        <v>2017</v>
      </c>
      <c r="G551" s="2">
        <v>2017</v>
      </c>
      <c r="H551" s="2">
        <f>'mpi_dataset_summary_2017-2024'!$G551-'mpi_dataset_summary_2017-2024'!$F551+1</f>
        <v>1</v>
      </c>
      <c r="I551" s="2" t="s">
        <v>2111</v>
      </c>
      <c r="J551" s="2" t="s">
        <v>2111</v>
      </c>
      <c r="K551" s="2">
        <f>IF('mpi_dataset_summary_2017-2024'!$G551=2024,1,0)</f>
        <v>0</v>
      </c>
      <c r="L551" s="2">
        <f t="shared" si="16"/>
        <v>0</v>
      </c>
      <c r="M551" s="2">
        <v>46</v>
      </c>
      <c r="N551" s="2">
        <f t="shared" si="17"/>
        <v>0.20399999999999999</v>
      </c>
      <c r="O551" s="2">
        <v>44.411399000000003</v>
      </c>
      <c r="P551" s="2">
        <v>-80.128027000000003</v>
      </c>
      <c r="Q551" s="2" t="s">
        <v>2108</v>
      </c>
      <c r="R551" s="3" t="s">
        <v>24</v>
      </c>
      <c r="S551" s="2" t="s">
        <v>25</v>
      </c>
      <c r="T551" s="2" t="s">
        <v>26</v>
      </c>
    </row>
    <row r="552" spans="1:20" x14ac:dyDescent="0.2">
      <c r="A552" s="2">
        <v>2056</v>
      </c>
      <c r="B552" s="2" t="s">
        <v>1032</v>
      </c>
      <c r="C552" s="2" t="s">
        <v>1033</v>
      </c>
      <c r="D552" s="2" t="s">
        <v>161</v>
      </c>
      <c r="E552" s="2" t="s">
        <v>20</v>
      </c>
      <c r="F552" s="2">
        <v>2017</v>
      </c>
      <c r="G552" s="2">
        <v>2017</v>
      </c>
      <c r="H552" s="2">
        <f>'mpi_dataset_summary_2017-2024'!$G552-'mpi_dataset_summary_2017-2024'!$F552+1</f>
        <v>1</v>
      </c>
      <c r="I552" s="2" t="s">
        <v>2111</v>
      </c>
      <c r="J552" s="2" t="s">
        <v>2111</v>
      </c>
      <c r="K552" s="2">
        <f>IF('mpi_dataset_summary_2017-2024'!$G552=2024,1,0)</f>
        <v>0</v>
      </c>
      <c r="L552" s="2">
        <f t="shared" si="16"/>
        <v>0</v>
      </c>
      <c r="M552" s="2">
        <v>25</v>
      </c>
      <c r="N552" s="2">
        <f t="shared" si="17"/>
        <v>0.125</v>
      </c>
      <c r="O552" s="2">
        <v>42.759672999999999</v>
      </c>
      <c r="P552" s="2">
        <v>-80.259393000000003</v>
      </c>
      <c r="Q552" s="2" t="s">
        <v>2108</v>
      </c>
      <c r="R552" s="3" t="s">
        <v>24</v>
      </c>
      <c r="S552" s="2" t="s">
        <v>25</v>
      </c>
      <c r="T552" s="2" t="s">
        <v>26</v>
      </c>
    </row>
    <row r="553" spans="1:20" x14ac:dyDescent="0.2">
      <c r="A553" s="2">
        <v>2057</v>
      </c>
      <c r="B553" s="2" t="s">
        <v>1034</v>
      </c>
      <c r="C553" s="2" t="s">
        <v>1035</v>
      </c>
      <c r="D553" s="2" t="s">
        <v>161</v>
      </c>
      <c r="E553" s="2" t="s">
        <v>20</v>
      </c>
      <c r="F553" s="2">
        <v>2017</v>
      </c>
      <c r="G553" s="2">
        <v>2017</v>
      </c>
      <c r="H553" s="2">
        <f>'mpi_dataset_summary_2017-2024'!$G553-'mpi_dataset_summary_2017-2024'!$F553+1</f>
        <v>1</v>
      </c>
      <c r="I553" s="2" t="s">
        <v>2111</v>
      </c>
      <c r="J553" s="2" t="s">
        <v>2111</v>
      </c>
      <c r="K553" s="2">
        <f>IF('mpi_dataset_summary_2017-2024'!$G553=2024,1,0)</f>
        <v>0</v>
      </c>
      <c r="L553" s="2">
        <f t="shared" si="16"/>
        <v>0</v>
      </c>
      <c r="M553" s="2">
        <v>750</v>
      </c>
      <c r="N553" s="2">
        <f t="shared" si="17"/>
        <v>0.75700000000000001</v>
      </c>
      <c r="O553" s="2">
        <v>44.227471999999999</v>
      </c>
      <c r="P553" s="2">
        <v>-76.400535000000005</v>
      </c>
      <c r="Q553" s="2" t="s">
        <v>2108</v>
      </c>
      <c r="R553" s="3" t="s">
        <v>24</v>
      </c>
      <c r="S553" s="2" t="s">
        <v>25</v>
      </c>
      <c r="T553" s="2" t="s">
        <v>26</v>
      </c>
    </row>
    <row r="554" spans="1:20" x14ac:dyDescent="0.2">
      <c r="A554" s="2">
        <v>2058</v>
      </c>
      <c r="B554" s="2" t="s">
        <v>1036</v>
      </c>
      <c r="C554" s="2" t="s">
        <v>1037</v>
      </c>
      <c r="D554" s="2" t="s">
        <v>161</v>
      </c>
      <c r="E554" s="2" t="s">
        <v>20</v>
      </c>
      <c r="F554" s="2">
        <v>2017</v>
      </c>
      <c r="G554" s="2">
        <v>2017</v>
      </c>
      <c r="H554" s="2">
        <f>'mpi_dataset_summary_2017-2024'!$G554-'mpi_dataset_summary_2017-2024'!$F554+1</f>
        <v>1</v>
      </c>
      <c r="I554" s="2" t="s">
        <v>2111</v>
      </c>
      <c r="J554" s="2" t="s">
        <v>2111</v>
      </c>
      <c r="K554" s="2">
        <f>IF('mpi_dataset_summary_2017-2024'!$G554=2024,1,0)</f>
        <v>0</v>
      </c>
      <c r="L554" s="2">
        <f t="shared" si="16"/>
        <v>0</v>
      </c>
      <c r="M554" s="2">
        <v>26</v>
      </c>
      <c r="N554" s="2">
        <f t="shared" si="17"/>
        <v>0.13400000000000001</v>
      </c>
      <c r="O554" s="2">
        <v>44.129143999999997</v>
      </c>
      <c r="P554" s="2">
        <v>-78.604181999999994</v>
      </c>
      <c r="Q554" s="2" t="s">
        <v>2108</v>
      </c>
      <c r="R554" s="3" t="s">
        <v>24</v>
      </c>
      <c r="S554" s="2" t="s">
        <v>25</v>
      </c>
      <c r="T554" s="2" t="s">
        <v>26</v>
      </c>
    </row>
    <row r="555" spans="1:20" x14ac:dyDescent="0.2">
      <c r="A555" s="2">
        <v>2059</v>
      </c>
      <c r="B555" s="2" t="s">
        <v>1038</v>
      </c>
      <c r="C555" s="2" t="s">
        <v>1039</v>
      </c>
      <c r="D555" s="2" t="s">
        <v>69</v>
      </c>
      <c r="E555" s="2" t="s">
        <v>20</v>
      </c>
      <c r="F555" s="2">
        <v>2017</v>
      </c>
      <c r="G555" s="2">
        <v>2024</v>
      </c>
      <c r="H555" s="2">
        <f>'mpi_dataset_summary_2017-2024'!$G555-'mpi_dataset_summary_2017-2024'!$F555+1</f>
        <v>8</v>
      </c>
      <c r="I555" s="2" t="s">
        <v>2113</v>
      </c>
      <c r="J555" s="2" t="s">
        <v>2112</v>
      </c>
      <c r="K555" s="2">
        <f>IF('mpi_dataset_summary_2017-2024'!$G555=2024,1,0)</f>
        <v>1</v>
      </c>
      <c r="L555" s="2">
        <f t="shared" si="16"/>
        <v>0</v>
      </c>
      <c r="M555" s="2">
        <v>5200</v>
      </c>
      <c r="N555" s="2">
        <f t="shared" si="17"/>
        <v>0.95299999999999996</v>
      </c>
      <c r="O555" s="2">
        <v>56.247718999999996</v>
      </c>
      <c r="P555" s="2">
        <v>-120.841882</v>
      </c>
      <c r="Q555" s="2" t="s">
        <v>2108</v>
      </c>
      <c r="R555" s="3" t="s">
        <v>41</v>
      </c>
      <c r="S555" s="2" t="s">
        <v>25</v>
      </c>
      <c r="T555" s="2" t="s">
        <v>46</v>
      </c>
    </row>
    <row r="556" spans="1:20" x14ac:dyDescent="0.2">
      <c r="A556" s="2">
        <v>2060</v>
      </c>
      <c r="B556" s="2" t="s">
        <v>890</v>
      </c>
      <c r="C556" s="2" t="s">
        <v>1040</v>
      </c>
      <c r="D556" s="2" t="s">
        <v>69</v>
      </c>
      <c r="E556" s="2" t="s">
        <v>20</v>
      </c>
      <c r="F556" s="2">
        <v>2017</v>
      </c>
      <c r="G556" s="2">
        <v>2024</v>
      </c>
      <c r="H556" s="2">
        <f>'mpi_dataset_summary_2017-2024'!$G556-'mpi_dataset_summary_2017-2024'!$F556+1</f>
        <v>8</v>
      </c>
      <c r="I556" s="2" t="s">
        <v>2110</v>
      </c>
      <c r="J556" s="2" t="s">
        <v>2110</v>
      </c>
      <c r="K556" s="2">
        <f>IF('mpi_dataset_summary_2017-2024'!$G556=2024,1,0)</f>
        <v>1</v>
      </c>
      <c r="L556" s="2">
        <f t="shared" si="16"/>
        <v>1</v>
      </c>
      <c r="M556" s="2">
        <v>55</v>
      </c>
      <c r="N556" s="2">
        <f t="shared" si="17"/>
        <v>0.24199999999999999</v>
      </c>
      <c r="O556" s="2">
        <v>54.283895999999999</v>
      </c>
      <c r="P556" s="2">
        <v>-128.617569</v>
      </c>
      <c r="Q556" s="2" t="s">
        <v>2108</v>
      </c>
      <c r="R556" s="3" t="s">
        <v>24</v>
      </c>
      <c r="S556" s="2" t="s">
        <v>25</v>
      </c>
      <c r="T556" s="2" t="s">
        <v>26</v>
      </c>
    </row>
    <row r="557" spans="1:20" x14ac:dyDescent="0.2">
      <c r="A557" s="2">
        <v>2061</v>
      </c>
      <c r="B557" s="2" t="s">
        <v>235</v>
      </c>
      <c r="C557" s="2" t="s">
        <v>1041</v>
      </c>
      <c r="D557" s="2" t="s">
        <v>86</v>
      </c>
      <c r="E557" s="2" t="s">
        <v>43</v>
      </c>
      <c r="F557" s="2">
        <v>2017</v>
      </c>
      <c r="G557" s="2">
        <v>2020</v>
      </c>
      <c r="H557" s="2">
        <f>'mpi_dataset_summary_2017-2024'!$G557-'mpi_dataset_summary_2017-2024'!$F557+1</f>
        <v>4</v>
      </c>
      <c r="I557" s="2" t="s">
        <v>2112</v>
      </c>
      <c r="J557" s="2" t="s">
        <v>2110</v>
      </c>
      <c r="K557" s="2">
        <f>IF('mpi_dataset_summary_2017-2024'!$G557=2024,1,0)</f>
        <v>0</v>
      </c>
      <c r="L557" s="2">
        <f t="shared" si="16"/>
        <v>1</v>
      </c>
      <c r="M557" s="2">
        <v>69.3</v>
      </c>
      <c r="N557" s="2">
        <f t="shared" si="17"/>
        <v>0.27400000000000002</v>
      </c>
      <c r="O557" s="2">
        <v>50.423681000000002</v>
      </c>
      <c r="P557" s="2">
        <v>-101.044651</v>
      </c>
      <c r="Q557" s="2" t="s">
        <v>2108</v>
      </c>
      <c r="R557" s="3" t="s">
        <v>35</v>
      </c>
      <c r="S557" s="2" t="s">
        <v>22</v>
      </c>
      <c r="T557" s="2" t="s">
        <v>36</v>
      </c>
    </row>
    <row r="558" spans="1:20" x14ac:dyDescent="0.2">
      <c r="A558" s="2">
        <v>2062</v>
      </c>
      <c r="B558" s="2" t="s">
        <v>235</v>
      </c>
      <c r="C558" s="2" t="s">
        <v>1042</v>
      </c>
      <c r="D558" s="2" t="s">
        <v>86</v>
      </c>
      <c r="E558" s="2" t="s">
        <v>43</v>
      </c>
      <c r="F558" s="2">
        <v>2017</v>
      </c>
      <c r="G558" s="2">
        <v>2023</v>
      </c>
      <c r="H558" s="2">
        <f>'mpi_dataset_summary_2017-2024'!$G558-'mpi_dataset_summary_2017-2024'!$F558+1</f>
        <v>7</v>
      </c>
      <c r="I558" s="2" t="s">
        <v>2110</v>
      </c>
      <c r="J558" s="2" t="s">
        <v>2110</v>
      </c>
      <c r="K558" s="2">
        <f>IF('mpi_dataset_summary_2017-2024'!$G558=2024,1,0)</f>
        <v>0</v>
      </c>
      <c r="L558" s="2">
        <f t="shared" si="16"/>
        <v>1</v>
      </c>
      <c r="M558" s="2">
        <v>88.8</v>
      </c>
      <c r="N558" s="2">
        <f t="shared" si="17"/>
        <v>0.32800000000000001</v>
      </c>
      <c r="O558" s="2">
        <v>50.566201</v>
      </c>
      <c r="P558" s="2">
        <v>-96.180066999999994</v>
      </c>
      <c r="Q558" s="2" t="s">
        <v>2108</v>
      </c>
      <c r="R558" s="3" t="s">
        <v>24</v>
      </c>
      <c r="S558" s="2" t="s">
        <v>25</v>
      </c>
      <c r="T558" s="2" t="s">
        <v>26</v>
      </c>
    </row>
    <row r="559" spans="1:20" x14ac:dyDescent="0.2">
      <c r="A559" s="2">
        <v>2063</v>
      </c>
      <c r="B559" s="2" t="s">
        <v>235</v>
      </c>
      <c r="C559" s="2" t="s">
        <v>1043</v>
      </c>
      <c r="D559" s="2" t="s">
        <v>86</v>
      </c>
      <c r="E559" s="2" t="s">
        <v>43</v>
      </c>
      <c r="F559" s="2">
        <v>2017</v>
      </c>
      <c r="G559" s="2">
        <v>2017</v>
      </c>
      <c r="H559" s="2">
        <f>'mpi_dataset_summary_2017-2024'!$G559-'mpi_dataset_summary_2017-2024'!$F559+1</f>
        <v>1</v>
      </c>
      <c r="I559" s="2" t="s">
        <v>2110</v>
      </c>
      <c r="J559" s="2" t="s">
        <v>2110</v>
      </c>
      <c r="K559" s="2">
        <f>IF('mpi_dataset_summary_2017-2024'!$G559=2024,1,0)</f>
        <v>0</v>
      </c>
      <c r="L559" s="2">
        <f t="shared" si="16"/>
        <v>1</v>
      </c>
      <c r="M559" s="2">
        <v>75.5</v>
      </c>
      <c r="N559" s="2">
        <f t="shared" si="17"/>
        <v>0.29799999999999999</v>
      </c>
      <c r="O559" s="2">
        <v>51.11797</v>
      </c>
      <c r="P559" s="2">
        <v>-96.239729999999994</v>
      </c>
      <c r="Q559" s="2" t="s">
        <v>2108</v>
      </c>
      <c r="R559" s="3" t="s">
        <v>24</v>
      </c>
      <c r="S559" s="2" t="s">
        <v>25</v>
      </c>
      <c r="T559" s="2" t="s">
        <v>26</v>
      </c>
    </row>
    <row r="560" spans="1:20" x14ac:dyDescent="0.2">
      <c r="A560" s="2">
        <v>2064</v>
      </c>
      <c r="B560" s="2" t="s">
        <v>235</v>
      </c>
      <c r="C560" s="2" t="s">
        <v>1044</v>
      </c>
      <c r="D560" s="2" t="s">
        <v>86</v>
      </c>
      <c r="E560" s="2" t="s">
        <v>43</v>
      </c>
      <c r="F560" s="2">
        <v>2017</v>
      </c>
      <c r="G560" s="2">
        <v>2023</v>
      </c>
      <c r="H560" s="2">
        <f>'mpi_dataset_summary_2017-2024'!$G560-'mpi_dataset_summary_2017-2024'!$F560+1</f>
        <v>7</v>
      </c>
      <c r="I560" s="2" t="s">
        <v>2110</v>
      </c>
      <c r="J560" s="2" t="s">
        <v>2110</v>
      </c>
      <c r="K560" s="2">
        <f>IF('mpi_dataset_summary_2017-2024'!$G560=2024,1,0)</f>
        <v>0</v>
      </c>
      <c r="L560" s="2">
        <f t="shared" si="16"/>
        <v>1</v>
      </c>
      <c r="M560" s="2">
        <v>74.2</v>
      </c>
      <c r="N560" s="2">
        <f t="shared" si="17"/>
        <v>0.29099999999999998</v>
      </c>
      <c r="O560" s="2">
        <v>49.134303000000003</v>
      </c>
      <c r="P560" s="2">
        <v>-97.312115000000006</v>
      </c>
      <c r="Q560" s="2" t="s">
        <v>2108</v>
      </c>
      <c r="R560" s="3" t="s">
        <v>35</v>
      </c>
      <c r="S560" s="2" t="s">
        <v>22</v>
      </c>
      <c r="T560" s="2" t="s">
        <v>36</v>
      </c>
    </row>
    <row r="561" spans="1:20" x14ac:dyDescent="0.2">
      <c r="A561" s="2">
        <v>2065</v>
      </c>
      <c r="B561" s="2" t="s">
        <v>235</v>
      </c>
      <c r="C561" s="2" t="s">
        <v>1045</v>
      </c>
      <c r="D561" s="2" t="s">
        <v>86</v>
      </c>
      <c r="E561" s="2" t="s">
        <v>43</v>
      </c>
      <c r="F561" s="2">
        <v>2017</v>
      </c>
      <c r="G561" s="2">
        <v>2023</v>
      </c>
      <c r="H561" s="2">
        <f>'mpi_dataset_summary_2017-2024'!$G561-'mpi_dataset_summary_2017-2024'!$F561+1</f>
        <v>7</v>
      </c>
      <c r="I561" s="2" t="s">
        <v>2110</v>
      </c>
      <c r="J561" s="2" t="s">
        <v>2110</v>
      </c>
      <c r="K561" s="2">
        <f>IF('mpi_dataset_summary_2017-2024'!$G561=2024,1,0)</f>
        <v>0</v>
      </c>
      <c r="L561" s="2">
        <f t="shared" si="16"/>
        <v>1</v>
      </c>
      <c r="M561" s="2">
        <v>74.7</v>
      </c>
      <c r="N561" s="2">
        <f t="shared" si="17"/>
        <v>0.29199999999999998</v>
      </c>
      <c r="O561" s="2">
        <v>50.158960999999998</v>
      </c>
      <c r="P561" s="2">
        <v>-96.87988</v>
      </c>
      <c r="Q561" s="2" t="s">
        <v>2108</v>
      </c>
      <c r="R561" s="3" t="s">
        <v>35</v>
      </c>
      <c r="S561" s="2" t="s">
        <v>22</v>
      </c>
      <c r="T561" s="2" t="s">
        <v>36</v>
      </c>
    </row>
    <row r="562" spans="1:20" x14ac:dyDescent="0.2">
      <c r="A562" s="2">
        <v>2066</v>
      </c>
      <c r="B562" s="2" t="s">
        <v>235</v>
      </c>
      <c r="C562" s="2" t="s">
        <v>1046</v>
      </c>
      <c r="D562" s="2" t="s">
        <v>86</v>
      </c>
      <c r="E562" s="2" t="s">
        <v>43</v>
      </c>
      <c r="F562" s="2">
        <v>2017</v>
      </c>
      <c r="G562" s="2">
        <v>2020</v>
      </c>
      <c r="H562" s="2">
        <f>'mpi_dataset_summary_2017-2024'!$G562-'mpi_dataset_summary_2017-2024'!$F562+1</f>
        <v>4</v>
      </c>
      <c r="I562" s="2" t="s">
        <v>2110</v>
      </c>
      <c r="J562" s="2" t="s">
        <v>2110</v>
      </c>
      <c r="K562" s="2">
        <f>IF('mpi_dataset_summary_2017-2024'!$G562=2024,1,0)</f>
        <v>0</v>
      </c>
      <c r="L562" s="2">
        <f t="shared" si="16"/>
        <v>1</v>
      </c>
      <c r="M562" s="2">
        <v>118.9</v>
      </c>
      <c r="N562" s="2">
        <f t="shared" si="17"/>
        <v>0.38800000000000001</v>
      </c>
      <c r="O562" s="2">
        <v>49.536715999999998</v>
      </c>
      <c r="P562" s="2">
        <v>-96.699815000000001</v>
      </c>
      <c r="Q562" s="2" t="s">
        <v>2108</v>
      </c>
      <c r="R562" s="3" t="s">
        <v>41</v>
      </c>
      <c r="S562" s="2" t="s">
        <v>25</v>
      </c>
      <c r="T562" s="2" t="s">
        <v>46</v>
      </c>
    </row>
    <row r="563" spans="1:20" x14ac:dyDescent="0.2">
      <c r="A563" s="2">
        <v>2067</v>
      </c>
      <c r="B563" s="2" t="s">
        <v>235</v>
      </c>
      <c r="C563" s="2" t="s">
        <v>1047</v>
      </c>
      <c r="D563" s="2" t="s">
        <v>86</v>
      </c>
      <c r="E563" s="2" t="s">
        <v>43</v>
      </c>
      <c r="F563" s="2">
        <v>2017</v>
      </c>
      <c r="G563" s="2">
        <v>2017</v>
      </c>
      <c r="H563" s="2">
        <f>'mpi_dataset_summary_2017-2024'!$G563-'mpi_dataset_summary_2017-2024'!$F563+1</f>
        <v>1</v>
      </c>
      <c r="I563" s="2" t="s">
        <v>2110</v>
      </c>
      <c r="J563" s="2" t="s">
        <v>2110</v>
      </c>
      <c r="K563" s="2">
        <f>IF('mpi_dataset_summary_2017-2024'!$G563=2024,1,0)</f>
        <v>0</v>
      </c>
      <c r="L563" s="2">
        <f t="shared" si="16"/>
        <v>1</v>
      </c>
      <c r="M563" s="2">
        <v>51.3</v>
      </c>
      <c r="N563" s="2">
        <f t="shared" si="17"/>
        <v>0.23100000000000001</v>
      </c>
      <c r="O563" s="2">
        <v>49.844000000000001</v>
      </c>
      <c r="P563" s="2">
        <v>-97.048248000000001</v>
      </c>
      <c r="Q563" s="2" t="s">
        <v>2108</v>
      </c>
      <c r="R563" s="3" t="s">
        <v>24</v>
      </c>
      <c r="S563" s="2" t="s">
        <v>25</v>
      </c>
      <c r="T563" s="2" t="s">
        <v>26</v>
      </c>
    </row>
    <row r="564" spans="1:20" x14ac:dyDescent="0.2">
      <c r="A564" s="2">
        <v>2068</v>
      </c>
      <c r="B564" s="2" t="s">
        <v>235</v>
      </c>
      <c r="C564" s="2" t="s">
        <v>1048</v>
      </c>
      <c r="D564" s="2" t="s">
        <v>86</v>
      </c>
      <c r="E564" s="2" t="s">
        <v>43</v>
      </c>
      <c r="F564" s="2">
        <v>2017</v>
      </c>
      <c r="G564" s="2">
        <v>2019</v>
      </c>
      <c r="H564" s="2">
        <f>'mpi_dataset_summary_2017-2024'!$G564-'mpi_dataset_summary_2017-2024'!$F564+1</f>
        <v>3</v>
      </c>
      <c r="I564" s="2" t="s">
        <v>2110</v>
      </c>
      <c r="J564" s="2" t="s">
        <v>2110</v>
      </c>
      <c r="K564" s="2">
        <f>IF('mpi_dataset_summary_2017-2024'!$G564=2024,1,0)</f>
        <v>0</v>
      </c>
      <c r="L564" s="2">
        <f t="shared" si="16"/>
        <v>1</v>
      </c>
      <c r="M564" s="2">
        <v>51.8</v>
      </c>
      <c r="N564" s="2">
        <f t="shared" si="17"/>
        <v>0.23200000000000001</v>
      </c>
      <c r="O564" s="2">
        <v>49.734729000000002</v>
      </c>
      <c r="P564" s="2">
        <v>-96.919916000000001</v>
      </c>
      <c r="Q564" s="2" t="s">
        <v>2108</v>
      </c>
      <c r="R564" s="3" t="s">
        <v>24</v>
      </c>
      <c r="S564" s="2" t="s">
        <v>25</v>
      </c>
      <c r="T564" s="2" t="s">
        <v>26</v>
      </c>
    </row>
    <row r="565" spans="1:20" x14ac:dyDescent="0.2">
      <c r="A565" s="2">
        <v>2069</v>
      </c>
      <c r="B565" s="2" t="s">
        <v>235</v>
      </c>
      <c r="C565" s="2" t="s">
        <v>1049</v>
      </c>
      <c r="D565" s="2" t="s">
        <v>86</v>
      </c>
      <c r="E565" s="2" t="s">
        <v>43</v>
      </c>
      <c r="F565" s="2">
        <v>2017</v>
      </c>
      <c r="G565" s="2">
        <v>2019</v>
      </c>
      <c r="H565" s="2">
        <f>'mpi_dataset_summary_2017-2024'!$G565-'mpi_dataset_summary_2017-2024'!$F565+1</f>
        <v>3</v>
      </c>
      <c r="I565" s="2" t="s">
        <v>2110</v>
      </c>
      <c r="J565" s="2" t="s">
        <v>2110</v>
      </c>
      <c r="K565" s="2">
        <f>IF('mpi_dataset_summary_2017-2024'!$G565=2024,1,0)</f>
        <v>0</v>
      </c>
      <c r="L565" s="2">
        <f t="shared" si="16"/>
        <v>1</v>
      </c>
      <c r="M565" s="2">
        <v>69.599999999999994</v>
      </c>
      <c r="N565" s="2">
        <f t="shared" si="17"/>
        <v>0.27500000000000002</v>
      </c>
      <c r="O565" s="2">
        <v>49.895828999999999</v>
      </c>
      <c r="P565" s="2">
        <v>-97.135675000000006</v>
      </c>
      <c r="Q565" s="2" t="s">
        <v>2108</v>
      </c>
      <c r="R565" s="3" t="s">
        <v>24</v>
      </c>
      <c r="S565" s="2" t="s">
        <v>25</v>
      </c>
      <c r="T565" s="2" t="s">
        <v>26</v>
      </c>
    </row>
    <row r="566" spans="1:20" x14ac:dyDescent="0.2">
      <c r="A566" s="2">
        <v>2070</v>
      </c>
      <c r="B566" s="2" t="s">
        <v>874</v>
      </c>
      <c r="C566" s="2" t="s">
        <v>875</v>
      </c>
      <c r="D566" s="2" t="s">
        <v>380</v>
      </c>
      <c r="E566" s="2" t="s">
        <v>20</v>
      </c>
      <c r="F566" s="2">
        <v>2017</v>
      </c>
      <c r="G566" s="2">
        <v>2017</v>
      </c>
      <c r="H566" s="2">
        <f>'mpi_dataset_summary_2017-2024'!$G566-'mpi_dataset_summary_2017-2024'!$F566+1</f>
        <v>1</v>
      </c>
      <c r="I566" s="2" t="s">
        <v>2111</v>
      </c>
      <c r="J566" s="2" t="s">
        <v>2111</v>
      </c>
      <c r="K566" s="2">
        <f>IF('mpi_dataset_summary_2017-2024'!$G566=2024,1,0)</f>
        <v>0</v>
      </c>
      <c r="L566" s="2">
        <f t="shared" si="16"/>
        <v>0</v>
      </c>
      <c r="M566" s="2">
        <v>0</v>
      </c>
      <c r="N566" s="2">
        <f t="shared" si="17"/>
        <v>0</v>
      </c>
      <c r="O566" s="2" t="s">
        <v>2114</v>
      </c>
      <c r="P566" s="2" t="s">
        <v>2114</v>
      </c>
      <c r="Q566" s="2" t="s">
        <v>2107</v>
      </c>
      <c r="R566" s="3" t="s">
        <v>41</v>
      </c>
      <c r="S566" s="2" t="s">
        <v>22</v>
      </c>
      <c r="T566" s="2" t="s">
        <v>42</v>
      </c>
    </row>
    <row r="567" spans="1:20" x14ac:dyDescent="0.2">
      <c r="A567" s="2">
        <v>2072</v>
      </c>
      <c r="B567" s="2" t="s">
        <v>1050</v>
      </c>
      <c r="C567" s="2" t="s">
        <v>1051</v>
      </c>
      <c r="D567" s="2" t="s">
        <v>78</v>
      </c>
      <c r="E567" s="2" t="s">
        <v>20</v>
      </c>
      <c r="F567" s="2">
        <v>2019</v>
      </c>
      <c r="G567" s="2">
        <v>2022</v>
      </c>
      <c r="H567" s="2">
        <f>'mpi_dataset_summary_2017-2024'!$G567-'mpi_dataset_summary_2017-2024'!$F567+1</f>
        <v>4</v>
      </c>
      <c r="I567" s="2" t="s">
        <v>2112</v>
      </c>
      <c r="J567" s="2" t="s">
        <v>2112</v>
      </c>
      <c r="K567" s="2">
        <f>IF('mpi_dataset_summary_2017-2024'!$G567=2024,1,0)</f>
        <v>0</v>
      </c>
      <c r="L567" s="2">
        <f t="shared" si="16"/>
        <v>0</v>
      </c>
      <c r="M567" s="2">
        <v>1250</v>
      </c>
      <c r="N567" s="2">
        <f t="shared" si="17"/>
        <v>0.83899999999999997</v>
      </c>
      <c r="O567" s="2">
        <v>71.910899999999998</v>
      </c>
      <c r="P567" s="2">
        <v>-79.628900000000002</v>
      </c>
      <c r="Q567" s="2" t="s">
        <v>2107</v>
      </c>
      <c r="R567" s="3" t="s">
        <v>31</v>
      </c>
      <c r="S567" s="2" t="s">
        <v>22</v>
      </c>
      <c r="T567" s="2" t="s">
        <v>32</v>
      </c>
    </row>
    <row r="568" spans="1:20" x14ac:dyDescent="0.2">
      <c r="A568" s="2">
        <v>2074</v>
      </c>
      <c r="B568" s="2" t="s">
        <v>76</v>
      </c>
      <c r="C568" s="2" t="s">
        <v>1052</v>
      </c>
      <c r="D568" s="2" t="s">
        <v>78</v>
      </c>
      <c r="E568" s="2" t="s">
        <v>20</v>
      </c>
      <c r="F568" s="2">
        <v>2017</v>
      </c>
      <c r="G568" s="2">
        <v>2019</v>
      </c>
      <c r="H568" s="2">
        <f>'mpi_dataset_summary_2017-2024'!$G568-'mpi_dataset_summary_2017-2024'!$F568+1</f>
        <v>3</v>
      </c>
      <c r="I568" s="2" t="s">
        <v>2112</v>
      </c>
      <c r="J568" s="2" t="s">
        <v>2110</v>
      </c>
      <c r="K568" s="2">
        <f>IF('mpi_dataset_summary_2017-2024'!$G568=2024,1,0)</f>
        <v>0</v>
      </c>
      <c r="L568" s="2">
        <f t="shared" si="16"/>
        <v>1</v>
      </c>
      <c r="M568" s="2">
        <v>424.2</v>
      </c>
      <c r="N568" s="2">
        <f t="shared" si="17"/>
        <v>0.64900000000000002</v>
      </c>
      <c r="O568" s="2">
        <v>62.810099000000001</v>
      </c>
      <c r="P568" s="2">
        <v>-92.093430999999995</v>
      </c>
      <c r="Q568" s="2" t="s">
        <v>2107</v>
      </c>
      <c r="R568" s="3" t="s">
        <v>41</v>
      </c>
      <c r="S568" s="2" t="s">
        <v>22</v>
      </c>
      <c r="T568" s="2" t="s">
        <v>42</v>
      </c>
    </row>
    <row r="569" spans="1:20" x14ac:dyDescent="0.2">
      <c r="A569" s="2">
        <v>2075</v>
      </c>
      <c r="B569" s="2" t="s">
        <v>1053</v>
      </c>
      <c r="C569" s="2" t="s">
        <v>1054</v>
      </c>
      <c r="D569" s="2" t="s">
        <v>83</v>
      </c>
      <c r="E569" s="2" t="s">
        <v>20</v>
      </c>
      <c r="F569" s="2">
        <v>2017</v>
      </c>
      <c r="G569" s="2">
        <v>2024</v>
      </c>
      <c r="H569" s="2">
        <f>'mpi_dataset_summary_2017-2024'!$G569-'mpi_dataset_summary_2017-2024'!$F569+1</f>
        <v>8</v>
      </c>
      <c r="I569" s="2" t="s">
        <v>2111</v>
      </c>
      <c r="J569" s="2" t="s">
        <v>2113</v>
      </c>
      <c r="K569" s="2">
        <f>IF('mpi_dataset_summary_2017-2024'!$G569=2024,1,0)</f>
        <v>1</v>
      </c>
      <c r="L569" s="2">
        <f t="shared" si="16"/>
        <v>0</v>
      </c>
      <c r="M569" s="2">
        <v>66.239999999999995</v>
      </c>
      <c r="N569" s="2">
        <f t="shared" si="17"/>
        <v>0.26900000000000002</v>
      </c>
      <c r="O569" s="2">
        <v>49.975195999999997</v>
      </c>
      <c r="P569" s="2">
        <v>-56.180174000000001</v>
      </c>
      <c r="Q569" s="2" t="s">
        <v>2107</v>
      </c>
      <c r="R569" s="3" t="s">
        <v>41</v>
      </c>
      <c r="S569" s="2" t="s">
        <v>22</v>
      </c>
      <c r="T569" s="2" t="s">
        <v>42</v>
      </c>
    </row>
    <row r="570" spans="1:20" x14ac:dyDescent="0.2">
      <c r="A570" s="2">
        <v>2076</v>
      </c>
      <c r="B570" s="2" t="s">
        <v>250</v>
      </c>
      <c r="C570" s="2" t="s">
        <v>1055</v>
      </c>
      <c r="D570" s="2" t="s">
        <v>83</v>
      </c>
      <c r="E570" s="2" t="s">
        <v>20</v>
      </c>
      <c r="F570" s="2">
        <v>2017</v>
      </c>
      <c r="G570" s="2">
        <v>2020</v>
      </c>
      <c r="H570" s="2">
        <f>'mpi_dataset_summary_2017-2024'!$G570-'mpi_dataset_summary_2017-2024'!$F570+1</f>
        <v>4</v>
      </c>
      <c r="I570" s="2" t="s">
        <v>2110</v>
      </c>
      <c r="J570" s="2" t="s">
        <v>2110</v>
      </c>
      <c r="K570" s="2">
        <f>IF('mpi_dataset_summary_2017-2024'!$G570=2024,1,0)</f>
        <v>0</v>
      </c>
      <c r="L570" s="2">
        <f t="shared" si="16"/>
        <v>1</v>
      </c>
      <c r="M570" s="2">
        <v>894</v>
      </c>
      <c r="N570" s="2">
        <f t="shared" si="17"/>
        <v>0.79300000000000004</v>
      </c>
      <c r="O570" s="2">
        <v>53.246485</v>
      </c>
      <c r="P570" s="2">
        <v>-60.780056000000002</v>
      </c>
      <c r="Q570" s="2" t="s">
        <v>2108</v>
      </c>
      <c r="R570" s="3" t="s">
        <v>35</v>
      </c>
      <c r="S570" s="2" t="s">
        <v>22</v>
      </c>
      <c r="T570" s="2" t="s">
        <v>36</v>
      </c>
    </row>
    <row r="571" spans="1:20" x14ac:dyDescent="0.2">
      <c r="A571" s="2">
        <v>2077</v>
      </c>
      <c r="B571" s="2" t="s">
        <v>622</v>
      </c>
      <c r="C571" s="2" t="s">
        <v>1056</v>
      </c>
      <c r="D571" s="2" t="s">
        <v>83</v>
      </c>
      <c r="E571" s="2" t="s">
        <v>43</v>
      </c>
      <c r="F571" s="2">
        <v>2017</v>
      </c>
      <c r="G571" s="2">
        <v>2017</v>
      </c>
      <c r="H571" s="2">
        <f>'mpi_dataset_summary_2017-2024'!$G571-'mpi_dataset_summary_2017-2024'!$F571+1</f>
        <v>1</v>
      </c>
      <c r="I571" s="2" t="s">
        <v>2110</v>
      </c>
      <c r="J571" s="2" t="s">
        <v>2110</v>
      </c>
      <c r="K571" s="2">
        <f>IF('mpi_dataset_summary_2017-2024'!$G571=2024,1,0)</f>
        <v>0</v>
      </c>
      <c r="L571" s="2">
        <f t="shared" si="16"/>
        <v>1</v>
      </c>
      <c r="M571" s="2">
        <v>26.6</v>
      </c>
      <c r="N571" s="2">
        <f t="shared" si="17"/>
        <v>0.13600000000000001</v>
      </c>
      <c r="O571" s="2">
        <v>47.554963999999998</v>
      </c>
      <c r="P571" s="2">
        <v>-52.690356000000001</v>
      </c>
      <c r="Q571" s="2" t="s">
        <v>2108</v>
      </c>
      <c r="R571" s="3" t="s">
        <v>35</v>
      </c>
      <c r="S571" s="2" t="s">
        <v>22</v>
      </c>
      <c r="T571" s="2" t="s">
        <v>36</v>
      </c>
    </row>
    <row r="572" spans="1:20" x14ac:dyDescent="0.2">
      <c r="A572" s="2">
        <v>2078</v>
      </c>
      <c r="B572" s="2" t="s">
        <v>491</v>
      </c>
      <c r="C572" s="2" t="s">
        <v>1057</v>
      </c>
      <c r="D572" s="2" t="s">
        <v>110</v>
      </c>
      <c r="E572" s="2" t="s">
        <v>20</v>
      </c>
      <c r="F572" s="2">
        <v>2017</v>
      </c>
      <c r="G572" s="2">
        <v>2021</v>
      </c>
      <c r="H572" s="2">
        <f>'mpi_dataset_summary_2017-2024'!$G572-'mpi_dataset_summary_2017-2024'!$F572+1</f>
        <v>5</v>
      </c>
      <c r="I572" s="2" t="s">
        <v>2111</v>
      </c>
      <c r="J572" s="2" t="s">
        <v>2110</v>
      </c>
      <c r="K572" s="2">
        <f>IF('mpi_dataset_summary_2017-2024'!$G572=2024,1,0)</f>
        <v>0</v>
      </c>
      <c r="L572" s="2">
        <f t="shared" si="16"/>
        <v>1</v>
      </c>
      <c r="M572" s="2">
        <v>355</v>
      </c>
      <c r="N572" s="2">
        <f t="shared" si="17"/>
        <v>0.61799999999999999</v>
      </c>
      <c r="O572" s="2">
        <v>50.425269999999998</v>
      </c>
      <c r="P572" s="2">
        <v>-107.214788</v>
      </c>
      <c r="Q572" s="2" t="s">
        <v>2108</v>
      </c>
      <c r="R572" s="3" t="s">
        <v>24</v>
      </c>
      <c r="S572" s="2" t="s">
        <v>25</v>
      </c>
      <c r="T572" s="2" t="s">
        <v>26</v>
      </c>
    </row>
    <row r="573" spans="1:20" x14ac:dyDescent="0.2">
      <c r="A573" s="2">
        <v>2079</v>
      </c>
      <c r="B573" s="2" t="s">
        <v>1058</v>
      </c>
      <c r="C573" s="2" t="s">
        <v>1059</v>
      </c>
      <c r="D573" s="2" t="s">
        <v>110</v>
      </c>
      <c r="E573" s="2" t="s">
        <v>20</v>
      </c>
      <c r="F573" s="2">
        <v>2017</v>
      </c>
      <c r="G573" s="2">
        <v>2017</v>
      </c>
      <c r="H573" s="2">
        <f>'mpi_dataset_summary_2017-2024'!$G573-'mpi_dataset_summary_2017-2024'!$F573+1</f>
        <v>1</v>
      </c>
      <c r="I573" s="2" t="s">
        <v>2112</v>
      </c>
      <c r="J573" s="2" t="s">
        <v>2112</v>
      </c>
      <c r="K573" s="2">
        <f>IF('mpi_dataset_summary_2017-2024'!$G573=2024,1,0)</f>
        <v>0</v>
      </c>
      <c r="L573" s="2">
        <f t="shared" si="16"/>
        <v>0</v>
      </c>
      <c r="M573" s="2">
        <v>0</v>
      </c>
      <c r="N573" s="2">
        <f t="shared" si="17"/>
        <v>0</v>
      </c>
      <c r="O573" s="2" t="s">
        <v>2114</v>
      </c>
      <c r="P573" s="2" t="s">
        <v>2114</v>
      </c>
      <c r="Q573" s="2" t="s">
        <v>2108</v>
      </c>
      <c r="R573" s="3" t="s">
        <v>24</v>
      </c>
      <c r="S573" s="2" t="s">
        <v>25</v>
      </c>
      <c r="T573" s="2" t="s">
        <v>26</v>
      </c>
    </row>
    <row r="574" spans="1:20" x14ac:dyDescent="0.2">
      <c r="A574" s="2">
        <v>2080</v>
      </c>
      <c r="B574" s="2" t="s">
        <v>1060</v>
      </c>
      <c r="C574" s="2" t="s">
        <v>1061</v>
      </c>
      <c r="D574" s="2" t="s">
        <v>110</v>
      </c>
      <c r="E574" s="2" t="s">
        <v>43</v>
      </c>
      <c r="F574" s="2">
        <v>2017</v>
      </c>
      <c r="G574" s="2">
        <v>2018</v>
      </c>
      <c r="H574" s="2">
        <f>'mpi_dataset_summary_2017-2024'!$G574-'mpi_dataset_summary_2017-2024'!$F574+1</f>
        <v>2</v>
      </c>
      <c r="I574" s="2" t="s">
        <v>2111</v>
      </c>
      <c r="J574" s="2" t="s">
        <v>2112</v>
      </c>
      <c r="K574" s="2">
        <f>IF('mpi_dataset_summary_2017-2024'!$G574=2024,1,0)</f>
        <v>0</v>
      </c>
      <c r="L574" s="2">
        <f t="shared" si="16"/>
        <v>0</v>
      </c>
      <c r="M574" s="2">
        <v>0</v>
      </c>
      <c r="N574" s="2">
        <f t="shared" si="17"/>
        <v>0</v>
      </c>
      <c r="O574" s="2" t="s">
        <v>2114</v>
      </c>
      <c r="P574" s="2" t="s">
        <v>2114</v>
      </c>
      <c r="Q574" s="2" t="s">
        <v>2108</v>
      </c>
      <c r="R574" s="3" t="s">
        <v>24</v>
      </c>
      <c r="S574" s="2" t="s">
        <v>25</v>
      </c>
      <c r="T574" s="2" t="s">
        <v>26</v>
      </c>
    </row>
    <row r="575" spans="1:20" x14ac:dyDescent="0.2">
      <c r="A575" s="2">
        <v>2081</v>
      </c>
      <c r="B575" s="2" t="s">
        <v>1060</v>
      </c>
      <c r="C575" s="2" t="s">
        <v>1062</v>
      </c>
      <c r="D575" s="2" t="s">
        <v>110</v>
      </c>
      <c r="E575" s="2" t="s">
        <v>43</v>
      </c>
      <c r="F575" s="2">
        <v>2017</v>
      </c>
      <c r="G575" s="2">
        <v>2019</v>
      </c>
      <c r="H575" s="2">
        <f>'mpi_dataset_summary_2017-2024'!$G575-'mpi_dataset_summary_2017-2024'!$F575+1</f>
        <v>3</v>
      </c>
      <c r="I575" s="2" t="s">
        <v>2110</v>
      </c>
      <c r="J575" s="2" t="s">
        <v>2110</v>
      </c>
      <c r="K575" s="2">
        <f>IF('mpi_dataset_summary_2017-2024'!$G575=2024,1,0)</f>
        <v>0</v>
      </c>
      <c r="L575" s="2">
        <f t="shared" si="16"/>
        <v>1</v>
      </c>
      <c r="M575" s="2">
        <v>680</v>
      </c>
      <c r="N575" s="2">
        <f t="shared" si="17"/>
        <v>0.74</v>
      </c>
      <c r="O575" s="2">
        <v>50.285671000000001</v>
      </c>
      <c r="P575" s="2">
        <v>-107.79732300000001</v>
      </c>
      <c r="Q575" s="2" t="s">
        <v>2108</v>
      </c>
      <c r="R575" s="3" t="s">
        <v>53</v>
      </c>
      <c r="S575" s="2" t="s">
        <v>22</v>
      </c>
      <c r="T575" s="2" t="s">
        <v>54</v>
      </c>
    </row>
    <row r="576" spans="1:20" x14ac:dyDescent="0.2">
      <c r="A576" s="2">
        <v>2082</v>
      </c>
      <c r="B576" s="2" t="s">
        <v>1060</v>
      </c>
      <c r="C576" s="2" t="s">
        <v>1063</v>
      </c>
      <c r="D576" s="2" t="s">
        <v>110</v>
      </c>
      <c r="E576" s="2" t="s">
        <v>43</v>
      </c>
      <c r="F576" s="2">
        <v>2017</v>
      </c>
      <c r="G576" s="2">
        <v>2023</v>
      </c>
      <c r="H576" s="2">
        <f>'mpi_dataset_summary_2017-2024'!$G576-'mpi_dataset_summary_2017-2024'!$F576+1</f>
        <v>7</v>
      </c>
      <c r="I576" s="2" t="s">
        <v>2111</v>
      </c>
      <c r="J576" s="2" t="s">
        <v>2110</v>
      </c>
      <c r="K576" s="2">
        <f>IF('mpi_dataset_summary_2017-2024'!$G576=2024,1,0)</f>
        <v>0</v>
      </c>
      <c r="L576" s="2">
        <f t="shared" si="16"/>
        <v>1</v>
      </c>
      <c r="M576" s="2">
        <v>760</v>
      </c>
      <c r="N576" s="2">
        <f t="shared" si="17"/>
        <v>0.76500000000000001</v>
      </c>
      <c r="O576" s="2">
        <v>50.391120999999998</v>
      </c>
      <c r="P576" s="2">
        <v>-105.542153</v>
      </c>
      <c r="Q576" s="2" t="s">
        <v>2108</v>
      </c>
      <c r="R576" s="3" t="s">
        <v>53</v>
      </c>
      <c r="S576" s="2" t="s">
        <v>22</v>
      </c>
      <c r="T576" s="2" t="s">
        <v>54</v>
      </c>
    </row>
    <row r="577" spans="1:20" x14ac:dyDescent="0.2">
      <c r="A577" s="2">
        <v>2083</v>
      </c>
      <c r="B577" s="2" t="s">
        <v>1064</v>
      </c>
      <c r="C577" s="2" t="s">
        <v>1065</v>
      </c>
      <c r="D577" s="2" t="s">
        <v>89</v>
      </c>
      <c r="E577" s="2" t="s">
        <v>20</v>
      </c>
      <c r="F577" s="2">
        <v>2017</v>
      </c>
      <c r="G577" s="2">
        <v>2024</v>
      </c>
      <c r="H577" s="2">
        <f>'mpi_dataset_summary_2017-2024'!$G577-'mpi_dataset_summary_2017-2024'!$F577+1</f>
        <v>8</v>
      </c>
      <c r="I577" s="2" t="s">
        <v>2111</v>
      </c>
      <c r="J577" s="2" t="s">
        <v>2112</v>
      </c>
      <c r="K577" s="2">
        <f>IF('mpi_dataset_summary_2017-2024'!$G577=2024,1,0)</f>
        <v>1</v>
      </c>
      <c r="L577" s="2">
        <f t="shared" si="16"/>
        <v>0</v>
      </c>
      <c r="M577" s="2">
        <v>1080</v>
      </c>
      <c r="N577" s="2">
        <f t="shared" si="17"/>
        <v>0.82</v>
      </c>
      <c r="O577" s="2">
        <v>48.234558</v>
      </c>
      <c r="P577" s="2">
        <v>-78.996533999999997</v>
      </c>
      <c r="Q577" s="2" t="s">
        <v>2107</v>
      </c>
      <c r="R577" s="3" t="s">
        <v>41</v>
      </c>
      <c r="S577" s="2" t="s">
        <v>22</v>
      </c>
      <c r="T577" s="2" t="s">
        <v>42</v>
      </c>
    </row>
    <row r="578" spans="1:20" x14ac:dyDescent="0.2">
      <c r="A578" s="2">
        <v>2084</v>
      </c>
      <c r="B578" s="2" t="s">
        <v>1066</v>
      </c>
      <c r="C578" s="2" t="s">
        <v>1067</v>
      </c>
      <c r="D578" s="2" t="s">
        <v>89</v>
      </c>
      <c r="E578" s="2" t="s">
        <v>20</v>
      </c>
      <c r="F578" s="2">
        <v>2017</v>
      </c>
      <c r="G578" s="2">
        <v>2017</v>
      </c>
      <c r="H578" s="2">
        <f>'mpi_dataset_summary_2017-2024'!$G578-'mpi_dataset_summary_2017-2024'!$F578+1</f>
        <v>1</v>
      </c>
      <c r="I578" s="2" t="s">
        <v>2110</v>
      </c>
      <c r="J578" s="2" t="s">
        <v>2110</v>
      </c>
      <c r="K578" s="2">
        <f>IF('mpi_dataset_summary_2017-2024'!$G578=2024,1,0)</f>
        <v>0</v>
      </c>
      <c r="L578" s="2">
        <f t="shared" ref="L578:L641" si="18">IF(J578="Under Construction",1,0)</f>
        <v>1</v>
      </c>
      <c r="M578" s="2">
        <v>140</v>
      </c>
      <c r="N578" s="2">
        <f t="shared" ref="N578:N641" si="19">_xlfn.PERCENTRANK.INC($M$2:$M$4056,M578)</f>
        <v>0.42599999999999999</v>
      </c>
      <c r="O578" s="2">
        <v>48.091912999999998</v>
      </c>
      <c r="P578" s="2">
        <v>-77.863014000000007</v>
      </c>
      <c r="Q578" s="2" t="s">
        <v>2107</v>
      </c>
      <c r="R578" s="3" t="s">
        <v>29</v>
      </c>
      <c r="S578" s="2" t="s">
        <v>22</v>
      </c>
      <c r="T578" s="2" t="s">
        <v>30</v>
      </c>
    </row>
    <row r="579" spans="1:20" x14ac:dyDescent="0.2">
      <c r="A579" s="2">
        <v>2085</v>
      </c>
      <c r="B579" s="2" t="s">
        <v>1066</v>
      </c>
      <c r="C579" s="2" t="s">
        <v>1068</v>
      </c>
      <c r="D579" s="2" t="s">
        <v>89</v>
      </c>
      <c r="E579" s="2" t="s">
        <v>20</v>
      </c>
      <c r="F579" s="2">
        <v>2017</v>
      </c>
      <c r="G579" s="2">
        <v>2017</v>
      </c>
      <c r="H579" s="2">
        <f>'mpi_dataset_summary_2017-2024'!$G579-'mpi_dataset_summary_2017-2024'!$F579+1</f>
        <v>1</v>
      </c>
      <c r="I579" s="2" t="s">
        <v>2111</v>
      </c>
      <c r="J579" s="2" t="s">
        <v>2111</v>
      </c>
      <c r="K579" s="2">
        <f>IF('mpi_dataset_summary_2017-2024'!$G579=2024,1,0)</f>
        <v>0</v>
      </c>
      <c r="L579" s="2">
        <f t="shared" si="18"/>
        <v>0</v>
      </c>
      <c r="M579" s="2">
        <v>80</v>
      </c>
      <c r="N579" s="2">
        <f t="shared" si="19"/>
        <v>0.30499999999999999</v>
      </c>
      <c r="O579" s="2" t="s">
        <v>2114</v>
      </c>
      <c r="P579" s="2">
        <v>-78.270236999999995</v>
      </c>
      <c r="Q579" s="2" t="s">
        <v>2107</v>
      </c>
      <c r="R579" s="3" t="s">
        <v>41</v>
      </c>
      <c r="S579" s="2" t="s">
        <v>22</v>
      </c>
      <c r="T579" s="2" t="s">
        <v>42</v>
      </c>
    </row>
    <row r="580" spans="1:20" x14ac:dyDescent="0.2">
      <c r="A580" s="2">
        <v>2087</v>
      </c>
      <c r="B580" s="2" t="s">
        <v>1069</v>
      </c>
      <c r="C580" s="2" t="s">
        <v>1070</v>
      </c>
      <c r="D580" s="2" t="s">
        <v>89</v>
      </c>
      <c r="E580" s="2" t="s">
        <v>20</v>
      </c>
      <c r="F580" s="2">
        <v>2017</v>
      </c>
      <c r="G580" s="2">
        <v>2021</v>
      </c>
      <c r="H580" s="2">
        <f>'mpi_dataset_summary_2017-2024'!$G580-'mpi_dataset_summary_2017-2024'!$F580+1</f>
        <v>5</v>
      </c>
      <c r="I580" s="2" t="s">
        <v>2112</v>
      </c>
      <c r="J580" s="2" t="s">
        <v>2110</v>
      </c>
      <c r="K580" s="2">
        <f>IF('mpi_dataset_summary_2017-2024'!$G580=2024,1,0)</f>
        <v>0</v>
      </c>
      <c r="L580" s="2">
        <f t="shared" si="18"/>
        <v>1</v>
      </c>
      <c r="M580" s="2">
        <v>1451</v>
      </c>
      <c r="N580" s="2">
        <f t="shared" si="19"/>
        <v>0.86099999999999999</v>
      </c>
      <c r="O580" s="2">
        <v>48.073667999999998</v>
      </c>
      <c r="P580" s="2">
        <v>-78.141149999999996</v>
      </c>
      <c r="Q580" s="2" t="s">
        <v>2107</v>
      </c>
      <c r="R580" s="3" t="s">
        <v>41</v>
      </c>
      <c r="S580" s="2" t="s">
        <v>22</v>
      </c>
      <c r="T580" s="2" t="s">
        <v>42</v>
      </c>
    </row>
    <row r="581" spans="1:20" x14ac:dyDescent="0.2">
      <c r="A581" s="2">
        <v>2088</v>
      </c>
      <c r="B581" s="2" t="s">
        <v>1071</v>
      </c>
      <c r="C581" s="2" t="s">
        <v>1072</v>
      </c>
      <c r="D581" s="2" t="s">
        <v>89</v>
      </c>
      <c r="E581" s="2" t="s">
        <v>20</v>
      </c>
      <c r="F581" s="2">
        <v>2017</v>
      </c>
      <c r="G581" s="2">
        <v>2017</v>
      </c>
      <c r="H581" s="2">
        <f>'mpi_dataset_summary_2017-2024'!$G581-'mpi_dataset_summary_2017-2024'!$F581+1</f>
        <v>1</v>
      </c>
      <c r="I581" s="2" t="s">
        <v>2110</v>
      </c>
      <c r="J581" s="2" t="s">
        <v>2110</v>
      </c>
      <c r="K581" s="2">
        <f>IF('mpi_dataset_summary_2017-2024'!$G581=2024,1,0)</f>
        <v>0</v>
      </c>
      <c r="L581" s="2">
        <f t="shared" si="18"/>
        <v>1</v>
      </c>
      <c r="M581" s="2">
        <v>155</v>
      </c>
      <c r="N581" s="2">
        <f t="shared" si="19"/>
        <v>0.45200000000000001</v>
      </c>
      <c r="O581" s="2">
        <v>49.573475000000002</v>
      </c>
      <c r="P581" s="2">
        <v>-79.293245999999996</v>
      </c>
      <c r="Q581" s="2" t="s">
        <v>2107</v>
      </c>
      <c r="R581" s="3" t="s">
        <v>29</v>
      </c>
      <c r="S581" s="2" t="s">
        <v>22</v>
      </c>
      <c r="T581" s="2" t="s">
        <v>30</v>
      </c>
    </row>
    <row r="582" spans="1:20" x14ac:dyDescent="0.2">
      <c r="A582" s="2">
        <v>2092</v>
      </c>
      <c r="B582" s="2" t="s">
        <v>1073</v>
      </c>
      <c r="C582" s="2" t="s">
        <v>1074</v>
      </c>
      <c r="D582" s="2" t="s">
        <v>89</v>
      </c>
      <c r="E582" s="2" t="s">
        <v>20</v>
      </c>
      <c r="F582" s="2">
        <v>2017</v>
      </c>
      <c r="G582" s="2">
        <v>2024</v>
      </c>
      <c r="H582" s="2">
        <f>'mpi_dataset_summary_2017-2024'!$G582-'mpi_dataset_summary_2017-2024'!$F582+1</f>
        <v>8</v>
      </c>
      <c r="I582" s="2" t="s">
        <v>2111</v>
      </c>
      <c r="J582" s="2" t="s">
        <v>2112</v>
      </c>
      <c r="K582" s="2">
        <f>IF('mpi_dataset_summary_2017-2024'!$G582=2024,1,0)</f>
        <v>1</v>
      </c>
      <c r="L582" s="2">
        <f t="shared" si="18"/>
        <v>0</v>
      </c>
      <c r="M582" s="2">
        <v>788.6</v>
      </c>
      <c r="N582" s="2">
        <f t="shared" si="19"/>
        <v>0.77300000000000002</v>
      </c>
      <c r="O582" s="2">
        <v>49.026694999999997</v>
      </c>
      <c r="P582" s="2">
        <v>-75.642653999999993</v>
      </c>
      <c r="Q582" s="2" t="s">
        <v>2107</v>
      </c>
      <c r="R582" s="3" t="s">
        <v>41</v>
      </c>
      <c r="S582" s="2" t="s">
        <v>22</v>
      </c>
      <c r="T582" s="2" t="s">
        <v>42</v>
      </c>
    </row>
    <row r="583" spans="1:20" x14ac:dyDescent="0.2">
      <c r="A583" s="2">
        <v>2093</v>
      </c>
      <c r="B583" s="2" t="s">
        <v>631</v>
      </c>
      <c r="C583" s="2" t="s">
        <v>1075</v>
      </c>
      <c r="D583" s="2" t="s">
        <v>89</v>
      </c>
      <c r="E583" s="2" t="s">
        <v>20</v>
      </c>
      <c r="F583" s="2">
        <v>2017</v>
      </c>
      <c r="G583" s="2">
        <v>2024</v>
      </c>
      <c r="H583" s="2">
        <f>'mpi_dataset_summary_2017-2024'!$G583-'mpi_dataset_summary_2017-2024'!$F583+1</f>
        <v>8</v>
      </c>
      <c r="I583" s="2" t="s">
        <v>2111</v>
      </c>
      <c r="J583" s="2" t="s">
        <v>2110</v>
      </c>
      <c r="K583" s="2">
        <f>IF('mpi_dataset_summary_2017-2024'!$G583=2024,1,0)</f>
        <v>1</v>
      </c>
      <c r="L583" s="2">
        <f t="shared" si="18"/>
        <v>1</v>
      </c>
      <c r="M583" s="2">
        <v>480.8</v>
      </c>
      <c r="N583" s="2">
        <f t="shared" si="19"/>
        <v>0.67400000000000004</v>
      </c>
      <c r="O583" s="2">
        <v>46.732000999999997</v>
      </c>
      <c r="P583" s="2">
        <v>-73.700146000000004</v>
      </c>
      <c r="Q583" s="2" t="s">
        <v>2107</v>
      </c>
      <c r="R583" s="3" t="s">
        <v>41</v>
      </c>
      <c r="S583" s="2" t="s">
        <v>22</v>
      </c>
      <c r="T583" s="2" t="s">
        <v>42</v>
      </c>
    </row>
    <row r="584" spans="1:20" x14ac:dyDescent="0.2">
      <c r="A584" s="2">
        <v>2094</v>
      </c>
      <c r="B584" s="2" t="s">
        <v>1076</v>
      </c>
      <c r="C584" s="2" t="s">
        <v>1077</v>
      </c>
      <c r="D584" s="2" t="s">
        <v>89</v>
      </c>
      <c r="E584" s="2" t="s">
        <v>20</v>
      </c>
      <c r="F584" s="2">
        <v>2017</v>
      </c>
      <c r="G584" s="2">
        <v>2017</v>
      </c>
      <c r="H584" s="2">
        <f>'mpi_dataset_summary_2017-2024'!$G584-'mpi_dataset_summary_2017-2024'!$F584+1</f>
        <v>1</v>
      </c>
      <c r="I584" s="2" t="s">
        <v>2111</v>
      </c>
      <c r="J584" s="2" t="s">
        <v>2111</v>
      </c>
      <c r="K584" s="2">
        <f>IF('mpi_dataset_summary_2017-2024'!$G584=2024,1,0)</f>
        <v>0</v>
      </c>
      <c r="L584" s="2">
        <f t="shared" si="18"/>
        <v>0</v>
      </c>
      <c r="M584" s="2">
        <v>0</v>
      </c>
      <c r="N584" s="2">
        <f t="shared" si="19"/>
        <v>0</v>
      </c>
      <c r="O584" s="2" t="s">
        <v>2114</v>
      </c>
      <c r="P584" s="2" t="s">
        <v>2114</v>
      </c>
      <c r="Q584" s="2" t="s">
        <v>2107</v>
      </c>
      <c r="R584" s="3" t="s">
        <v>41</v>
      </c>
      <c r="S584" s="2" t="s">
        <v>22</v>
      </c>
      <c r="T584" s="2" t="s">
        <v>42</v>
      </c>
    </row>
    <row r="585" spans="1:20" x14ac:dyDescent="0.2">
      <c r="A585" s="2">
        <v>2095</v>
      </c>
      <c r="B585" s="2" t="s">
        <v>1078</v>
      </c>
      <c r="C585" s="2" t="s">
        <v>1079</v>
      </c>
      <c r="D585" s="2" t="s">
        <v>89</v>
      </c>
      <c r="E585" s="2" t="s">
        <v>20</v>
      </c>
      <c r="F585" s="2">
        <v>2017</v>
      </c>
      <c r="G585" s="2">
        <v>2018</v>
      </c>
      <c r="H585" s="2">
        <f>'mpi_dataset_summary_2017-2024'!$G585-'mpi_dataset_summary_2017-2024'!$F585+1</f>
        <v>2</v>
      </c>
      <c r="I585" s="2" t="s">
        <v>2111</v>
      </c>
      <c r="J585" s="2" t="s">
        <v>2110</v>
      </c>
      <c r="K585" s="2">
        <f>IF('mpi_dataset_summary_2017-2024'!$G585=2024,1,0)</f>
        <v>0</v>
      </c>
      <c r="L585" s="2">
        <f t="shared" si="18"/>
        <v>1</v>
      </c>
      <c r="M585" s="2">
        <v>326.8</v>
      </c>
      <c r="N585" s="2">
        <f t="shared" si="19"/>
        <v>0.59299999999999997</v>
      </c>
      <c r="O585" s="2" t="s">
        <v>2114</v>
      </c>
      <c r="P585" s="2" t="s">
        <v>2114</v>
      </c>
      <c r="Q585" s="2" t="s">
        <v>2107</v>
      </c>
      <c r="R585" s="3" t="s">
        <v>41</v>
      </c>
      <c r="S585" s="2" t="s">
        <v>22</v>
      </c>
      <c r="T585" s="2" t="s">
        <v>42</v>
      </c>
    </row>
    <row r="586" spans="1:20" x14ac:dyDescent="0.2">
      <c r="A586" s="2">
        <v>2096</v>
      </c>
      <c r="B586" s="2" t="s">
        <v>1080</v>
      </c>
      <c r="C586" s="2" t="s">
        <v>1081</v>
      </c>
      <c r="D586" s="2" t="s">
        <v>89</v>
      </c>
      <c r="E586" s="2" t="s">
        <v>20</v>
      </c>
      <c r="F586" s="2">
        <v>2017</v>
      </c>
      <c r="G586" s="2">
        <v>2018</v>
      </c>
      <c r="H586" s="2">
        <f>'mpi_dataset_summary_2017-2024'!$G586-'mpi_dataset_summary_2017-2024'!$F586+1</f>
        <v>2</v>
      </c>
      <c r="I586" s="2" t="s">
        <v>2111</v>
      </c>
      <c r="J586" s="2" t="s">
        <v>2111</v>
      </c>
      <c r="K586" s="2">
        <f>IF('mpi_dataset_summary_2017-2024'!$G586=2024,1,0)</f>
        <v>0</v>
      </c>
      <c r="L586" s="2">
        <f t="shared" si="18"/>
        <v>0</v>
      </c>
      <c r="M586" s="2">
        <v>0</v>
      </c>
      <c r="N586" s="2">
        <f t="shared" si="19"/>
        <v>0</v>
      </c>
      <c r="O586" s="2" t="s">
        <v>2114</v>
      </c>
      <c r="P586" s="2" t="s">
        <v>2114</v>
      </c>
      <c r="Q586" s="2" t="s">
        <v>2107</v>
      </c>
      <c r="R586" s="3" t="s">
        <v>41</v>
      </c>
      <c r="S586" s="2" t="s">
        <v>22</v>
      </c>
      <c r="T586" s="2" t="s">
        <v>42</v>
      </c>
    </row>
    <row r="587" spans="1:20" x14ac:dyDescent="0.2">
      <c r="A587" s="2">
        <v>2098</v>
      </c>
      <c r="B587" s="2" t="s">
        <v>1082</v>
      </c>
      <c r="C587" s="2" t="s">
        <v>1083</v>
      </c>
      <c r="D587" s="2" t="s">
        <v>89</v>
      </c>
      <c r="E587" s="2" t="s">
        <v>20</v>
      </c>
      <c r="F587" s="2">
        <v>2017</v>
      </c>
      <c r="G587" s="2">
        <v>2018</v>
      </c>
      <c r="H587" s="2">
        <f>'mpi_dataset_summary_2017-2024'!$G587-'mpi_dataset_summary_2017-2024'!$F587+1</f>
        <v>2</v>
      </c>
      <c r="I587" s="2" t="s">
        <v>2111</v>
      </c>
      <c r="J587" s="2" t="s">
        <v>2111</v>
      </c>
      <c r="K587" s="2">
        <f>IF('mpi_dataset_summary_2017-2024'!$G587=2024,1,0)</f>
        <v>0</v>
      </c>
      <c r="L587" s="2">
        <f t="shared" si="18"/>
        <v>0</v>
      </c>
      <c r="M587" s="2">
        <v>0</v>
      </c>
      <c r="N587" s="2">
        <f t="shared" si="19"/>
        <v>0</v>
      </c>
      <c r="O587" s="2" t="s">
        <v>2114</v>
      </c>
      <c r="P587" s="2" t="s">
        <v>2114</v>
      </c>
      <c r="Q587" s="2" t="s">
        <v>2107</v>
      </c>
      <c r="R587" s="3" t="s">
        <v>41</v>
      </c>
      <c r="S587" s="2" t="s">
        <v>22</v>
      </c>
      <c r="T587" s="2" t="s">
        <v>42</v>
      </c>
    </row>
    <row r="588" spans="1:20" x14ac:dyDescent="0.2">
      <c r="A588" s="2">
        <v>2099</v>
      </c>
      <c r="B588" s="2" t="s">
        <v>1084</v>
      </c>
      <c r="C588" s="2" t="s">
        <v>1085</v>
      </c>
      <c r="D588" s="2" t="s">
        <v>89</v>
      </c>
      <c r="E588" s="2" t="s">
        <v>20</v>
      </c>
      <c r="F588" s="2">
        <v>2017</v>
      </c>
      <c r="G588" s="2">
        <v>2017</v>
      </c>
      <c r="H588" s="2">
        <f>'mpi_dataset_summary_2017-2024'!$G588-'mpi_dataset_summary_2017-2024'!$F588+1</f>
        <v>1</v>
      </c>
      <c r="I588" s="2" t="s">
        <v>2110</v>
      </c>
      <c r="J588" s="2" t="s">
        <v>2110</v>
      </c>
      <c r="K588" s="2">
        <f>IF('mpi_dataset_summary_2017-2024'!$G588=2024,1,0)</f>
        <v>0</v>
      </c>
      <c r="L588" s="2">
        <f t="shared" si="18"/>
        <v>1</v>
      </c>
      <c r="M588" s="2">
        <v>60</v>
      </c>
      <c r="N588" s="2">
        <f t="shared" si="19"/>
        <v>0.254</v>
      </c>
      <c r="O588" s="2">
        <v>48.632658999999997</v>
      </c>
      <c r="P588" s="2">
        <v>-77.861811000000003</v>
      </c>
      <c r="Q588" s="2" t="s">
        <v>2109</v>
      </c>
      <c r="R588" s="3" t="s">
        <v>60</v>
      </c>
      <c r="S588" s="2" t="s">
        <v>25</v>
      </c>
      <c r="T588" s="2" t="s">
        <v>61</v>
      </c>
    </row>
    <row r="589" spans="1:20" x14ac:dyDescent="0.2">
      <c r="A589" s="2">
        <v>2101</v>
      </c>
      <c r="B589" s="2" t="s">
        <v>1086</v>
      </c>
      <c r="C589" s="2" t="s">
        <v>1087</v>
      </c>
      <c r="D589" s="2" t="s">
        <v>89</v>
      </c>
      <c r="E589" s="2" t="s">
        <v>20</v>
      </c>
      <c r="F589" s="2">
        <v>2017</v>
      </c>
      <c r="G589" s="2">
        <v>2017</v>
      </c>
      <c r="H589" s="2">
        <f>'mpi_dataset_summary_2017-2024'!$G589-'mpi_dataset_summary_2017-2024'!$F589+1</f>
        <v>1</v>
      </c>
      <c r="I589" s="2" t="s">
        <v>2110</v>
      </c>
      <c r="J589" s="2" t="s">
        <v>2110</v>
      </c>
      <c r="K589" s="2">
        <f>IF('mpi_dataset_summary_2017-2024'!$G589=2024,1,0)</f>
        <v>0</v>
      </c>
      <c r="L589" s="2">
        <f t="shared" si="18"/>
        <v>1</v>
      </c>
      <c r="M589" s="2">
        <v>250</v>
      </c>
      <c r="N589" s="2">
        <f t="shared" si="19"/>
        <v>0.53500000000000003</v>
      </c>
      <c r="O589" s="2">
        <v>46.323959000000002</v>
      </c>
      <c r="P589" s="2">
        <v>-72.565225999999996</v>
      </c>
      <c r="Q589" s="2" t="s">
        <v>2109</v>
      </c>
      <c r="R589" s="3" t="s">
        <v>58</v>
      </c>
      <c r="S589" s="2" t="s">
        <v>22</v>
      </c>
      <c r="T589" s="2" t="s">
        <v>59</v>
      </c>
    </row>
    <row r="590" spans="1:20" x14ac:dyDescent="0.2">
      <c r="A590" s="2">
        <v>2102</v>
      </c>
      <c r="B590" s="2" t="s">
        <v>1088</v>
      </c>
      <c r="C590" s="2" t="s">
        <v>1089</v>
      </c>
      <c r="D590" s="2" t="s">
        <v>89</v>
      </c>
      <c r="E590" s="2" t="s">
        <v>20</v>
      </c>
      <c r="F590" s="2">
        <v>2017</v>
      </c>
      <c r="G590" s="2">
        <v>2017</v>
      </c>
      <c r="H590" s="2">
        <f>'mpi_dataset_summary_2017-2024'!$G590-'mpi_dataset_summary_2017-2024'!$F590+1</f>
        <v>1</v>
      </c>
      <c r="I590" s="2" t="s">
        <v>2110</v>
      </c>
      <c r="J590" s="2" t="s">
        <v>2110</v>
      </c>
      <c r="K590" s="2">
        <f>IF('mpi_dataset_summary_2017-2024'!$G590=2024,1,0)</f>
        <v>0</v>
      </c>
      <c r="L590" s="2">
        <f t="shared" si="18"/>
        <v>1</v>
      </c>
      <c r="M590" s="2">
        <v>22.2</v>
      </c>
      <c r="N590" s="2">
        <f t="shared" si="19"/>
        <v>0.113</v>
      </c>
      <c r="O590" s="2">
        <v>45.598714999999999</v>
      </c>
      <c r="P590" s="2">
        <v>-75.256777999999997</v>
      </c>
      <c r="Q590" s="2" t="s">
        <v>2109</v>
      </c>
      <c r="R590" s="3" t="s">
        <v>58</v>
      </c>
      <c r="S590" s="2" t="s">
        <v>22</v>
      </c>
      <c r="T590" s="2" t="s">
        <v>59</v>
      </c>
    </row>
    <row r="591" spans="1:20" x14ac:dyDescent="0.2">
      <c r="A591" s="2">
        <v>2103</v>
      </c>
      <c r="B591" s="2" t="s">
        <v>1090</v>
      </c>
      <c r="C591" s="2" t="s">
        <v>1091</v>
      </c>
      <c r="D591" s="2" t="s">
        <v>89</v>
      </c>
      <c r="E591" s="2" t="s">
        <v>20</v>
      </c>
      <c r="F591" s="2">
        <v>2017</v>
      </c>
      <c r="G591" s="2">
        <v>2018</v>
      </c>
      <c r="H591" s="2">
        <f>'mpi_dataset_summary_2017-2024'!$G591-'mpi_dataset_summary_2017-2024'!$F591+1</f>
        <v>2</v>
      </c>
      <c r="I591" s="2" t="s">
        <v>2112</v>
      </c>
      <c r="J591" s="2" t="s">
        <v>2112</v>
      </c>
      <c r="K591" s="2">
        <f>IF('mpi_dataset_summary_2017-2024'!$G591=2024,1,0)</f>
        <v>0</v>
      </c>
      <c r="L591" s="2">
        <f t="shared" si="18"/>
        <v>0</v>
      </c>
      <c r="M591" s="2">
        <v>700</v>
      </c>
      <c r="N591" s="2">
        <f t="shared" si="19"/>
        <v>0.74299999999999999</v>
      </c>
      <c r="O591" s="2">
        <v>47.439788</v>
      </c>
      <c r="P591" s="2">
        <v>-72.790830999999997</v>
      </c>
      <c r="Q591" s="2" t="s">
        <v>2109</v>
      </c>
      <c r="R591" s="3" t="s">
        <v>41</v>
      </c>
      <c r="S591" s="2" t="s">
        <v>25</v>
      </c>
      <c r="T591" s="2" t="s">
        <v>57</v>
      </c>
    </row>
    <row r="592" spans="1:20" x14ac:dyDescent="0.2">
      <c r="A592" s="2">
        <v>2104</v>
      </c>
      <c r="B592" s="2" t="s">
        <v>1092</v>
      </c>
      <c r="C592" s="2" t="s">
        <v>1093</v>
      </c>
      <c r="D592" s="2" t="s">
        <v>89</v>
      </c>
      <c r="E592" s="2" t="s">
        <v>20</v>
      </c>
      <c r="F592" s="2">
        <v>2017</v>
      </c>
      <c r="G592" s="2">
        <v>2017</v>
      </c>
      <c r="H592" s="2">
        <f>'mpi_dataset_summary_2017-2024'!$G592-'mpi_dataset_summary_2017-2024'!$F592+1</f>
        <v>1</v>
      </c>
      <c r="I592" s="2" t="s">
        <v>2110</v>
      </c>
      <c r="J592" s="2" t="s">
        <v>2110</v>
      </c>
      <c r="K592" s="2">
        <f>IF('mpi_dataset_summary_2017-2024'!$G592=2024,1,0)</f>
        <v>0</v>
      </c>
      <c r="L592" s="2">
        <f t="shared" si="18"/>
        <v>1</v>
      </c>
      <c r="M592" s="2">
        <v>36</v>
      </c>
      <c r="N592" s="2">
        <f t="shared" si="19"/>
        <v>0.16800000000000001</v>
      </c>
      <c r="O592" s="2">
        <v>45.564345000000003</v>
      </c>
      <c r="P592" s="2">
        <v>-71.978617</v>
      </c>
      <c r="Q592" s="2" t="s">
        <v>2109</v>
      </c>
      <c r="R592" s="3" t="s">
        <v>41</v>
      </c>
      <c r="S592" s="2" t="s">
        <v>25</v>
      </c>
      <c r="T592" s="2" t="s">
        <v>57</v>
      </c>
    </row>
    <row r="593" spans="1:20" x14ac:dyDescent="0.2">
      <c r="A593" s="2">
        <v>2106</v>
      </c>
      <c r="B593" s="2" t="s">
        <v>1094</v>
      </c>
      <c r="C593" s="2" t="s">
        <v>1091</v>
      </c>
      <c r="D593" s="2" t="s">
        <v>89</v>
      </c>
      <c r="E593" s="2" t="s">
        <v>20</v>
      </c>
      <c r="F593" s="2">
        <v>2017</v>
      </c>
      <c r="G593" s="2">
        <v>2018</v>
      </c>
      <c r="H593" s="2">
        <f>'mpi_dataset_summary_2017-2024'!$G593-'mpi_dataset_summary_2017-2024'!$F593+1</f>
        <v>2</v>
      </c>
      <c r="I593" s="2" t="s">
        <v>2110</v>
      </c>
      <c r="J593" s="2" t="s">
        <v>2110</v>
      </c>
      <c r="K593" s="2">
        <f>IF('mpi_dataset_summary_2017-2024'!$G593=2024,1,0)</f>
        <v>0</v>
      </c>
      <c r="L593" s="2">
        <f t="shared" si="18"/>
        <v>1</v>
      </c>
      <c r="M593" s="2">
        <v>104</v>
      </c>
      <c r="N593" s="2">
        <f t="shared" si="19"/>
        <v>0.36099999999999999</v>
      </c>
      <c r="O593" s="2">
        <v>50.030062000000001</v>
      </c>
      <c r="P593" s="2">
        <v>-66.873350000000002</v>
      </c>
      <c r="Q593" s="2" t="s">
        <v>2109</v>
      </c>
      <c r="R593" s="3" t="s">
        <v>41</v>
      </c>
      <c r="S593" s="2" t="s">
        <v>25</v>
      </c>
      <c r="T593" s="2" t="s">
        <v>57</v>
      </c>
    </row>
    <row r="594" spans="1:20" x14ac:dyDescent="0.2">
      <c r="A594" s="2">
        <v>2107</v>
      </c>
      <c r="B594" s="2" t="s">
        <v>1086</v>
      </c>
      <c r="C594" s="2" t="s">
        <v>1095</v>
      </c>
      <c r="D594" s="2" t="s">
        <v>89</v>
      </c>
      <c r="E594" s="2" t="s">
        <v>20</v>
      </c>
      <c r="F594" s="2">
        <v>2017</v>
      </c>
      <c r="G594" s="2">
        <v>2017</v>
      </c>
      <c r="H594" s="2">
        <f>'mpi_dataset_summary_2017-2024'!$G594-'mpi_dataset_summary_2017-2024'!$F594+1</f>
        <v>1</v>
      </c>
      <c r="I594" s="2" t="s">
        <v>2110</v>
      </c>
      <c r="J594" s="2" t="s">
        <v>2110</v>
      </c>
      <c r="K594" s="2">
        <f>IF('mpi_dataset_summary_2017-2024'!$G594=2024,1,0)</f>
        <v>0</v>
      </c>
      <c r="L594" s="2">
        <f t="shared" si="18"/>
        <v>1</v>
      </c>
      <c r="M594" s="2">
        <v>55</v>
      </c>
      <c r="N594" s="2">
        <f t="shared" si="19"/>
        <v>0.24199999999999999</v>
      </c>
      <c r="O594" s="2">
        <v>45.964883999999998</v>
      </c>
      <c r="P594" s="2">
        <v>-73.469801000000004</v>
      </c>
      <c r="Q594" s="2" t="s">
        <v>2109</v>
      </c>
      <c r="R594" s="3" t="s">
        <v>58</v>
      </c>
      <c r="S594" s="2" t="s">
        <v>22</v>
      </c>
      <c r="T594" s="2" t="s">
        <v>59</v>
      </c>
    </row>
    <row r="595" spans="1:20" x14ac:dyDescent="0.2">
      <c r="A595" s="2">
        <v>2108</v>
      </c>
      <c r="B595" s="2" t="s">
        <v>1096</v>
      </c>
      <c r="C595" s="2" t="s">
        <v>1097</v>
      </c>
      <c r="D595" s="2" t="s">
        <v>89</v>
      </c>
      <c r="E595" s="2" t="s">
        <v>20</v>
      </c>
      <c r="F595" s="2">
        <v>2017</v>
      </c>
      <c r="G595" s="2">
        <v>2022</v>
      </c>
      <c r="H595" s="2">
        <f>'mpi_dataset_summary_2017-2024'!$G595-'mpi_dataset_summary_2017-2024'!$F595+1</f>
        <v>6</v>
      </c>
      <c r="I595" s="2" t="s">
        <v>2110</v>
      </c>
      <c r="J595" s="2" t="s">
        <v>2110</v>
      </c>
      <c r="K595" s="2">
        <f>IF('mpi_dataset_summary_2017-2024'!$G595=2024,1,0)</f>
        <v>0</v>
      </c>
      <c r="L595" s="2">
        <f t="shared" si="18"/>
        <v>1</v>
      </c>
      <c r="M595" s="2">
        <v>25.5</v>
      </c>
      <c r="N595" s="2">
        <f t="shared" si="19"/>
        <v>0.13200000000000001</v>
      </c>
      <c r="O595" s="2">
        <v>45.542579000000003</v>
      </c>
      <c r="P595" s="2">
        <v>-75.424609000000004</v>
      </c>
      <c r="Q595" s="2" t="s">
        <v>2109</v>
      </c>
      <c r="R595" s="3" t="s">
        <v>41</v>
      </c>
      <c r="S595" s="2" t="s">
        <v>25</v>
      </c>
      <c r="T595" s="2" t="s">
        <v>57</v>
      </c>
    </row>
    <row r="596" spans="1:20" x14ac:dyDescent="0.2">
      <c r="A596" s="2">
        <v>2109</v>
      </c>
      <c r="B596" s="2" t="s">
        <v>1086</v>
      </c>
      <c r="C596" s="2" t="s">
        <v>1098</v>
      </c>
      <c r="D596" s="2" t="s">
        <v>89</v>
      </c>
      <c r="E596" s="2" t="s">
        <v>20</v>
      </c>
      <c r="F596" s="2">
        <v>2017</v>
      </c>
      <c r="G596" s="2">
        <v>2017</v>
      </c>
      <c r="H596" s="2">
        <f>'mpi_dataset_summary_2017-2024'!$G596-'mpi_dataset_summary_2017-2024'!$F596+1</f>
        <v>1</v>
      </c>
      <c r="I596" s="2" t="s">
        <v>2110</v>
      </c>
      <c r="J596" s="2" t="s">
        <v>2110</v>
      </c>
      <c r="K596" s="2">
        <f>IF('mpi_dataset_summary_2017-2024'!$G596=2024,1,0)</f>
        <v>0</v>
      </c>
      <c r="L596" s="2">
        <f t="shared" si="18"/>
        <v>1</v>
      </c>
      <c r="M596" s="2">
        <v>250</v>
      </c>
      <c r="N596" s="2">
        <f t="shared" si="19"/>
        <v>0.53500000000000003</v>
      </c>
      <c r="O596" s="2">
        <v>46.327240000000003</v>
      </c>
      <c r="P596" s="2">
        <v>-72.557501999999999</v>
      </c>
      <c r="Q596" s="2" t="s">
        <v>2109</v>
      </c>
      <c r="R596" s="3" t="s">
        <v>58</v>
      </c>
      <c r="S596" s="2" t="s">
        <v>22</v>
      </c>
      <c r="T596" s="2" t="s">
        <v>59</v>
      </c>
    </row>
    <row r="597" spans="1:20" x14ac:dyDescent="0.2">
      <c r="A597" s="2">
        <v>2110</v>
      </c>
      <c r="B597" s="2" t="s">
        <v>1099</v>
      </c>
      <c r="C597" s="2" t="s">
        <v>1100</v>
      </c>
      <c r="D597" s="2" t="s">
        <v>89</v>
      </c>
      <c r="E597" s="2" t="s">
        <v>20</v>
      </c>
      <c r="F597" s="2">
        <v>2017</v>
      </c>
      <c r="G597" s="2">
        <v>2024</v>
      </c>
      <c r="H597" s="2">
        <f>'mpi_dataset_summary_2017-2024'!$G597-'mpi_dataset_summary_2017-2024'!$F597+1</f>
        <v>8</v>
      </c>
      <c r="I597" s="2" t="s">
        <v>2112</v>
      </c>
      <c r="J597" s="2" t="s">
        <v>2110</v>
      </c>
      <c r="K597" s="2">
        <f>IF('mpi_dataset_summary_2017-2024'!$G597=2024,1,0)</f>
        <v>1</v>
      </c>
      <c r="L597" s="2">
        <f t="shared" si="18"/>
        <v>1</v>
      </c>
      <c r="M597" s="2">
        <v>700</v>
      </c>
      <c r="N597" s="2">
        <f t="shared" si="19"/>
        <v>0.74299999999999999</v>
      </c>
      <c r="O597" s="2">
        <v>50.210560000000001</v>
      </c>
      <c r="P597" s="2">
        <v>-66.374652999999995</v>
      </c>
      <c r="Q597" s="2" t="s">
        <v>2108</v>
      </c>
      <c r="R597" s="3" t="s">
        <v>41</v>
      </c>
      <c r="S597" s="2" t="s">
        <v>25</v>
      </c>
      <c r="T597" s="2" t="s">
        <v>46</v>
      </c>
    </row>
    <row r="598" spans="1:20" x14ac:dyDescent="0.2">
      <c r="A598" s="2">
        <v>2111</v>
      </c>
      <c r="B598" s="2" t="s">
        <v>1101</v>
      </c>
      <c r="C598" s="2" t="s">
        <v>1102</v>
      </c>
      <c r="D598" s="2" t="s">
        <v>89</v>
      </c>
      <c r="E598" s="2" t="s">
        <v>20</v>
      </c>
      <c r="F598" s="2">
        <v>2017</v>
      </c>
      <c r="G598" s="2">
        <v>2022</v>
      </c>
      <c r="H598" s="2">
        <f>'mpi_dataset_summary_2017-2024'!$G598-'mpi_dataset_summary_2017-2024'!$F598+1</f>
        <v>6</v>
      </c>
      <c r="I598" s="2" t="s">
        <v>2111</v>
      </c>
      <c r="J598" s="2" t="s">
        <v>2112</v>
      </c>
      <c r="K598" s="2">
        <f>IF('mpi_dataset_summary_2017-2024'!$G598=2024,1,0)</f>
        <v>0</v>
      </c>
      <c r="L598" s="2">
        <f t="shared" si="18"/>
        <v>0</v>
      </c>
      <c r="M598" s="2">
        <v>0</v>
      </c>
      <c r="N598" s="2">
        <f t="shared" si="19"/>
        <v>0</v>
      </c>
      <c r="O598" s="2" t="s">
        <v>2114</v>
      </c>
      <c r="P598" s="2" t="s">
        <v>2114</v>
      </c>
      <c r="Q598" s="2" t="s">
        <v>2108</v>
      </c>
      <c r="R598" s="3" t="s">
        <v>41</v>
      </c>
      <c r="S598" s="2" t="s">
        <v>25</v>
      </c>
      <c r="T598" s="2" t="s">
        <v>46</v>
      </c>
    </row>
    <row r="599" spans="1:20" x14ac:dyDescent="0.2">
      <c r="A599" s="2">
        <v>2112</v>
      </c>
      <c r="B599" s="2" t="s">
        <v>1103</v>
      </c>
      <c r="C599" s="2" t="s">
        <v>1104</v>
      </c>
      <c r="D599" s="2" t="s">
        <v>89</v>
      </c>
      <c r="E599" s="2" t="s">
        <v>20</v>
      </c>
      <c r="F599" s="2">
        <v>2017</v>
      </c>
      <c r="G599" s="2">
        <v>2017</v>
      </c>
      <c r="H599" s="2">
        <f>'mpi_dataset_summary_2017-2024'!$G599-'mpi_dataset_summary_2017-2024'!$F599+1</f>
        <v>1</v>
      </c>
      <c r="I599" s="2" t="s">
        <v>2110</v>
      </c>
      <c r="J599" s="2" t="s">
        <v>2110</v>
      </c>
      <c r="K599" s="2">
        <f>IF('mpi_dataset_summary_2017-2024'!$G599=2024,1,0)</f>
        <v>0</v>
      </c>
      <c r="L599" s="2">
        <f t="shared" si="18"/>
        <v>1</v>
      </c>
      <c r="M599" s="2">
        <v>36</v>
      </c>
      <c r="N599" s="2">
        <f t="shared" si="19"/>
        <v>0.16800000000000001</v>
      </c>
      <c r="O599" s="2">
        <v>45.564345000000003</v>
      </c>
      <c r="P599" s="2">
        <v>-71.978617</v>
      </c>
      <c r="Q599" s="2" t="s">
        <v>2108</v>
      </c>
      <c r="R599" s="3" t="s">
        <v>49</v>
      </c>
      <c r="S599" s="2" t="s">
        <v>25</v>
      </c>
      <c r="T599" s="2" t="s">
        <v>50</v>
      </c>
    </row>
    <row r="600" spans="1:20" x14ac:dyDescent="0.2">
      <c r="A600" s="2">
        <v>2113</v>
      </c>
      <c r="B600" s="2" t="s">
        <v>1105</v>
      </c>
      <c r="C600" s="2" t="s">
        <v>1106</v>
      </c>
      <c r="D600" s="2" t="s">
        <v>89</v>
      </c>
      <c r="E600" s="2" t="s">
        <v>20</v>
      </c>
      <c r="F600" s="2">
        <v>2017</v>
      </c>
      <c r="G600" s="2">
        <v>2022</v>
      </c>
      <c r="H600" s="2">
        <f>'mpi_dataset_summary_2017-2024'!$G600-'mpi_dataset_summary_2017-2024'!$F600+1</f>
        <v>6</v>
      </c>
      <c r="I600" s="2" t="s">
        <v>2111</v>
      </c>
      <c r="J600" s="2" t="s">
        <v>2111</v>
      </c>
      <c r="K600" s="2">
        <f>IF('mpi_dataset_summary_2017-2024'!$G600=2024,1,0)</f>
        <v>0</v>
      </c>
      <c r="L600" s="2">
        <f t="shared" si="18"/>
        <v>0</v>
      </c>
      <c r="M600" s="2">
        <v>0</v>
      </c>
      <c r="N600" s="2">
        <f t="shared" si="19"/>
        <v>0</v>
      </c>
      <c r="O600" s="2" t="s">
        <v>2114</v>
      </c>
      <c r="P600" s="2" t="s">
        <v>2114</v>
      </c>
      <c r="Q600" s="2" t="s">
        <v>2108</v>
      </c>
      <c r="R600" s="3" t="s">
        <v>41</v>
      </c>
      <c r="S600" s="2" t="s">
        <v>25</v>
      </c>
      <c r="T600" s="2" t="s">
        <v>46</v>
      </c>
    </row>
    <row r="601" spans="1:20" x14ac:dyDescent="0.2">
      <c r="A601" s="2">
        <v>2114</v>
      </c>
      <c r="B601" s="2" t="s">
        <v>1107</v>
      </c>
      <c r="C601" s="2" t="s">
        <v>1108</v>
      </c>
      <c r="D601" s="2" t="s">
        <v>89</v>
      </c>
      <c r="E601" s="2" t="s">
        <v>20</v>
      </c>
      <c r="F601" s="2">
        <v>2017</v>
      </c>
      <c r="G601" s="2">
        <v>2024</v>
      </c>
      <c r="H601" s="2">
        <f>'mpi_dataset_summary_2017-2024'!$G601-'mpi_dataset_summary_2017-2024'!$F601+1</f>
        <v>8</v>
      </c>
      <c r="I601" s="2" t="s">
        <v>2111</v>
      </c>
      <c r="J601" s="2" t="s">
        <v>2111</v>
      </c>
      <c r="K601" s="2">
        <f>IF('mpi_dataset_summary_2017-2024'!$G601=2024,1,0)</f>
        <v>1</v>
      </c>
      <c r="L601" s="2">
        <f t="shared" si="18"/>
        <v>0</v>
      </c>
      <c r="M601" s="2">
        <v>342</v>
      </c>
      <c r="N601" s="2">
        <f t="shared" si="19"/>
        <v>0.60099999999999998</v>
      </c>
      <c r="O601" s="2" t="s">
        <v>2114</v>
      </c>
      <c r="P601" s="2" t="s">
        <v>2114</v>
      </c>
      <c r="Q601" s="2" t="s">
        <v>2108</v>
      </c>
      <c r="R601" s="3" t="s">
        <v>41</v>
      </c>
      <c r="S601" s="2" t="s">
        <v>25</v>
      </c>
      <c r="T601" s="2" t="s">
        <v>46</v>
      </c>
    </row>
    <row r="602" spans="1:20" x14ac:dyDescent="0.2">
      <c r="A602" s="2">
        <v>2115</v>
      </c>
      <c r="B602" s="2" t="s">
        <v>1109</v>
      </c>
      <c r="C602" s="2" t="s">
        <v>1109</v>
      </c>
      <c r="D602" s="2" t="s">
        <v>89</v>
      </c>
      <c r="E602" s="2" t="s">
        <v>20</v>
      </c>
      <c r="F602" s="2">
        <v>2017</v>
      </c>
      <c r="G602" s="2">
        <v>2024</v>
      </c>
      <c r="H602" s="2">
        <f>'mpi_dataset_summary_2017-2024'!$G602-'mpi_dataset_summary_2017-2024'!$F602+1</f>
        <v>8</v>
      </c>
      <c r="I602" s="2" t="s">
        <v>2111</v>
      </c>
      <c r="J602" s="2" t="s">
        <v>2111</v>
      </c>
      <c r="K602" s="2">
        <f>IF('mpi_dataset_summary_2017-2024'!$G602=2024,1,0)</f>
        <v>1</v>
      </c>
      <c r="L602" s="2">
        <f t="shared" si="18"/>
        <v>0</v>
      </c>
      <c r="M602" s="2">
        <v>72</v>
      </c>
      <c r="N602" s="2">
        <f t="shared" si="19"/>
        <v>0.28499999999999998</v>
      </c>
      <c r="O602" s="2">
        <v>48.148516000000001</v>
      </c>
      <c r="P602" s="2">
        <v>-77.791894999999997</v>
      </c>
      <c r="Q602" s="2" t="s">
        <v>2108</v>
      </c>
      <c r="R602" s="3" t="s">
        <v>41</v>
      </c>
      <c r="S602" s="2" t="s">
        <v>25</v>
      </c>
      <c r="T602" s="2" t="s">
        <v>46</v>
      </c>
    </row>
    <row r="603" spans="1:20" x14ac:dyDescent="0.2">
      <c r="A603" s="2">
        <v>2116</v>
      </c>
      <c r="B603" s="2" t="s">
        <v>135</v>
      </c>
      <c r="C603" s="2" t="s">
        <v>910</v>
      </c>
      <c r="D603" s="2" t="s">
        <v>66</v>
      </c>
      <c r="E603" s="2" t="s">
        <v>20</v>
      </c>
      <c r="F603" s="2">
        <v>2017</v>
      </c>
      <c r="G603" s="2">
        <v>2019</v>
      </c>
      <c r="H603" s="2">
        <f>'mpi_dataset_summary_2017-2024'!$G603-'mpi_dataset_summary_2017-2024'!$F603+1</f>
        <v>3</v>
      </c>
      <c r="I603" s="2" t="s">
        <v>2110</v>
      </c>
      <c r="J603" s="2" t="s">
        <v>2110</v>
      </c>
      <c r="K603" s="2">
        <f>IF('mpi_dataset_summary_2017-2024'!$G603=2024,1,0)</f>
        <v>0</v>
      </c>
      <c r="L603" s="2">
        <f t="shared" si="18"/>
        <v>1</v>
      </c>
      <c r="M603" s="2">
        <v>1150</v>
      </c>
      <c r="N603" s="2">
        <f t="shared" si="19"/>
        <v>0.82699999999999996</v>
      </c>
      <c r="O603" s="2">
        <v>55.574154999999998</v>
      </c>
      <c r="P603" s="2">
        <v>-110.897325</v>
      </c>
      <c r="Q603" s="2" t="s">
        <v>2108</v>
      </c>
      <c r="R603" s="3" t="s">
        <v>41</v>
      </c>
      <c r="S603" s="2" t="s">
        <v>25</v>
      </c>
      <c r="T603" s="2" t="s">
        <v>46</v>
      </c>
    </row>
    <row r="604" spans="1:20" x14ac:dyDescent="0.2">
      <c r="A604" s="2">
        <v>2117</v>
      </c>
      <c r="B604" s="2" t="s">
        <v>121</v>
      </c>
      <c r="C604" s="2" t="s">
        <v>1110</v>
      </c>
      <c r="D604" s="2" t="s">
        <v>66</v>
      </c>
      <c r="E604" s="2" t="s">
        <v>20</v>
      </c>
      <c r="F604" s="2">
        <v>2017</v>
      </c>
      <c r="G604" s="2">
        <v>2018</v>
      </c>
      <c r="H604" s="2">
        <f>'mpi_dataset_summary_2017-2024'!$G604-'mpi_dataset_summary_2017-2024'!$F604+1</f>
        <v>2</v>
      </c>
      <c r="I604" s="2" t="s">
        <v>2110</v>
      </c>
      <c r="J604" s="2" t="s">
        <v>2110</v>
      </c>
      <c r="K604" s="2">
        <f>IF('mpi_dataset_summary_2017-2024'!$G604=2024,1,0)</f>
        <v>0</v>
      </c>
      <c r="L604" s="2">
        <f t="shared" si="18"/>
        <v>1</v>
      </c>
      <c r="M604" s="2">
        <v>1050</v>
      </c>
      <c r="N604" s="2">
        <f t="shared" si="19"/>
        <v>0.81699999999999995</v>
      </c>
      <c r="O604" s="2">
        <v>57.222380000000001</v>
      </c>
      <c r="P604" s="2">
        <v>-111.57169</v>
      </c>
      <c r="Q604" s="2" t="s">
        <v>2108</v>
      </c>
      <c r="R604" s="3" t="s">
        <v>39</v>
      </c>
      <c r="S604" s="2" t="s">
        <v>22</v>
      </c>
      <c r="T604" s="2" t="s">
        <v>40</v>
      </c>
    </row>
    <row r="605" spans="1:20" x14ac:dyDescent="0.2">
      <c r="A605" s="2">
        <v>2118</v>
      </c>
      <c r="B605" s="2" t="s">
        <v>1111</v>
      </c>
      <c r="C605" s="2" t="s">
        <v>1112</v>
      </c>
      <c r="D605" s="2" t="s">
        <v>66</v>
      </c>
      <c r="E605" s="2" t="s">
        <v>20</v>
      </c>
      <c r="F605" s="2">
        <v>2017</v>
      </c>
      <c r="G605" s="2">
        <v>2020</v>
      </c>
      <c r="H605" s="2">
        <f>'mpi_dataset_summary_2017-2024'!$G605-'mpi_dataset_summary_2017-2024'!$F605+1</f>
        <v>4</v>
      </c>
      <c r="I605" s="2" t="s">
        <v>2111</v>
      </c>
      <c r="J605" s="2" t="s">
        <v>2111</v>
      </c>
      <c r="K605" s="2">
        <f>IF('mpi_dataset_summary_2017-2024'!$G605=2024,1,0)</f>
        <v>0</v>
      </c>
      <c r="L605" s="2">
        <f t="shared" si="18"/>
        <v>0</v>
      </c>
      <c r="M605" s="2">
        <v>4500</v>
      </c>
      <c r="N605" s="2">
        <f t="shared" si="19"/>
        <v>0.94299999999999995</v>
      </c>
      <c r="O605" s="2">
        <v>53.720145000000002</v>
      </c>
      <c r="P605" s="2">
        <v>-113.602092</v>
      </c>
      <c r="Q605" s="2" t="s">
        <v>2108</v>
      </c>
      <c r="R605" s="3" t="s">
        <v>39</v>
      </c>
      <c r="S605" s="2" t="s">
        <v>22</v>
      </c>
      <c r="T605" s="2" t="s">
        <v>40</v>
      </c>
    </row>
    <row r="606" spans="1:20" x14ac:dyDescent="0.2">
      <c r="A606" s="2">
        <v>2119</v>
      </c>
      <c r="B606" s="2" t="s">
        <v>1113</v>
      </c>
      <c r="C606" s="2" t="s">
        <v>1114</v>
      </c>
      <c r="D606" s="2" t="s">
        <v>66</v>
      </c>
      <c r="E606" s="2" t="s">
        <v>20</v>
      </c>
      <c r="F606" s="2">
        <v>2017</v>
      </c>
      <c r="G606" s="2">
        <v>2021</v>
      </c>
      <c r="H606" s="2">
        <f>'mpi_dataset_summary_2017-2024'!$G606-'mpi_dataset_summary_2017-2024'!$F606+1</f>
        <v>5</v>
      </c>
      <c r="I606" s="2" t="s">
        <v>2111</v>
      </c>
      <c r="J606" s="2" t="s">
        <v>2110</v>
      </c>
      <c r="K606" s="2">
        <f>IF('mpi_dataset_summary_2017-2024'!$G606=2024,1,0)</f>
        <v>0</v>
      </c>
      <c r="L606" s="2">
        <f t="shared" si="18"/>
        <v>1</v>
      </c>
      <c r="M606" s="2">
        <v>4000</v>
      </c>
      <c r="N606" s="2">
        <f t="shared" si="19"/>
        <v>0.93600000000000005</v>
      </c>
      <c r="O606" s="2">
        <v>53.775329999999997</v>
      </c>
      <c r="P606" s="2">
        <v>-113.059129</v>
      </c>
      <c r="Q606" s="2" t="s">
        <v>2108</v>
      </c>
      <c r="R606" s="3" t="s">
        <v>24</v>
      </c>
      <c r="S606" s="2" t="s">
        <v>25</v>
      </c>
      <c r="T606" s="2" t="s">
        <v>26</v>
      </c>
    </row>
    <row r="607" spans="1:20" x14ac:dyDescent="0.2">
      <c r="A607" s="2">
        <v>2120</v>
      </c>
      <c r="B607" s="2" t="s">
        <v>1115</v>
      </c>
      <c r="C607" s="2" t="s">
        <v>1116</v>
      </c>
      <c r="D607" s="2" t="s">
        <v>161</v>
      </c>
      <c r="E607" s="2" t="s">
        <v>20</v>
      </c>
      <c r="F607" s="2">
        <v>2018</v>
      </c>
      <c r="G607" s="2">
        <v>2019</v>
      </c>
      <c r="H607" s="2">
        <f>'mpi_dataset_summary_2017-2024'!$G607-'mpi_dataset_summary_2017-2024'!$F607+1</f>
        <v>2</v>
      </c>
      <c r="I607" s="2" t="s">
        <v>2111</v>
      </c>
      <c r="J607" s="2" t="s">
        <v>2112</v>
      </c>
      <c r="K607" s="2">
        <f>IF('mpi_dataset_summary_2017-2024'!$G607=2024,1,0)</f>
        <v>0</v>
      </c>
      <c r="L607" s="2">
        <f t="shared" si="18"/>
        <v>0</v>
      </c>
      <c r="M607" s="2">
        <v>20</v>
      </c>
      <c r="N607" s="2">
        <f t="shared" si="19"/>
        <v>8.8999999999999996E-2</v>
      </c>
      <c r="O607" s="2">
        <v>45.408804000000003</v>
      </c>
      <c r="P607" s="2">
        <v>-75.980108999999999</v>
      </c>
      <c r="Q607" s="2" t="s">
        <v>2108</v>
      </c>
      <c r="R607" s="3" t="s">
        <v>24</v>
      </c>
      <c r="S607" s="2" t="s">
        <v>25</v>
      </c>
      <c r="T607" s="2" t="s">
        <v>26</v>
      </c>
    </row>
    <row r="608" spans="1:20" x14ac:dyDescent="0.2">
      <c r="A608" s="2">
        <v>2121</v>
      </c>
      <c r="B608" s="2" t="s">
        <v>1117</v>
      </c>
      <c r="C608" s="2" t="s">
        <v>1118</v>
      </c>
      <c r="D608" s="2" t="s">
        <v>69</v>
      </c>
      <c r="E608" s="2" t="s">
        <v>20</v>
      </c>
      <c r="F608" s="2">
        <v>2018</v>
      </c>
      <c r="G608" s="2">
        <v>2024</v>
      </c>
      <c r="H608" s="2">
        <f>'mpi_dataset_summary_2017-2024'!$G608-'mpi_dataset_summary_2017-2024'!$F608+1</f>
        <v>7</v>
      </c>
      <c r="I608" s="2" t="s">
        <v>2111</v>
      </c>
      <c r="J608" s="2" t="s">
        <v>2111</v>
      </c>
      <c r="K608" s="2">
        <f>IF('mpi_dataset_summary_2017-2024'!$G608=2024,1,0)</f>
        <v>1</v>
      </c>
      <c r="L608" s="2">
        <f t="shared" si="18"/>
        <v>0</v>
      </c>
      <c r="M608" s="2">
        <v>15</v>
      </c>
      <c r="N608" s="2">
        <f t="shared" si="19"/>
        <v>7.2999999999999995E-2</v>
      </c>
      <c r="O608" s="2">
        <v>52.418398000000003</v>
      </c>
      <c r="P608" s="2">
        <v>-126.486276</v>
      </c>
      <c r="Q608" s="2" t="s">
        <v>2108</v>
      </c>
      <c r="R608" s="3" t="s">
        <v>27</v>
      </c>
      <c r="S608" s="2" t="s">
        <v>25</v>
      </c>
      <c r="T608" s="2" t="s">
        <v>28</v>
      </c>
    </row>
    <row r="609" spans="1:20" x14ac:dyDescent="0.2">
      <c r="A609" s="2">
        <v>2122</v>
      </c>
      <c r="B609" s="2" t="s">
        <v>1119</v>
      </c>
      <c r="C609" s="2" t="s">
        <v>1120</v>
      </c>
      <c r="D609" s="2" t="s">
        <v>69</v>
      </c>
      <c r="E609" s="2" t="s">
        <v>20</v>
      </c>
      <c r="F609" s="2">
        <v>2018</v>
      </c>
      <c r="G609" s="2">
        <v>2024</v>
      </c>
      <c r="H609" s="2">
        <f>'mpi_dataset_summary_2017-2024'!$G609-'mpi_dataset_summary_2017-2024'!$F609+1</f>
        <v>7</v>
      </c>
      <c r="I609" s="2" t="s">
        <v>2111</v>
      </c>
      <c r="J609" s="2" t="s">
        <v>2111</v>
      </c>
      <c r="K609" s="2">
        <f>IF('mpi_dataset_summary_2017-2024'!$G609=2024,1,0)</f>
        <v>1</v>
      </c>
      <c r="L609" s="2">
        <f t="shared" si="18"/>
        <v>0</v>
      </c>
      <c r="M609" s="2">
        <v>15</v>
      </c>
      <c r="N609" s="2">
        <f t="shared" si="19"/>
        <v>7.2999999999999995E-2</v>
      </c>
      <c r="O609" s="2">
        <v>52.465347999999999</v>
      </c>
      <c r="P609" s="2">
        <v>-125.31754100000001</v>
      </c>
      <c r="Q609" s="2" t="s">
        <v>2108</v>
      </c>
      <c r="R609" s="3" t="s">
        <v>27</v>
      </c>
      <c r="S609" s="2" t="s">
        <v>25</v>
      </c>
      <c r="T609" s="2" t="s">
        <v>28</v>
      </c>
    </row>
    <row r="610" spans="1:20" x14ac:dyDescent="0.2">
      <c r="A610" s="2">
        <v>2123</v>
      </c>
      <c r="B610" s="2" t="s">
        <v>1117</v>
      </c>
      <c r="C610" s="2" t="s">
        <v>1121</v>
      </c>
      <c r="D610" s="2" t="s">
        <v>69</v>
      </c>
      <c r="E610" s="2" t="s">
        <v>20</v>
      </c>
      <c r="F610" s="2">
        <v>2018</v>
      </c>
      <c r="G610" s="2">
        <v>2024</v>
      </c>
      <c r="H610" s="2">
        <f>'mpi_dataset_summary_2017-2024'!$G610-'mpi_dataset_summary_2017-2024'!$F610+1</f>
        <v>7</v>
      </c>
      <c r="I610" s="2" t="s">
        <v>2111</v>
      </c>
      <c r="J610" s="2" t="s">
        <v>2111</v>
      </c>
      <c r="K610" s="2">
        <f>IF('mpi_dataset_summary_2017-2024'!$G610=2024,1,0)</f>
        <v>1</v>
      </c>
      <c r="L610" s="2">
        <f t="shared" si="18"/>
        <v>0</v>
      </c>
      <c r="M610" s="2">
        <v>15</v>
      </c>
      <c r="N610" s="2">
        <f t="shared" si="19"/>
        <v>7.2999999999999995E-2</v>
      </c>
      <c r="O610" s="2">
        <v>50.024653000000001</v>
      </c>
      <c r="P610" s="2">
        <v>-119.373429</v>
      </c>
      <c r="Q610" s="2" t="s">
        <v>2108</v>
      </c>
      <c r="R610" s="3" t="s">
        <v>27</v>
      </c>
      <c r="S610" s="2" t="s">
        <v>25</v>
      </c>
      <c r="T610" s="2" t="s">
        <v>28</v>
      </c>
    </row>
    <row r="611" spans="1:20" x14ac:dyDescent="0.2">
      <c r="A611" s="2">
        <v>2124</v>
      </c>
      <c r="B611" s="2" t="s">
        <v>1122</v>
      </c>
      <c r="C611" s="2" t="s">
        <v>1123</v>
      </c>
      <c r="D611" s="2" t="s">
        <v>69</v>
      </c>
      <c r="E611" s="2" t="s">
        <v>20</v>
      </c>
      <c r="F611" s="2">
        <v>2018</v>
      </c>
      <c r="G611" s="2">
        <v>2024</v>
      </c>
      <c r="H611" s="2">
        <f>'mpi_dataset_summary_2017-2024'!$G611-'mpi_dataset_summary_2017-2024'!$F611+1</f>
        <v>7</v>
      </c>
      <c r="I611" s="2" t="s">
        <v>2111</v>
      </c>
      <c r="J611" s="2" t="s">
        <v>2111</v>
      </c>
      <c r="K611" s="2">
        <f>IF('mpi_dataset_summary_2017-2024'!$G611=2024,1,0)</f>
        <v>1</v>
      </c>
      <c r="L611" s="2">
        <f t="shared" si="18"/>
        <v>0</v>
      </c>
      <c r="M611" s="2">
        <v>15</v>
      </c>
      <c r="N611" s="2">
        <f t="shared" si="19"/>
        <v>7.2999999999999995E-2</v>
      </c>
      <c r="O611" s="2">
        <v>50.716188000000002</v>
      </c>
      <c r="P611" s="2">
        <v>-120.388986</v>
      </c>
      <c r="Q611" s="2" t="s">
        <v>2108</v>
      </c>
      <c r="R611" s="3" t="s">
        <v>27</v>
      </c>
      <c r="S611" s="2" t="s">
        <v>25</v>
      </c>
      <c r="T611" s="2" t="s">
        <v>28</v>
      </c>
    </row>
    <row r="612" spans="1:20" x14ac:dyDescent="0.2">
      <c r="A612" s="2">
        <v>2126</v>
      </c>
      <c r="B612" s="2" t="s">
        <v>1124</v>
      </c>
      <c r="C612" s="2" t="s">
        <v>1125</v>
      </c>
      <c r="D612" s="2" t="s">
        <v>66</v>
      </c>
      <c r="E612" s="2" t="s">
        <v>20</v>
      </c>
      <c r="F612" s="2">
        <v>2018</v>
      </c>
      <c r="G612" s="2">
        <v>2023</v>
      </c>
      <c r="H612" s="2">
        <f>'mpi_dataset_summary_2017-2024'!$G612-'mpi_dataset_summary_2017-2024'!$F612+1</f>
        <v>6</v>
      </c>
      <c r="I612" s="2" t="s">
        <v>2111</v>
      </c>
      <c r="J612" s="2" t="s">
        <v>2111</v>
      </c>
      <c r="K612" s="2">
        <f>IF('mpi_dataset_summary_2017-2024'!$G612=2024,1,0)</f>
        <v>0</v>
      </c>
      <c r="L612" s="2">
        <f t="shared" si="18"/>
        <v>0</v>
      </c>
      <c r="M612" s="2">
        <v>19</v>
      </c>
      <c r="N612" s="2">
        <f t="shared" si="19"/>
        <v>8.5999999999999993E-2</v>
      </c>
      <c r="O612" s="2">
        <v>54.585082</v>
      </c>
      <c r="P612" s="2">
        <v>-110.262585</v>
      </c>
      <c r="Q612" s="2" t="s">
        <v>2108</v>
      </c>
      <c r="R612" s="3" t="s">
        <v>47</v>
      </c>
      <c r="S612" s="2" t="s">
        <v>25</v>
      </c>
      <c r="T612" s="2" t="s">
        <v>48</v>
      </c>
    </row>
    <row r="613" spans="1:20" x14ac:dyDescent="0.2">
      <c r="A613" s="2">
        <v>3001</v>
      </c>
      <c r="B613" s="2" t="s">
        <v>1126</v>
      </c>
      <c r="C613" s="2" t="s">
        <v>893</v>
      </c>
      <c r="D613" s="2" t="s">
        <v>69</v>
      </c>
      <c r="E613" s="2" t="s">
        <v>20</v>
      </c>
      <c r="F613" s="2">
        <v>2018</v>
      </c>
      <c r="G613" s="2">
        <v>2018</v>
      </c>
      <c r="H613" s="2">
        <f>'mpi_dataset_summary_2017-2024'!$G613-'mpi_dataset_summary_2017-2024'!$F613+1</f>
        <v>1</v>
      </c>
      <c r="I613" s="2" t="s">
        <v>2110</v>
      </c>
      <c r="J613" s="2" t="s">
        <v>2110</v>
      </c>
      <c r="K613" s="2">
        <f>IF('mpi_dataset_summary_2017-2024'!$G613=2024,1,0)</f>
        <v>0</v>
      </c>
      <c r="L613" s="2">
        <f t="shared" si="18"/>
        <v>1</v>
      </c>
      <c r="M613" s="2">
        <v>22</v>
      </c>
      <c r="N613" s="2">
        <f t="shared" si="19"/>
        <v>0.109</v>
      </c>
      <c r="O613" s="2">
        <v>54.782400000000003</v>
      </c>
      <c r="P613" s="2">
        <v>-127.1686</v>
      </c>
      <c r="Q613" s="2" t="s">
        <v>2109</v>
      </c>
      <c r="R613" s="3" t="s">
        <v>41</v>
      </c>
      <c r="S613" s="2" t="s">
        <v>25</v>
      </c>
      <c r="T613" s="2" t="s">
        <v>57</v>
      </c>
    </row>
    <row r="614" spans="1:20" x14ac:dyDescent="0.2">
      <c r="A614" s="2">
        <v>3002</v>
      </c>
      <c r="B614" s="2" t="s">
        <v>1127</v>
      </c>
      <c r="C614" s="2" t="s">
        <v>893</v>
      </c>
      <c r="D614" s="2" t="s">
        <v>89</v>
      </c>
      <c r="E614" s="2" t="s">
        <v>20</v>
      </c>
      <c r="F614" s="2">
        <v>2018</v>
      </c>
      <c r="G614" s="2">
        <v>2021</v>
      </c>
      <c r="H614" s="2">
        <f>'mpi_dataset_summary_2017-2024'!$G614-'mpi_dataset_summary_2017-2024'!$F614+1</f>
        <v>4</v>
      </c>
      <c r="I614" s="2" t="s">
        <v>2111</v>
      </c>
      <c r="J614" s="2" t="s">
        <v>2110</v>
      </c>
      <c r="K614" s="2">
        <f>IF('mpi_dataset_summary_2017-2024'!$G614=2024,1,0)</f>
        <v>0</v>
      </c>
      <c r="L614" s="2">
        <f t="shared" si="18"/>
        <v>1</v>
      </c>
      <c r="M614" s="2">
        <v>50</v>
      </c>
      <c r="N614" s="2">
        <f t="shared" si="19"/>
        <v>0.214</v>
      </c>
      <c r="O614" s="2">
        <v>46.668799999999997</v>
      </c>
      <c r="P614" s="2">
        <v>-73.957300000000004</v>
      </c>
      <c r="Q614" s="2" t="s">
        <v>2109</v>
      </c>
      <c r="R614" s="3" t="s">
        <v>41</v>
      </c>
      <c r="S614" s="2" t="s">
        <v>25</v>
      </c>
      <c r="T614" s="2" t="s">
        <v>57</v>
      </c>
    </row>
    <row r="615" spans="1:20" x14ac:dyDescent="0.2">
      <c r="A615" s="2">
        <v>3004</v>
      </c>
      <c r="B615" s="2" t="s">
        <v>1128</v>
      </c>
      <c r="C615" s="2" t="s">
        <v>1129</v>
      </c>
      <c r="D615" s="2" t="s">
        <v>161</v>
      </c>
      <c r="E615" s="2" t="s">
        <v>20</v>
      </c>
      <c r="F615" s="2">
        <v>2018</v>
      </c>
      <c r="G615" s="2">
        <v>2019</v>
      </c>
      <c r="H615" s="2">
        <f>'mpi_dataset_summary_2017-2024'!$G615-'mpi_dataset_summary_2017-2024'!$F615+1</f>
        <v>2</v>
      </c>
      <c r="I615" s="2" t="s">
        <v>2111</v>
      </c>
      <c r="J615" s="2" t="s">
        <v>2111</v>
      </c>
      <c r="K615" s="2">
        <f>IF('mpi_dataset_summary_2017-2024'!$G615=2024,1,0)</f>
        <v>0</v>
      </c>
      <c r="L615" s="2">
        <f t="shared" si="18"/>
        <v>0</v>
      </c>
      <c r="M615" s="2">
        <v>21</v>
      </c>
      <c r="N615" s="2">
        <f t="shared" si="19"/>
        <v>0.104</v>
      </c>
      <c r="O615" s="2">
        <v>48.380899999999997</v>
      </c>
      <c r="P615" s="2">
        <v>-89.247699999999995</v>
      </c>
      <c r="Q615" s="2" t="s">
        <v>2109</v>
      </c>
      <c r="R615" s="3" t="s">
        <v>41</v>
      </c>
      <c r="S615" s="2" t="s">
        <v>25</v>
      </c>
      <c r="T615" s="2" t="s">
        <v>57</v>
      </c>
    </row>
    <row r="616" spans="1:20" x14ac:dyDescent="0.2">
      <c r="A616" s="2">
        <v>3005</v>
      </c>
      <c r="B616" s="2" t="s">
        <v>1086</v>
      </c>
      <c r="C616" s="2" t="s">
        <v>1130</v>
      </c>
      <c r="D616" s="2" t="s">
        <v>89</v>
      </c>
      <c r="E616" s="2" t="s">
        <v>20</v>
      </c>
      <c r="F616" s="2">
        <v>2018</v>
      </c>
      <c r="G616" s="2">
        <v>2018</v>
      </c>
      <c r="H616" s="2">
        <f>'mpi_dataset_summary_2017-2024'!$G616-'mpi_dataset_summary_2017-2024'!$F616+1</f>
        <v>1</v>
      </c>
      <c r="I616" s="2" t="s">
        <v>2111</v>
      </c>
      <c r="J616" s="2" t="s">
        <v>2111</v>
      </c>
      <c r="K616" s="2">
        <f>IF('mpi_dataset_summary_2017-2024'!$G616=2024,1,0)</f>
        <v>0</v>
      </c>
      <c r="L616" s="2">
        <f t="shared" si="18"/>
        <v>0</v>
      </c>
      <c r="M616" s="2">
        <v>22.3</v>
      </c>
      <c r="N616" s="2">
        <f t="shared" si="19"/>
        <v>0.114</v>
      </c>
      <c r="O616" s="2">
        <v>46.327240000000003</v>
      </c>
      <c r="P616" s="2">
        <v>-72.557501999999999</v>
      </c>
      <c r="Q616" s="2" t="s">
        <v>2109</v>
      </c>
      <c r="R616" s="3" t="s">
        <v>41</v>
      </c>
      <c r="S616" s="2" t="s">
        <v>25</v>
      </c>
      <c r="T616" s="2" t="s">
        <v>57</v>
      </c>
    </row>
    <row r="617" spans="1:20" x14ac:dyDescent="0.2">
      <c r="A617" s="2">
        <v>3006</v>
      </c>
      <c r="B617" s="2" t="s">
        <v>1086</v>
      </c>
      <c r="C617" s="2" t="s">
        <v>1130</v>
      </c>
      <c r="D617" s="2" t="s">
        <v>89</v>
      </c>
      <c r="E617" s="2" t="s">
        <v>20</v>
      </c>
      <c r="F617" s="2">
        <v>2018</v>
      </c>
      <c r="G617" s="2">
        <v>2018</v>
      </c>
      <c r="H617" s="2">
        <f>'mpi_dataset_summary_2017-2024'!$G617-'mpi_dataset_summary_2017-2024'!$F617+1</f>
        <v>1</v>
      </c>
      <c r="I617" s="2" t="s">
        <v>2111</v>
      </c>
      <c r="J617" s="2" t="s">
        <v>2111</v>
      </c>
      <c r="K617" s="2">
        <f>IF('mpi_dataset_summary_2017-2024'!$G617=2024,1,0)</f>
        <v>0</v>
      </c>
      <c r="L617" s="2">
        <f t="shared" si="18"/>
        <v>0</v>
      </c>
      <c r="M617" s="2">
        <v>32.9</v>
      </c>
      <c r="N617" s="2">
        <f t="shared" si="19"/>
        <v>0.154</v>
      </c>
      <c r="O617" s="2">
        <v>46.358880999999997</v>
      </c>
      <c r="P617" s="2">
        <v>-72.519968000000006</v>
      </c>
      <c r="Q617" s="2" t="s">
        <v>2109</v>
      </c>
      <c r="R617" s="3" t="s">
        <v>41</v>
      </c>
      <c r="S617" s="2" t="s">
        <v>25</v>
      </c>
      <c r="T617" s="2" t="s">
        <v>57</v>
      </c>
    </row>
    <row r="618" spans="1:20" x14ac:dyDescent="0.2">
      <c r="A618" s="2">
        <v>3007</v>
      </c>
      <c r="B618" s="2" t="s">
        <v>1086</v>
      </c>
      <c r="C618" s="2" t="s">
        <v>1130</v>
      </c>
      <c r="D618" s="2" t="s">
        <v>89</v>
      </c>
      <c r="E618" s="2" t="s">
        <v>20</v>
      </c>
      <c r="F618" s="2">
        <v>2018</v>
      </c>
      <c r="G618" s="2">
        <v>2018</v>
      </c>
      <c r="H618" s="2">
        <f>'mpi_dataset_summary_2017-2024'!$G618-'mpi_dataset_summary_2017-2024'!$F618+1</f>
        <v>1</v>
      </c>
      <c r="I618" s="2" t="s">
        <v>2111</v>
      </c>
      <c r="J618" s="2" t="s">
        <v>2111</v>
      </c>
      <c r="K618" s="2">
        <f>IF('mpi_dataset_summary_2017-2024'!$G618=2024,1,0)</f>
        <v>0</v>
      </c>
      <c r="L618" s="2">
        <f t="shared" si="18"/>
        <v>0</v>
      </c>
      <c r="M618" s="2">
        <v>47.5</v>
      </c>
      <c r="N618" s="2">
        <f t="shared" si="19"/>
        <v>0.20699999999999999</v>
      </c>
      <c r="O618" s="2">
        <v>45.479942999999999</v>
      </c>
      <c r="P618" s="2">
        <v>-71.962107000000003</v>
      </c>
      <c r="Q618" s="2" t="s">
        <v>2109</v>
      </c>
      <c r="R618" s="3" t="s">
        <v>41</v>
      </c>
      <c r="S618" s="2" t="s">
        <v>25</v>
      </c>
      <c r="T618" s="2" t="s">
        <v>57</v>
      </c>
    </row>
    <row r="619" spans="1:20" x14ac:dyDescent="0.2">
      <c r="A619" s="2">
        <v>3008</v>
      </c>
      <c r="B619" s="2" t="s">
        <v>1131</v>
      </c>
      <c r="C619" s="2" t="s">
        <v>1132</v>
      </c>
      <c r="D619" s="2" t="s">
        <v>89</v>
      </c>
      <c r="E619" s="2" t="s">
        <v>20</v>
      </c>
      <c r="F619" s="2">
        <v>2018</v>
      </c>
      <c r="G619" s="2">
        <v>2019</v>
      </c>
      <c r="H619" s="2">
        <f>'mpi_dataset_summary_2017-2024'!$G619-'mpi_dataset_summary_2017-2024'!$F619+1</f>
        <v>2</v>
      </c>
      <c r="I619" s="2" t="s">
        <v>2111</v>
      </c>
      <c r="J619" s="2" t="s">
        <v>2111</v>
      </c>
      <c r="K619" s="2">
        <f>IF('mpi_dataset_summary_2017-2024'!$G619=2024,1,0)</f>
        <v>0</v>
      </c>
      <c r="L619" s="2">
        <f t="shared" si="18"/>
        <v>0</v>
      </c>
      <c r="M619" s="2">
        <v>150</v>
      </c>
      <c r="N619" s="2">
        <f t="shared" si="19"/>
        <v>0.442</v>
      </c>
      <c r="O619" s="2">
        <v>45.598714999999999</v>
      </c>
      <c r="P619" s="2">
        <v>-75.256777999999997</v>
      </c>
      <c r="Q619" s="2" t="s">
        <v>2109</v>
      </c>
      <c r="R619" s="3" t="s">
        <v>58</v>
      </c>
      <c r="S619" s="2" t="s">
        <v>22</v>
      </c>
      <c r="T619" s="2" t="s">
        <v>59</v>
      </c>
    </row>
    <row r="620" spans="1:20" x14ac:dyDescent="0.2">
      <c r="A620" s="2">
        <v>3100</v>
      </c>
      <c r="B620" s="2" t="s">
        <v>1133</v>
      </c>
      <c r="C620" s="2" t="s">
        <v>1134</v>
      </c>
      <c r="D620" s="2" t="s">
        <v>66</v>
      </c>
      <c r="E620" s="2" t="s">
        <v>20</v>
      </c>
      <c r="F620" s="2">
        <v>2018</v>
      </c>
      <c r="G620" s="2">
        <v>2019</v>
      </c>
      <c r="H620" s="2">
        <f>'mpi_dataset_summary_2017-2024'!$G620-'mpi_dataset_summary_2017-2024'!$F620+1</f>
        <v>2</v>
      </c>
      <c r="I620" s="2" t="s">
        <v>2110</v>
      </c>
      <c r="J620" s="2" t="s">
        <v>2110</v>
      </c>
      <c r="K620" s="2">
        <f>IF('mpi_dataset_summary_2017-2024'!$G620=2024,1,0)</f>
        <v>0</v>
      </c>
      <c r="L620" s="2">
        <f t="shared" si="18"/>
        <v>1</v>
      </c>
      <c r="M620" s="2">
        <v>82</v>
      </c>
      <c r="N620" s="2">
        <f t="shared" si="19"/>
        <v>0.313</v>
      </c>
      <c r="O620" s="2">
        <v>54.03</v>
      </c>
      <c r="P620" s="2">
        <v>-119.13</v>
      </c>
      <c r="Q620" s="2" t="s">
        <v>2107</v>
      </c>
      <c r="R620" s="3" t="s">
        <v>41</v>
      </c>
      <c r="S620" s="2" t="s">
        <v>22</v>
      </c>
      <c r="T620" s="2" t="s">
        <v>42</v>
      </c>
    </row>
    <row r="621" spans="1:20" x14ac:dyDescent="0.2">
      <c r="A621" s="2">
        <v>3101</v>
      </c>
      <c r="B621" s="2" t="s">
        <v>1135</v>
      </c>
      <c r="C621" s="2" t="s">
        <v>1136</v>
      </c>
      <c r="D621" s="2" t="s">
        <v>161</v>
      </c>
      <c r="E621" s="2" t="s">
        <v>20</v>
      </c>
      <c r="F621" s="2">
        <v>2018</v>
      </c>
      <c r="G621" s="2">
        <v>2024</v>
      </c>
      <c r="H621" s="2">
        <f>'mpi_dataset_summary_2017-2024'!$G621-'mpi_dataset_summary_2017-2024'!$F621+1</f>
        <v>7</v>
      </c>
      <c r="I621" s="2" t="s">
        <v>2111</v>
      </c>
      <c r="J621" s="2" t="s">
        <v>2111</v>
      </c>
      <c r="K621" s="2">
        <f>IF('mpi_dataset_summary_2017-2024'!$G621=2024,1,0)</f>
        <v>1</v>
      </c>
      <c r="L621" s="2">
        <f t="shared" si="18"/>
        <v>0</v>
      </c>
      <c r="M621" s="2">
        <v>869.31617400000005</v>
      </c>
      <c r="N621" s="2">
        <f t="shared" si="19"/>
        <v>0.78900000000000003</v>
      </c>
      <c r="O621" s="2">
        <v>52.6</v>
      </c>
      <c r="P621" s="2">
        <v>-93.37</v>
      </c>
      <c r="Q621" s="2" t="s">
        <v>2107</v>
      </c>
      <c r="R621" s="3" t="s">
        <v>33</v>
      </c>
      <c r="S621" s="2" t="s">
        <v>25</v>
      </c>
      <c r="T621" s="2" t="s">
        <v>34</v>
      </c>
    </row>
    <row r="622" spans="1:20" x14ac:dyDescent="0.2">
      <c r="A622" s="2">
        <v>3102</v>
      </c>
      <c r="B622" s="2" t="s">
        <v>1137</v>
      </c>
      <c r="C622" s="2" t="s">
        <v>1138</v>
      </c>
      <c r="D622" s="2" t="s">
        <v>83</v>
      </c>
      <c r="E622" s="2" t="s">
        <v>20</v>
      </c>
      <c r="F622" s="2">
        <v>2018</v>
      </c>
      <c r="G622" s="2">
        <v>2019</v>
      </c>
      <c r="H622" s="2">
        <f>'mpi_dataset_summary_2017-2024'!$G622-'mpi_dataset_summary_2017-2024'!$F622+1</f>
        <v>2</v>
      </c>
      <c r="I622" s="2" t="s">
        <v>2113</v>
      </c>
      <c r="J622" s="2" t="s">
        <v>2110</v>
      </c>
      <c r="K622" s="2">
        <f>IF('mpi_dataset_summary_2017-2024'!$G622=2024,1,0)</f>
        <v>0</v>
      </c>
      <c r="L622" s="2">
        <f t="shared" si="18"/>
        <v>1</v>
      </c>
      <c r="M622" s="2">
        <v>335</v>
      </c>
      <c r="N622" s="2">
        <f t="shared" si="19"/>
        <v>0.59899999999999998</v>
      </c>
      <c r="O622" s="2">
        <v>52.91</v>
      </c>
      <c r="P622" s="2">
        <v>-66.91</v>
      </c>
      <c r="Q622" s="2" t="s">
        <v>2107</v>
      </c>
      <c r="R622" s="3" t="s">
        <v>41</v>
      </c>
      <c r="S622" s="2" t="s">
        <v>22</v>
      </c>
      <c r="T622" s="2" t="s">
        <v>42</v>
      </c>
    </row>
    <row r="623" spans="1:20" x14ac:dyDescent="0.2">
      <c r="A623" s="2">
        <v>3103</v>
      </c>
      <c r="B623" s="2" t="s">
        <v>950</v>
      </c>
      <c r="C623" s="2" t="s">
        <v>1139</v>
      </c>
      <c r="D623" s="2" t="s">
        <v>161</v>
      </c>
      <c r="E623" s="2" t="s">
        <v>20</v>
      </c>
      <c r="F623" s="2">
        <v>2018</v>
      </c>
      <c r="G623" s="2">
        <v>2020</v>
      </c>
      <c r="H623" s="2">
        <f>'mpi_dataset_summary_2017-2024'!$G623-'mpi_dataset_summary_2017-2024'!$F623+1</f>
        <v>3</v>
      </c>
      <c r="I623" s="2" t="s">
        <v>2111</v>
      </c>
      <c r="J623" s="2" t="s">
        <v>2112</v>
      </c>
      <c r="K623" s="2">
        <f>IF('mpi_dataset_summary_2017-2024'!$G623=2024,1,0)</f>
        <v>0</v>
      </c>
      <c r="L623" s="2">
        <f t="shared" si="18"/>
        <v>0</v>
      </c>
      <c r="M623" s="2">
        <v>1278.7</v>
      </c>
      <c r="N623" s="2">
        <f t="shared" si="19"/>
        <v>0.84099999999999997</v>
      </c>
      <c r="O623" s="2">
        <v>48.46</v>
      </c>
      <c r="P623" s="2">
        <v>-81.239999999999995</v>
      </c>
      <c r="Q623" s="2" t="s">
        <v>2107</v>
      </c>
      <c r="R623" s="3" t="s">
        <v>29</v>
      </c>
      <c r="S623" s="2" t="s">
        <v>22</v>
      </c>
      <c r="T623" s="2" t="s">
        <v>30</v>
      </c>
    </row>
    <row r="624" spans="1:20" x14ac:dyDescent="0.2">
      <c r="A624" s="2">
        <v>3104</v>
      </c>
      <c r="B624" s="2" t="s">
        <v>1140</v>
      </c>
      <c r="C624" s="2" t="s">
        <v>1141</v>
      </c>
      <c r="D624" s="2" t="s">
        <v>110</v>
      </c>
      <c r="E624" s="2" t="s">
        <v>20</v>
      </c>
      <c r="F624" s="2">
        <v>2018</v>
      </c>
      <c r="G624" s="2">
        <v>2024</v>
      </c>
      <c r="H624" s="2">
        <f>'mpi_dataset_summary_2017-2024'!$G624-'mpi_dataset_summary_2017-2024'!$F624+1</f>
        <v>7</v>
      </c>
      <c r="I624" s="2" t="s">
        <v>2111</v>
      </c>
      <c r="J624" s="2" t="s">
        <v>2113</v>
      </c>
      <c r="K624" s="2">
        <f>IF('mpi_dataset_summary_2017-2024'!$G624=2024,1,0)</f>
        <v>1</v>
      </c>
      <c r="L624" s="2">
        <f t="shared" si="18"/>
        <v>0</v>
      </c>
      <c r="M624" s="2">
        <v>353.6</v>
      </c>
      <c r="N624" s="2">
        <f t="shared" si="19"/>
        <v>0.61599999999999999</v>
      </c>
      <c r="O624" s="2">
        <v>50.84</v>
      </c>
      <c r="P624" s="2">
        <v>-106.21</v>
      </c>
      <c r="Q624" s="2" t="s">
        <v>2107</v>
      </c>
      <c r="R624" s="3" t="s">
        <v>41</v>
      </c>
      <c r="S624" s="2" t="s">
        <v>22</v>
      </c>
      <c r="T624" s="2" t="s">
        <v>42</v>
      </c>
    </row>
    <row r="625" spans="1:20" x14ac:dyDescent="0.2">
      <c r="A625" s="2">
        <v>3105</v>
      </c>
      <c r="B625" s="2" t="s">
        <v>1142</v>
      </c>
      <c r="C625" s="2" t="s">
        <v>1143</v>
      </c>
      <c r="D625" s="2" t="s">
        <v>66</v>
      </c>
      <c r="E625" s="2" t="s">
        <v>20</v>
      </c>
      <c r="F625" s="2">
        <v>2018</v>
      </c>
      <c r="G625" s="2">
        <v>2024</v>
      </c>
      <c r="H625" s="2">
        <f>'mpi_dataset_summary_2017-2024'!$G625-'mpi_dataset_summary_2017-2024'!$F625+1</f>
        <v>7</v>
      </c>
      <c r="I625" s="2" t="s">
        <v>2111</v>
      </c>
      <c r="J625" s="2" t="s">
        <v>2111</v>
      </c>
      <c r="K625" s="2">
        <f>IF('mpi_dataset_summary_2017-2024'!$G625=2024,1,0)</f>
        <v>1</v>
      </c>
      <c r="L625" s="2">
        <f t="shared" si="18"/>
        <v>0</v>
      </c>
      <c r="M625" s="2">
        <v>1028</v>
      </c>
      <c r="N625" s="2">
        <f t="shared" si="19"/>
        <v>0.81699999999999995</v>
      </c>
      <c r="O625" s="2">
        <v>52.18</v>
      </c>
      <c r="P625" s="2">
        <v>-115.58</v>
      </c>
      <c r="Q625" s="2" t="s">
        <v>2107</v>
      </c>
      <c r="R625" s="3" t="s">
        <v>21</v>
      </c>
      <c r="S625" s="2" t="s">
        <v>22</v>
      </c>
      <c r="T625" s="2" t="s">
        <v>23</v>
      </c>
    </row>
    <row r="626" spans="1:20" x14ac:dyDescent="0.2">
      <c r="A626" s="2">
        <v>3106</v>
      </c>
      <c r="B626" s="2" t="s">
        <v>495</v>
      </c>
      <c r="C626" s="2" t="s">
        <v>1144</v>
      </c>
      <c r="D626" s="2" t="s">
        <v>161</v>
      </c>
      <c r="E626" s="2" t="s">
        <v>20</v>
      </c>
      <c r="F626" s="2">
        <v>2018</v>
      </c>
      <c r="G626" s="2">
        <v>2024</v>
      </c>
      <c r="H626" s="2">
        <f>'mpi_dataset_summary_2017-2024'!$G626-'mpi_dataset_summary_2017-2024'!$F626+1</f>
        <v>7</v>
      </c>
      <c r="I626" s="2" t="s">
        <v>2111</v>
      </c>
      <c r="J626" s="2" t="s">
        <v>2110</v>
      </c>
      <c r="K626" s="2">
        <f>IF('mpi_dataset_summary_2017-2024'!$G626=2024,1,0)</f>
        <v>1</v>
      </c>
      <c r="L626" s="2">
        <f t="shared" si="18"/>
        <v>1</v>
      </c>
      <c r="M626" s="2">
        <v>1500</v>
      </c>
      <c r="N626" s="2">
        <f t="shared" si="19"/>
        <v>0.86399999999999999</v>
      </c>
      <c r="O626" s="2">
        <v>46.637059999999998</v>
      </c>
      <c r="P626" s="2">
        <v>-81.369209999999995</v>
      </c>
      <c r="Q626" s="2" t="s">
        <v>2107</v>
      </c>
      <c r="R626" s="3" t="s">
        <v>41</v>
      </c>
      <c r="S626" s="2" t="s">
        <v>22</v>
      </c>
      <c r="T626" s="2" t="s">
        <v>42</v>
      </c>
    </row>
    <row r="627" spans="1:20" x14ac:dyDescent="0.2">
      <c r="A627" s="2">
        <v>3200</v>
      </c>
      <c r="B627" s="2" t="s">
        <v>146</v>
      </c>
      <c r="C627" s="2" t="s">
        <v>1145</v>
      </c>
      <c r="D627" s="2" t="s">
        <v>69</v>
      </c>
      <c r="E627" s="2" t="s">
        <v>20</v>
      </c>
      <c r="F627" s="2">
        <v>2018</v>
      </c>
      <c r="G627" s="2">
        <v>2020</v>
      </c>
      <c r="H627" s="2">
        <f>'mpi_dataset_summary_2017-2024'!$G627-'mpi_dataset_summary_2017-2024'!$F627+1</f>
        <v>3</v>
      </c>
      <c r="I627" s="2" t="s">
        <v>2112</v>
      </c>
      <c r="J627" s="2" t="s">
        <v>2112</v>
      </c>
      <c r="K627" s="2">
        <f>IF('mpi_dataset_summary_2017-2024'!$G627=2024,1,0)</f>
        <v>0</v>
      </c>
      <c r="L627" s="2">
        <f t="shared" si="18"/>
        <v>0</v>
      </c>
      <c r="M627" s="2">
        <v>0</v>
      </c>
      <c r="N627" s="2">
        <f t="shared" si="19"/>
        <v>0</v>
      </c>
      <c r="O627" s="2">
        <v>51.801591999999999</v>
      </c>
      <c r="P627" s="2">
        <v>-122.75735</v>
      </c>
      <c r="Q627" s="2" t="s">
        <v>2108</v>
      </c>
      <c r="R627" s="3" t="s">
        <v>24</v>
      </c>
      <c r="S627" s="2" t="s">
        <v>25</v>
      </c>
      <c r="T627" s="2" t="s">
        <v>26</v>
      </c>
    </row>
    <row r="628" spans="1:20" x14ac:dyDescent="0.2">
      <c r="A628" s="2">
        <v>3201</v>
      </c>
      <c r="B628" s="2" t="s">
        <v>1146</v>
      </c>
      <c r="C628" s="2" t="s">
        <v>1147</v>
      </c>
      <c r="D628" s="2" t="s">
        <v>69</v>
      </c>
      <c r="E628" s="2" t="s">
        <v>43</v>
      </c>
      <c r="F628" s="2">
        <v>2018</v>
      </c>
      <c r="G628" s="2">
        <v>2018</v>
      </c>
      <c r="H628" s="2">
        <f>'mpi_dataset_summary_2017-2024'!$G628-'mpi_dataset_summary_2017-2024'!$F628+1</f>
        <v>1</v>
      </c>
      <c r="I628" s="2" t="s">
        <v>2112</v>
      </c>
      <c r="J628" s="2" t="s">
        <v>2112</v>
      </c>
      <c r="K628" s="2">
        <f>IF('mpi_dataset_summary_2017-2024'!$G628=2024,1,0)</f>
        <v>0</v>
      </c>
      <c r="L628" s="2">
        <f t="shared" si="18"/>
        <v>0</v>
      </c>
      <c r="M628" s="2">
        <v>0</v>
      </c>
      <c r="N628" s="2">
        <f t="shared" si="19"/>
        <v>0</v>
      </c>
      <c r="O628" s="2" t="s">
        <v>2114</v>
      </c>
      <c r="P628" s="2" t="s">
        <v>2114</v>
      </c>
      <c r="Q628" s="2" t="s">
        <v>2108</v>
      </c>
      <c r="R628" s="3" t="s">
        <v>24</v>
      </c>
      <c r="S628" s="2" t="s">
        <v>25</v>
      </c>
      <c r="T628" s="2" t="s">
        <v>26</v>
      </c>
    </row>
    <row r="629" spans="1:20" x14ac:dyDescent="0.2">
      <c r="A629" s="2">
        <v>3202</v>
      </c>
      <c r="B629" s="2" t="s">
        <v>104</v>
      </c>
      <c r="C629" s="2" t="s">
        <v>1148</v>
      </c>
      <c r="D629" s="2" t="s">
        <v>69</v>
      </c>
      <c r="E629" s="2" t="s">
        <v>43</v>
      </c>
      <c r="F629" s="2">
        <v>2018</v>
      </c>
      <c r="G629" s="2">
        <v>2022</v>
      </c>
      <c r="H629" s="2">
        <f>'mpi_dataset_summary_2017-2024'!$G629-'mpi_dataset_summary_2017-2024'!$F629+1</f>
        <v>5</v>
      </c>
      <c r="I629" s="2" t="s">
        <v>2112</v>
      </c>
      <c r="J629" s="2" t="s">
        <v>2112</v>
      </c>
      <c r="K629" s="2">
        <f>IF('mpi_dataset_summary_2017-2024'!$G629=2024,1,0)</f>
        <v>0</v>
      </c>
      <c r="L629" s="2">
        <f t="shared" si="18"/>
        <v>0</v>
      </c>
      <c r="M629" s="2">
        <v>42</v>
      </c>
      <c r="N629" s="2">
        <f t="shared" si="19"/>
        <v>0.187</v>
      </c>
      <c r="O629" s="2" t="s">
        <v>2114</v>
      </c>
      <c r="P629" s="2" t="s">
        <v>2114</v>
      </c>
      <c r="Q629" s="2" t="s">
        <v>2108</v>
      </c>
      <c r="R629" s="3" t="s">
        <v>24</v>
      </c>
      <c r="S629" s="2" t="s">
        <v>25</v>
      </c>
      <c r="T629" s="2" t="s">
        <v>26</v>
      </c>
    </row>
    <row r="630" spans="1:20" x14ac:dyDescent="0.2">
      <c r="A630" s="2">
        <v>3204</v>
      </c>
      <c r="B630" s="2" t="s">
        <v>1149</v>
      </c>
      <c r="C630" s="2" t="s">
        <v>1150</v>
      </c>
      <c r="D630" s="2" t="s">
        <v>161</v>
      </c>
      <c r="E630" s="2" t="s">
        <v>20</v>
      </c>
      <c r="F630" s="2">
        <v>2018</v>
      </c>
      <c r="G630" s="2">
        <v>2021</v>
      </c>
      <c r="H630" s="2">
        <f>'mpi_dataset_summary_2017-2024'!$G630-'mpi_dataset_summary_2017-2024'!$F630+1</f>
        <v>4</v>
      </c>
      <c r="I630" s="2" t="s">
        <v>2110</v>
      </c>
      <c r="J630" s="2" t="s">
        <v>2110</v>
      </c>
      <c r="K630" s="2">
        <f>IF('mpi_dataset_summary_2017-2024'!$G630=2024,1,0)</f>
        <v>0</v>
      </c>
      <c r="L630" s="2">
        <f t="shared" si="18"/>
        <v>1</v>
      </c>
      <c r="M630" s="2">
        <v>1280</v>
      </c>
      <c r="N630" s="2">
        <f t="shared" si="19"/>
        <v>0.84199999999999997</v>
      </c>
      <c r="O630" s="2" t="s">
        <v>2114</v>
      </c>
      <c r="P630" s="2" t="s">
        <v>2114</v>
      </c>
      <c r="Q630" s="2" t="s">
        <v>2108</v>
      </c>
      <c r="R630" s="3" t="s">
        <v>27</v>
      </c>
      <c r="S630" s="2" t="s">
        <v>25</v>
      </c>
      <c r="T630" s="2" t="s">
        <v>28</v>
      </c>
    </row>
    <row r="631" spans="1:20" x14ac:dyDescent="0.2">
      <c r="A631" s="2">
        <v>3205</v>
      </c>
      <c r="B631" s="2" t="s">
        <v>256</v>
      </c>
      <c r="C631" s="2" t="s">
        <v>1151</v>
      </c>
      <c r="D631" s="2" t="s">
        <v>258</v>
      </c>
      <c r="E631" s="2" t="s">
        <v>43</v>
      </c>
      <c r="F631" s="2">
        <v>2018</v>
      </c>
      <c r="G631" s="2">
        <v>2019</v>
      </c>
      <c r="H631" s="2">
        <f>'mpi_dataset_summary_2017-2024'!$G631-'mpi_dataset_summary_2017-2024'!$F631+1</f>
        <v>2</v>
      </c>
      <c r="I631" s="2" t="s">
        <v>2112</v>
      </c>
      <c r="J631" s="2" t="s">
        <v>2110</v>
      </c>
      <c r="K631" s="2">
        <f>IF('mpi_dataset_summary_2017-2024'!$G631=2024,1,0)</f>
        <v>0</v>
      </c>
      <c r="L631" s="2">
        <f t="shared" si="18"/>
        <v>1</v>
      </c>
      <c r="M631" s="2">
        <v>35</v>
      </c>
      <c r="N631" s="2">
        <f t="shared" si="19"/>
        <v>0.158</v>
      </c>
      <c r="O631" s="2">
        <v>44.946987999999997</v>
      </c>
      <c r="P631" s="2">
        <v>-66.974108999999999</v>
      </c>
      <c r="Q631" s="2" t="s">
        <v>2108</v>
      </c>
      <c r="R631" s="3" t="s">
        <v>35</v>
      </c>
      <c r="S631" s="2" t="s">
        <v>22</v>
      </c>
      <c r="T631" s="2" t="s">
        <v>36</v>
      </c>
    </row>
    <row r="632" spans="1:20" x14ac:dyDescent="0.2">
      <c r="A632" s="2">
        <v>3206</v>
      </c>
      <c r="B632" s="2" t="s">
        <v>214</v>
      </c>
      <c r="C632" s="2" t="s">
        <v>1152</v>
      </c>
      <c r="D632" s="2" t="s">
        <v>89</v>
      </c>
      <c r="E632" s="2" t="s">
        <v>43</v>
      </c>
      <c r="F632" s="2">
        <v>2018</v>
      </c>
      <c r="G632" s="2">
        <v>2024</v>
      </c>
      <c r="H632" s="2">
        <f>'mpi_dataset_summary_2017-2024'!$G632-'mpi_dataset_summary_2017-2024'!$F632+1</f>
        <v>7</v>
      </c>
      <c r="I632" s="2" t="s">
        <v>2111</v>
      </c>
      <c r="J632" s="2" t="s">
        <v>2110</v>
      </c>
      <c r="K632" s="2">
        <f>IF('mpi_dataset_summary_2017-2024'!$G632=2024,1,0)</f>
        <v>1</v>
      </c>
      <c r="L632" s="2">
        <f t="shared" si="18"/>
        <v>1</v>
      </c>
      <c r="M632" s="2">
        <v>950</v>
      </c>
      <c r="N632" s="2">
        <f t="shared" si="19"/>
        <v>0.80100000000000005</v>
      </c>
      <c r="O632" s="2">
        <v>45.723019999999998</v>
      </c>
      <c r="P632" s="2">
        <v>-70.984281999999993</v>
      </c>
      <c r="Q632" s="2" t="s">
        <v>2108</v>
      </c>
      <c r="R632" s="3" t="s">
        <v>24</v>
      </c>
      <c r="S632" s="2" t="s">
        <v>25</v>
      </c>
      <c r="T632" s="2" t="s">
        <v>26</v>
      </c>
    </row>
    <row r="633" spans="1:20" x14ac:dyDescent="0.2">
      <c r="A633" s="2">
        <v>3208</v>
      </c>
      <c r="B633" s="2" t="s">
        <v>1153</v>
      </c>
      <c r="C633" s="2" t="s">
        <v>273</v>
      </c>
      <c r="D633" s="2" t="s">
        <v>89</v>
      </c>
      <c r="E633" s="2" t="s">
        <v>20</v>
      </c>
      <c r="F633" s="2">
        <v>2018</v>
      </c>
      <c r="G633" s="2">
        <v>2024</v>
      </c>
      <c r="H633" s="2">
        <f>'mpi_dataset_summary_2017-2024'!$G633-'mpi_dataset_summary_2017-2024'!$F633+1</f>
        <v>7</v>
      </c>
      <c r="I633" s="2" t="s">
        <v>2111</v>
      </c>
      <c r="J633" s="2" t="s">
        <v>2110</v>
      </c>
      <c r="K633" s="2">
        <f>IF('mpi_dataset_summary_2017-2024'!$G633=2024,1,0)</f>
        <v>1</v>
      </c>
      <c r="L633" s="2">
        <f t="shared" si="18"/>
        <v>1</v>
      </c>
      <c r="M633" s="2">
        <v>2200</v>
      </c>
      <c r="N633" s="2">
        <f t="shared" si="19"/>
        <v>0.90400000000000003</v>
      </c>
      <c r="O633" s="2">
        <v>45.096127000000003</v>
      </c>
      <c r="P633" s="2">
        <v>-73.343089000000006</v>
      </c>
      <c r="Q633" s="2" t="s">
        <v>2108</v>
      </c>
      <c r="R633" s="3" t="s">
        <v>35</v>
      </c>
      <c r="S633" s="2" t="s">
        <v>22</v>
      </c>
      <c r="T633" s="2" t="s">
        <v>36</v>
      </c>
    </row>
    <row r="634" spans="1:20" x14ac:dyDescent="0.2">
      <c r="A634" s="2">
        <v>3209</v>
      </c>
      <c r="B634" s="2" t="s">
        <v>1154</v>
      </c>
      <c r="C634" s="2" t="s">
        <v>591</v>
      </c>
      <c r="D634" s="2" t="s">
        <v>69</v>
      </c>
      <c r="E634" s="2" t="s">
        <v>43</v>
      </c>
      <c r="F634" s="2">
        <v>2018</v>
      </c>
      <c r="G634" s="2">
        <v>2018</v>
      </c>
      <c r="H634" s="2">
        <f>'mpi_dataset_summary_2017-2024'!$G634-'mpi_dataset_summary_2017-2024'!$F634+1</f>
        <v>1</v>
      </c>
      <c r="I634" s="2" t="s">
        <v>2110</v>
      </c>
      <c r="J634" s="2" t="s">
        <v>2110</v>
      </c>
      <c r="K634" s="2">
        <f>IF('mpi_dataset_summary_2017-2024'!$G634=2024,1,0)</f>
        <v>0</v>
      </c>
      <c r="L634" s="2">
        <f t="shared" si="18"/>
        <v>1</v>
      </c>
      <c r="M634" s="2">
        <v>45</v>
      </c>
      <c r="N634" s="2">
        <f t="shared" si="19"/>
        <v>0.19400000000000001</v>
      </c>
      <c r="O634" s="2">
        <v>52.575513000000001</v>
      </c>
      <c r="P634" s="2">
        <v>-119.058285</v>
      </c>
      <c r="Q634" s="2" t="s">
        <v>2108</v>
      </c>
      <c r="R634" s="3" t="s">
        <v>24</v>
      </c>
      <c r="S634" s="2" t="s">
        <v>25</v>
      </c>
      <c r="T634" s="2" t="s">
        <v>26</v>
      </c>
    </row>
    <row r="635" spans="1:20" x14ac:dyDescent="0.2">
      <c r="A635" s="2">
        <v>3211</v>
      </c>
      <c r="B635" s="2" t="s">
        <v>1155</v>
      </c>
      <c r="C635" s="2" t="s">
        <v>1156</v>
      </c>
      <c r="D635" s="2" t="s">
        <v>69</v>
      </c>
      <c r="E635" s="2" t="s">
        <v>20</v>
      </c>
      <c r="F635" s="2">
        <v>2018</v>
      </c>
      <c r="G635" s="2">
        <v>2022</v>
      </c>
      <c r="H635" s="2">
        <f>'mpi_dataset_summary_2017-2024'!$G635-'mpi_dataset_summary_2017-2024'!$F635+1</f>
        <v>5</v>
      </c>
      <c r="I635" s="2" t="s">
        <v>2112</v>
      </c>
      <c r="J635" s="2" t="s">
        <v>2112</v>
      </c>
      <c r="K635" s="2">
        <f>IF('mpi_dataset_summary_2017-2024'!$G635=2024,1,0)</f>
        <v>0</v>
      </c>
      <c r="L635" s="2">
        <f t="shared" si="18"/>
        <v>0</v>
      </c>
      <c r="M635" s="2">
        <v>0</v>
      </c>
      <c r="N635" s="2">
        <f t="shared" si="19"/>
        <v>0</v>
      </c>
      <c r="O635" s="2" t="s">
        <v>2114</v>
      </c>
      <c r="P635" s="2" t="s">
        <v>2114</v>
      </c>
      <c r="Q635" s="2" t="s">
        <v>2108</v>
      </c>
      <c r="R635" s="3" t="s">
        <v>24</v>
      </c>
      <c r="S635" s="2" t="s">
        <v>25</v>
      </c>
      <c r="T635" s="2" t="s">
        <v>26</v>
      </c>
    </row>
    <row r="636" spans="1:20" x14ac:dyDescent="0.2">
      <c r="A636" s="2">
        <v>3212</v>
      </c>
      <c r="B636" s="2" t="s">
        <v>1157</v>
      </c>
      <c r="C636" s="2" t="s">
        <v>1158</v>
      </c>
      <c r="D636" s="2" t="s">
        <v>69</v>
      </c>
      <c r="E636" s="2" t="s">
        <v>20</v>
      </c>
      <c r="F636" s="2">
        <v>2018</v>
      </c>
      <c r="G636" s="2">
        <v>2018</v>
      </c>
      <c r="H636" s="2">
        <f>'mpi_dataset_summary_2017-2024'!$G636-'mpi_dataset_summary_2017-2024'!$F636+1</f>
        <v>1</v>
      </c>
      <c r="I636" s="2" t="s">
        <v>2110</v>
      </c>
      <c r="J636" s="2" t="s">
        <v>2110</v>
      </c>
      <c r="K636" s="2">
        <f>IF('mpi_dataset_summary_2017-2024'!$G636=2024,1,0)</f>
        <v>0</v>
      </c>
      <c r="L636" s="2">
        <f t="shared" si="18"/>
        <v>1</v>
      </c>
      <c r="M636" s="2">
        <v>0</v>
      </c>
      <c r="N636" s="2">
        <f t="shared" si="19"/>
        <v>0</v>
      </c>
      <c r="O636" s="2" t="s">
        <v>2114</v>
      </c>
      <c r="P636" s="2" t="s">
        <v>2114</v>
      </c>
      <c r="Q636" s="2" t="s">
        <v>2108</v>
      </c>
      <c r="R636" s="3" t="s">
        <v>24</v>
      </c>
      <c r="S636" s="2" t="s">
        <v>25</v>
      </c>
      <c r="T636" s="2" t="s">
        <v>26</v>
      </c>
    </row>
    <row r="637" spans="1:20" x14ac:dyDescent="0.2">
      <c r="A637" s="2">
        <v>3213</v>
      </c>
      <c r="B637" s="2" t="s">
        <v>1159</v>
      </c>
      <c r="C637" s="2" t="s">
        <v>1160</v>
      </c>
      <c r="D637" s="2" t="s">
        <v>69</v>
      </c>
      <c r="E637" s="2" t="s">
        <v>20</v>
      </c>
      <c r="F637" s="2">
        <v>2018</v>
      </c>
      <c r="G637" s="2">
        <v>2018</v>
      </c>
      <c r="H637" s="2">
        <f>'mpi_dataset_summary_2017-2024'!$G637-'mpi_dataset_summary_2017-2024'!$F637+1</f>
        <v>1</v>
      </c>
      <c r="I637" s="2" t="s">
        <v>2110</v>
      </c>
      <c r="J637" s="2" t="s">
        <v>2110</v>
      </c>
      <c r="K637" s="2">
        <f>IF('mpi_dataset_summary_2017-2024'!$G637=2024,1,0)</f>
        <v>0</v>
      </c>
      <c r="L637" s="2">
        <f t="shared" si="18"/>
        <v>1</v>
      </c>
      <c r="M637" s="2">
        <v>45</v>
      </c>
      <c r="N637" s="2">
        <f t="shared" si="19"/>
        <v>0.19400000000000001</v>
      </c>
      <c r="O637" s="2">
        <v>49.828699999999998</v>
      </c>
      <c r="P637" s="2">
        <v>-123.1331</v>
      </c>
      <c r="Q637" s="2" t="s">
        <v>2108</v>
      </c>
      <c r="R637" s="3" t="s">
        <v>24</v>
      </c>
      <c r="S637" s="2" t="s">
        <v>25</v>
      </c>
      <c r="T637" s="2" t="s">
        <v>45</v>
      </c>
    </row>
    <row r="638" spans="1:20" x14ac:dyDescent="0.2">
      <c r="A638" s="2">
        <v>3214</v>
      </c>
      <c r="B638" s="2" t="s">
        <v>1161</v>
      </c>
      <c r="C638" s="2" t="s">
        <v>1162</v>
      </c>
      <c r="D638" s="2" t="s">
        <v>69</v>
      </c>
      <c r="E638" s="2" t="s">
        <v>43</v>
      </c>
      <c r="F638" s="2">
        <v>2018</v>
      </c>
      <c r="G638" s="2">
        <v>2018</v>
      </c>
      <c r="H638" s="2">
        <f>'mpi_dataset_summary_2017-2024'!$G638-'mpi_dataset_summary_2017-2024'!$F638+1</f>
        <v>1</v>
      </c>
      <c r="I638" s="2" t="s">
        <v>2110</v>
      </c>
      <c r="J638" s="2" t="s">
        <v>2110</v>
      </c>
      <c r="K638" s="2">
        <f>IF('mpi_dataset_summary_2017-2024'!$G638=2024,1,0)</f>
        <v>0</v>
      </c>
      <c r="L638" s="2">
        <f t="shared" si="18"/>
        <v>1</v>
      </c>
      <c r="M638" s="2">
        <v>20</v>
      </c>
      <c r="N638" s="2">
        <f t="shared" si="19"/>
        <v>8.8999999999999996E-2</v>
      </c>
      <c r="O638" s="2">
        <v>53.091000000000001</v>
      </c>
      <c r="P638" s="2">
        <v>-120.194</v>
      </c>
      <c r="Q638" s="2" t="s">
        <v>2108</v>
      </c>
      <c r="R638" s="3" t="s">
        <v>24</v>
      </c>
      <c r="S638" s="2" t="s">
        <v>25</v>
      </c>
      <c r="T638" s="2" t="s">
        <v>26</v>
      </c>
    </row>
    <row r="639" spans="1:20" x14ac:dyDescent="0.2">
      <c r="A639" s="2">
        <v>3215</v>
      </c>
      <c r="B639" s="2" t="s">
        <v>1163</v>
      </c>
      <c r="C639" s="2">
        <v>0</v>
      </c>
      <c r="D639" s="2" t="s">
        <v>69</v>
      </c>
      <c r="E639" s="2" t="s">
        <v>20</v>
      </c>
      <c r="F639" s="2">
        <v>2018</v>
      </c>
      <c r="G639" s="2">
        <v>2020</v>
      </c>
      <c r="H639" s="2">
        <f>'mpi_dataset_summary_2017-2024'!$G639-'mpi_dataset_summary_2017-2024'!$F639+1</f>
        <v>3</v>
      </c>
      <c r="I639" s="2" t="s">
        <v>2112</v>
      </c>
      <c r="J639" s="2" t="s">
        <v>2112</v>
      </c>
      <c r="K639" s="2">
        <f>IF('mpi_dataset_summary_2017-2024'!$G639=2024,1,0)</f>
        <v>0</v>
      </c>
      <c r="L639" s="2">
        <f t="shared" si="18"/>
        <v>0</v>
      </c>
      <c r="M639" s="2">
        <v>283.8</v>
      </c>
      <c r="N639" s="2">
        <f t="shared" si="19"/>
        <v>0.56699999999999995</v>
      </c>
      <c r="O639" s="2">
        <v>55.797710000000002</v>
      </c>
      <c r="P639" s="2">
        <v>-122.28230000000001</v>
      </c>
      <c r="Q639" s="2" t="s">
        <v>2108</v>
      </c>
      <c r="R639" s="3" t="s">
        <v>24</v>
      </c>
      <c r="S639" s="2" t="s">
        <v>25</v>
      </c>
      <c r="T639" s="2" t="s">
        <v>26</v>
      </c>
    </row>
    <row r="640" spans="1:20" x14ac:dyDescent="0.2">
      <c r="A640" s="2">
        <v>3400</v>
      </c>
      <c r="B640" s="2" t="s">
        <v>1164</v>
      </c>
      <c r="C640" s="2" t="s">
        <v>1165</v>
      </c>
      <c r="D640" s="2" t="s">
        <v>161</v>
      </c>
      <c r="E640" s="2" t="s">
        <v>20</v>
      </c>
      <c r="F640" s="2">
        <v>2018</v>
      </c>
      <c r="G640" s="2">
        <v>2022</v>
      </c>
      <c r="H640" s="2">
        <f>'mpi_dataset_summary_2017-2024'!$G640-'mpi_dataset_summary_2017-2024'!$F640+1</f>
        <v>5</v>
      </c>
      <c r="I640" s="2" t="s">
        <v>2110</v>
      </c>
      <c r="J640" s="2" t="s">
        <v>2110</v>
      </c>
      <c r="K640" s="2">
        <f>IF('mpi_dataset_summary_2017-2024'!$G640=2024,1,0)</f>
        <v>0</v>
      </c>
      <c r="L640" s="2">
        <f t="shared" si="18"/>
        <v>1</v>
      </c>
      <c r="M640" s="2">
        <v>2200</v>
      </c>
      <c r="N640" s="2">
        <f t="shared" si="19"/>
        <v>0.90400000000000003</v>
      </c>
      <c r="O640" s="2">
        <v>42.897191999999997</v>
      </c>
      <c r="P640" s="2">
        <v>-82.436711000000003</v>
      </c>
      <c r="Q640" s="2" t="s">
        <v>2108</v>
      </c>
      <c r="R640" s="3" t="s">
        <v>37</v>
      </c>
      <c r="S640" s="2" t="s">
        <v>22</v>
      </c>
      <c r="T640" s="2" t="s">
        <v>38</v>
      </c>
    </row>
    <row r="641" spans="1:20" x14ac:dyDescent="0.2">
      <c r="A641" s="2">
        <v>3401</v>
      </c>
      <c r="B641" s="2" t="s">
        <v>1166</v>
      </c>
      <c r="C641" s="2" t="s">
        <v>1167</v>
      </c>
      <c r="D641" s="2" t="s">
        <v>66</v>
      </c>
      <c r="E641" s="2" t="s">
        <v>20</v>
      </c>
      <c r="F641" s="2">
        <v>2018</v>
      </c>
      <c r="G641" s="2">
        <v>2020</v>
      </c>
      <c r="H641" s="2">
        <f>'mpi_dataset_summary_2017-2024'!$G641-'mpi_dataset_summary_2017-2024'!$F641+1</f>
        <v>3</v>
      </c>
      <c r="I641" s="2" t="s">
        <v>2111</v>
      </c>
      <c r="J641" s="2" t="s">
        <v>2111</v>
      </c>
      <c r="K641" s="2">
        <f>IF('mpi_dataset_summary_2017-2024'!$G641=2024,1,0)</f>
        <v>0</v>
      </c>
      <c r="L641" s="2">
        <f t="shared" si="18"/>
        <v>0</v>
      </c>
      <c r="M641" s="2">
        <v>250</v>
      </c>
      <c r="N641" s="2">
        <f t="shared" si="19"/>
        <v>0.53500000000000003</v>
      </c>
      <c r="O641" s="2">
        <v>53.733828000000003</v>
      </c>
      <c r="P641" s="2">
        <v>-113.17190600000001</v>
      </c>
      <c r="Q641" s="2" t="s">
        <v>2108</v>
      </c>
      <c r="R641" s="3" t="s">
        <v>41</v>
      </c>
      <c r="S641" s="2" t="s">
        <v>25</v>
      </c>
      <c r="T641" s="2" t="s">
        <v>46</v>
      </c>
    </row>
    <row r="642" spans="1:20" x14ac:dyDescent="0.2">
      <c r="A642" s="2">
        <v>3402</v>
      </c>
      <c r="B642" s="2" t="s">
        <v>1168</v>
      </c>
      <c r="C642" s="2" t="s">
        <v>1169</v>
      </c>
      <c r="D642" s="2" t="s">
        <v>66</v>
      </c>
      <c r="E642" s="2" t="s">
        <v>20</v>
      </c>
      <c r="F642" s="2">
        <v>2018</v>
      </c>
      <c r="G642" s="2">
        <v>2024</v>
      </c>
      <c r="H642" s="2">
        <f>'mpi_dataset_summary_2017-2024'!$G642-'mpi_dataset_summary_2017-2024'!$F642+1</f>
        <v>7</v>
      </c>
      <c r="I642" s="2" t="s">
        <v>2111</v>
      </c>
      <c r="J642" s="2" t="s">
        <v>2110</v>
      </c>
      <c r="K642" s="2">
        <f>IF('mpi_dataset_summary_2017-2024'!$G642=2024,1,0)</f>
        <v>1</v>
      </c>
      <c r="L642" s="2">
        <f t="shared" ref="L642:L705" si="20">IF(J642="Under Construction",1,0)</f>
        <v>1</v>
      </c>
      <c r="M642" s="2">
        <v>11500</v>
      </c>
      <c r="N642" s="2">
        <f t="shared" ref="N642:N705" si="21">_xlfn.PERCENTRANK.INC($M$2:$M$4056,M642)</f>
        <v>0.98</v>
      </c>
      <c r="O642" s="2">
        <v>53.733898000000003</v>
      </c>
      <c r="P642" s="2">
        <v>-113.17215400000001</v>
      </c>
      <c r="Q642" s="2" t="s">
        <v>2108</v>
      </c>
      <c r="R642" s="3" t="s">
        <v>24</v>
      </c>
      <c r="S642" s="2" t="s">
        <v>25</v>
      </c>
      <c r="T642" s="2" t="s">
        <v>26</v>
      </c>
    </row>
    <row r="643" spans="1:20" x14ac:dyDescent="0.2">
      <c r="A643" s="2">
        <v>3500</v>
      </c>
      <c r="B643" s="2" t="s">
        <v>135</v>
      </c>
      <c r="C643" s="2" t="s">
        <v>139</v>
      </c>
      <c r="D643" s="2" t="s">
        <v>66</v>
      </c>
      <c r="E643" s="2" t="s">
        <v>20</v>
      </c>
      <c r="F643" s="2">
        <v>2018</v>
      </c>
      <c r="G643" s="2">
        <v>2018</v>
      </c>
      <c r="H643" s="2">
        <f>'mpi_dataset_summary_2017-2024'!$G643-'mpi_dataset_summary_2017-2024'!$F643+1</f>
        <v>1</v>
      </c>
      <c r="I643" s="2" t="s">
        <v>2113</v>
      </c>
      <c r="J643" s="2" t="s">
        <v>2113</v>
      </c>
      <c r="K643" s="2">
        <f>IF('mpi_dataset_summary_2017-2024'!$G643=2024,1,0)</f>
        <v>0</v>
      </c>
      <c r="L643" s="2">
        <f t="shared" si="20"/>
        <v>0</v>
      </c>
      <c r="M643" s="2">
        <v>1600</v>
      </c>
      <c r="N643" s="2">
        <f t="shared" si="21"/>
        <v>0.873</v>
      </c>
      <c r="O643" s="2">
        <v>55.638986500000001</v>
      </c>
      <c r="P643" s="2">
        <v>-110.8468385</v>
      </c>
      <c r="Q643" s="2" t="s">
        <v>2108</v>
      </c>
      <c r="R643" s="3" t="s">
        <v>24</v>
      </c>
      <c r="S643" s="2" t="s">
        <v>25</v>
      </c>
      <c r="T643" s="2" t="s">
        <v>26</v>
      </c>
    </row>
    <row r="644" spans="1:20" x14ac:dyDescent="0.2">
      <c r="A644" s="2">
        <v>3501</v>
      </c>
      <c r="B644" s="2" t="s">
        <v>211</v>
      </c>
      <c r="C644" s="2" t="s">
        <v>1170</v>
      </c>
      <c r="D644" s="2" t="s">
        <v>83</v>
      </c>
      <c r="E644" s="2" t="s">
        <v>20</v>
      </c>
      <c r="F644" s="2">
        <v>2018</v>
      </c>
      <c r="G644" s="2">
        <v>2022</v>
      </c>
      <c r="H644" s="2">
        <f>'mpi_dataset_summary_2017-2024'!$G644-'mpi_dataset_summary_2017-2024'!$F644+1</f>
        <v>5</v>
      </c>
      <c r="I644" s="2" t="s">
        <v>2112</v>
      </c>
      <c r="J644" s="2" t="s">
        <v>2112</v>
      </c>
      <c r="K644" s="2">
        <f>IF('mpi_dataset_summary_2017-2024'!$G644=2024,1,0)</f>
        <v>0</v>
      </c>
      <c r="L644" s="2">
        <f t="shared" si="20"/>
        <v>0</v>
      </c>
      <c r="M644" s="2">
        <v>265</v>
      </c>
      <c r="N644" s="2">
        <f t="shared" si="21"/>
        <v>0.55600000000000005</v>
      </c>
      <c r="O644" s="2">
        <v>46.9</v>
      </c>
      <c r="P644" s="2">
        <v>-48.2</v>
      </c>
      <c r="Q644" s="2" t="s">
        <v>2108</v>
      </c>
      <c r="R644" s="3" t="s">
        <v>39</v>
      </c>
      <c r="S644" s="2" t="s">
        <v>22</v>
      </c>
      <c r="T644" s="2" t="s">
        <v>40</v>
      </c>
    </row>
    <row r="645" spans="1:20" x14ac:dyDescent="0.2">
      <c r="A645" s="2">
        <v>3502</v>
      </c>
      <c r="B645" s="2" t="s">
        <v>1171</v>
      </c>
      <c r="C645" s="2" t="s">
        <v>1172</v>
      </c>
      <c r="D645" s="2" t="s">
        <v>83</v>
      </c>
      <c r="E645" s="2" t="s">
        <v>20</v>
      </c>
      <c r="F645" s="2">
        <v>2018</v>
      </c>
      <c r="G645" s="2">
        <v>2023</v>
      </c>
      <c r="H645" s="2">
        <f>'mpi_dataset_summary_2017-2024'!$G645-'mpi_dataset_summary_2017-2024'!$F645+1</f>
        <v>6</v>
      </c>
      <c r="I645" s="2" t="s">
        <v>2112</v>
      </c>
      <c r="J645" s="2" t="s">
        <v>2110</v>
      </c>
      <c r="K645" s="2">
        <f>IF('mpi_dataset_summary_2017-2024'!$G645=2024,1,0)</f>
        <v>0</v>
      </c>
      <c r="L645" s="2">
        <f t="shared" si="20"/>
        <v>1</v>
      </c>
      <c r="M645" s="2">
        <v>426</v>
      </c>
      <c r="N645" s="2">
        <f t="shared" si="21"/>
        <v>0.65100000000000002</v>
      </c>
      <c r="O645" s="2">
        <v>50.2</v>
      </c>
      <c r="P645" s="2">
        <v>-49.1</v>
      </c>
      <c r="Q645" s="2" t="s">
        <v>2108</v>
      </c>
      <c r="R645" s="3" t="s">
        <v>39</v>
      </c>
      <c r="S645" s="2" t="s">
        <v>22</v>
      </c>
      <c r="T645" s="2" t="s">
        <v>40</v>
      </c>
    </row>
    <row r="646" spans="1:20" x14ac:dyDescent="0.2">
      <c r="A646" s="2">
        <v>3503</v>
      </c>
      <c r="B646" s="2" t="s">
        <v>1173</v>
      </c>
      <c r="C646" s="2" t="s">
        <v>1174</v>
      </c>
      <c r="D646" s="2" t="s">
        <v>83</v>
      </c>
      <c r="E646" s="2" t="s">
        <v>20</v>
      </c>
      <c r="F646" s="2">
        <v>2018</v>
      </c>
      <c r="G646" s="2">
        <v>2021</v>
      </c>
      <c r="H646" s="2">
        <f>'mpi_dataset_summary_2017-2024'!$G646-'mpi_dataset_summary_2017-2024'!$F646+1</f>
        <v>4</v>
      </c>
      <c r="I646" s="2" t="s">
        <v>2112</v>
      </c>
      <c r="J646" s="2" t="s">
        <v>2113</v>
      </c>
      <c r="K646" s="2">
        <f>IF('mpi_dataset_summary_2017-2024'!$G646=2024,1,0)</f>
        <v>0</v>
      </c>
      <c r="L646" s="2">
        <f t="shared" si="20"/>
        <v>0</v>
      </c>
      <c r="M646" s="2">
        <v>301</v>
      </c>
      <c r="N646" s="2">
        <f t="shared" si="21"/>
        <v>0.58199999999999996</v>
      </c>
      <c r="O646" s="2">
        <v>47.5</v>
      </c>
      <c r="P646" s="2">
        <v>-46.5</v>
      </c>
      <c r="Q646" s="2" t="s">
        <v>2108</v>
      </c>
      <c r="R646" s="3" t="s">
        <v>39</v>
      </c>
      <c r="S646" s="2" t="s">
        <v>22</v>
      </c>
      <c r="T646" s="2" t="s">
        <v>40</v>
      </c>
    </row>
    <row r="647" spans="1:20" x14ac:dyDescent="0.2">
      <c r="A647" s="2">
        <v>3504</v>
      </c>
      <c r="B647" s="2" t="s">
        <v>1175</v>
      </c>
      <c r="C647" s="2" t="s">
        <v>1176</v>
      </c>
      <c r="D647" s="2" t="s">
        <v>83</v>
      </c>
      <c r="E647" s="2" t="s">
        <v>20</v>
      </c>
      <c r="F647" s="2">
        <v>2018</v>
      </c>
      <c r="G647" s="2">
        <v>2023</v>
      </c>
      <c r="H647" s="2">
        <f>'mpi_dataset_summary_2017-2024'!$G647-'mpi_dataset_summary_2017-2024'!$F647+1</f>
        <v>6</v>
      </c>
      <c r="I647" s="2" t="s">
        <v>2112</v>
      </c>
      <c r="J647" s="2" t="s">
        <v>2113</v>
      </c>
      <c r="K647" s="2">
        <f>IF('mpi_dataset_summary_2017-2024'!$G647=2024,1,0)</f>
        <v>0</v>
      </c>
      <c r="L647" s="2">
        <f t="shared" si="20"/>
        <v>0</v>
      </c>
      <c r="M647" s="2">
        <v>722</v>
      </c>
      <c r="N647" s="2">
        <f t="shared" si="21"/>
        <v>0.753</v>
      </c>
      <c r="O647" s="2">
        <v>48.3</v>
      </c>
      <c r="P647" s="2">
        <v>-46.1</v>
      </c>
      <c r="Q647" s="2" t="s">
        <v>2108</v>
      </c>
      <c r="R647" s="3" t="s">
        <v>39</v>
      </c>
      <c r="S647" s="2" t="s">
        <v>22</v>
      </c>
      <c r="T647" s="2" t="s">
        <v>40</v>
      </c>
    </row>
    <row r="648" spans="1:20" x14ac:dyDescent="0.2">
      <c r="A648" s="2">
        <v>3505</v>
      </c>
      <c r="B648" s="2" t="s">
        <v>1177</v>
      </c>
      <c r="C648" s="2" t="s">
        <v>1178</v>
      </c>
      <c r="D648" s="2" t="s">
        <v>258</v>
      </c>
      <c r="E648" s="2" t="s">
        <v>20</v>
      </c>
      <c r="F648" s="2">
        <v>2018</v>
      </c>
      <c r="G648" s="2">
        <v>2018</v>
      </c>
      <c r="H648" s="2">
        <f>'mpi_dataset_summary_2017-2024'!$G648-'mpi_dataset_summary_2017-2024'!$F648+1</f>
        <v>1</v>
      </c>
      <c r="I648" s="2" t="s">
        <v>2111</v>
      </c>
      <c r="J648" s="2" t="s">
        <v>2111</v>
      </c>
      <c r="K648" s="2">
        <f>IF('mpi_dataset_summary_2017-2024'!$G648=2024,1,0)</f>
        <v>0</v>
      </c>
      <c r="L648" s="2">
        <f t="shared" si="20"/>
        <v>0</v>
      </c>
      <c r="M648" s="2">
        <v>40</v>
      </c>
      <c r="N648" s="2">
        <f t="shared" si="21"/>
        <v>0.17799999999999999</v>
      </c>
      <c r="O648" s="2">
        <v>45.259010000000004</v>
      </c>
      <c r="P648" s="2">
        <v>-66.094390000000004</v>
      </c>
      <c r="Q648" s="2" t="s">
        <v>2109</v>
      </c>
      <c r="R648" s="3" t="s">
        <v>41</v>
      </c>
      <c r="S648" s="2" t="s">
        <v>25</v>
      </c>
      <c r="T648" s="2" t="s">
        <v>57</v>
      </c>
    </row>
    <row r="649" spans="1:20" x14ac:dyDescent="0.2">
      <c r="A649" s="2">
        <v>3506</v>
      </c>
      <c r="B649" s="2" t="s">
        <v>1179</v>
      </c>
      <c r="C649" s="2" t="s">
        <v>1180</v>
      </c>
      <c r="D649" s="2" t="s">
        <v>89</v>
      </c>
      <c r="E649" s="2" t="s">
        <v>20</v>
      </c>
      <c r="F649" s="2">
        <v>2018</v>
      </c>
      <c r="G649" s="2">
        <v>2019</v>
      </c>
      <c r="H649" s="2">
        <f>'mpi_dataset_summary_2017-2024'!$G649-'mpi_dataset_summary_2017-2024'!$F649+1</f>
        <v>2</v>
      </c>
      <c r="I649" s="2" t="s">
        <v>2111</v>
      </c>
      <c r="J649" s="2" t="s">
        <v>2111</v>
      </c>
      <c r="K649" s="2">
        <f>IF('mpi_dataset_summary_2017-2024'!$G649=2024,1,0)</f>
        <v>0</v>
      </c>
      <c r="L649" s="2">
        <f t="shared" si="20"/>
        <v>0</v>
      </c>
      <c r="M649" s="2">
        <v>25</v>
      </c>
      <c r="N649" s="2">
        <f t="shared" si="21"/>
        <v>0.125</v>
      </c>
      <c r="O649" s="2">
        <v>48.562522000000001</v>
      </c>
      <c r="P649" s="2">
        <v>-78.171104</v>
      </c>
      <c r="Q649" s="2" t="s">
        <v>2109</v>
      </c>
      <c r="R649" s="3" t="s">
        <v>41</v>
      </c>
      <c r="S649" s="2" t="s">
        <v>25</v>
      </c>
      <c r="T649" s="2" t="s">
        <v>57</v>
      </c>
    </row>
    <row r="650" spans="1:20" x14ac:dyDescent="0.2">
      <c r="A650" s="2">
        <v>3507</v>
      </c>
      <c r="B650" s="2" t="s">
        <v>1181</v>
      </c>
      <c r="C650" s="2" t="s">
        <v>1182</v>
      </c>
      <c r="D650" s="2" t="s">
        <v>89</v>
      </c>
      <c r="E650" s="2" t="s">
        <v>20</v>
      </c>
      <c r="F650" s="2">
        <v>2018</v>
      </c>
      <c r="G650" s="2">
        <v>2022</v>
      </c>
      <c r="H650" s="2">
        <f>'mpi_dataset_summary_2017-2024'!$G650-'mpi_dataset_summary_2017-2024'!$F650+1</f>
        <v>5</v>
      </c>
      <c r="I650" s="2" t="s">
        <v>2111</v>
      </c>
      <c r="J650" s="2" t="s">
        <v>2111</v>
      </c>
      <c r="K650" s="2">
        <f>IF('mpi_dataset_summary_2017-2024'!$G650=2024,1,0)</f>
        <v>0</v>
      </c>
      <c r="L650" s="2">
        <f t="shared" si="20"/>
        <v>0</v>
      </c>
      <c r="M650" s="2">
        <v>52.3</v>
      </c>
      <c r="N650" s="2">
        <f t="shared" si="21"/>
        <v>0.23400000000000001</v>
      </c>
      <c r="O650" s="2">
        <v>48.746003000000002</v>
      </c>
      <c r="P650" s="2">
        <v>-72.514341000000002</v>
      </c>
      <c r="Q650" s="2" t="s">
        <v>2109</v>
      </c>
      <c r="R650" s="3" t="s">
        <v>58</v>
      </c>
      <c r="S650" s="2" t="s">
        <v>22</v>
      </c>
      <c r="T650" s="2" t="s">
        <v>59</v>
      </c>
    </row>
    <row r="651" spans="1:20" x14ac:dyDescent="0.2">
      <c r="A651" s="2">
        <v>3508</v>
      </c>
      <c r="B651" s="2" t="s">
        <v>1183</v>
      </c>
      <c r="C651" s="2" t="s">
        <v>893</v>
      </c>
      <c r="D651" s="2" t="s">
        <v>69</v>
      </c>
      <c r="E651" s="2" t="s">
        <v>20</v>
      </c>
      <c r="F651" s="2">
        <v>2018</v>
      </c>
      <c r="G651" s="2">
        <v>2019</v>
      </c>
      <c r="H651" s="2">
        <f>'mpi_dataset_summary_2017-2024'!$G651-'mpi_dataset_summary_2017-2024'!$F651+1</f>
        <v>2</v>
      </c>
      <c r="I651" s="2" t="s">
        <v>2111</v>
      </c>
      <c r="J651" s="2" t="s">
        <v>2111</v>
      </c>
      <c r="K651" s="2">
        <f>IF('mpi_dataset_summary_2017-2024'!$G651=2024,1,0)</f>
        <v>0</v>
      </c>
      <c r="L651" s="2">
        <f t="shared" si="20"/>
        <v>0</v>
      </c>
      <c r="M651" s="2">
        <v>20</v>
      </c>
      <c r="N651" s="2">
        <f t="shared" si="21"/>
        <v>8.8999999999999996E-2</v>
      </c>
      <c r="O651" s="2">
        <v>54.517778</v>
      </c>
      <c r="P651" s="2">
        <v>-128.634556</v>
      </c>
      <c r="Q651" s="2" t="s">
        <v>2109</v>
      </c>
      <c r="R651" s="3" t="s">
        <v>41</v>
      </c>
      <c r="S651" s="2" t="s">
        <v>25</v>
      </c>
      <c r="T651" s="2" t="s">
        <v>57</v>
      </c>
    </row>
    <row r="652" spans="1:20" x14ac:dyDescent="0.2">
      <c r="A652" s="2">
        <v>3509</v>
      </c>
      <c r="B652" s="2" t="s">
        <v>1184</v>
      </c>
      <c r="C652" s="2" t="s">
        <v>1185</v>
      </c>
      <c r="D652" s="2" t="s">
        <v>161</v>
      </c>
      <c r="E652" s="2" t="s">
        <v>20</v>
      </c>
      <c r="F652" s="2">
        <v>2018</v>
      </c>
      <c r="G652" s="2">
        <v>2024</v>
      </c>
      <c r="H652" s="2">
        <f>'mpi_dataset_summary_2017-2024'!$G652-'mpi_dataset_summary_2017-2024'!$F652+1</f>
        <v>7</v>
      </c>
      <c r="I652" s="2" t="s">
        <v>2112</v>
      </c>
      <c r="J652" s="2" t="s">
        <v>2110</v>
      </c>
      <c r="K652" s="2">
        <f>IF('mpi_dataset_summary_2017-2024'!$G652=2024,1,0)</f>
        <v>1</v>
      </c>
      <c r="L652" s="2">
        <f t="shared" si="20"/>
        <v>1</v>
      </c>
      <c r="M652" s="2">
        <v>1900</v>
      </c>
      <c r="N652" s="2">
        <f t="shared" si="21"/>
        <v>0.89100000000000001</v>
      </c>
      <c r="O652" s="2">
        <v>49.681474000000001</v>
      </c>
      <c r="P652" s="2">
        <v>-92.497798000000003</v>
      </c>
      <c r="Q652" s="2" t="s">
        <v>2108</v>
      </c>
      <c r="R652" s="3" t="s">
        <v>35</v>
      </c>
      <c r="S652" s="2" t="s">
        <v>22</v>
      </c>
      <c r="T652" s="2" t="s">
        <v>36</v>
      </c>
    </row>
    <row r="653" spans="1:20" x14ac:dyDescent="0.2">
      <c r="A653" s="2">
        <v>3600</v>
      </c>
      <c r="B653" s="2" t="s">
        <v>1186</v>
      </c>
      <c r="C653" s="2" t="s">
        <v>1187</v>
      </c>
      <c r="D653" s="2" t="s">
        <v>89</v>
      </c>
      <c r="E653" s="2" t="s">
        <v>20</v>
      </c>
      <c r="F653" s="2">
        <v>2018</v>
      </c>
      <c r="G653" s="2">
        <v>2024</v>
      </c>
      <c r="H653" s="2">
        <f>'mpi_dataset_summary_2017-2024'!$G653-'mpi_dataset_summary_2017-2024'!$F653+1</f>
        <v>7</v>
      </c>
      <c r="I653" s="2" t="s">
        <v>2112</v>
      </c>
      <c r="J653" s="2" t="s">
        <v>2112</v>
      </c>
      <c r="K653" s="2">
        <f>IF('mpi_dataset_summary_2017-2024'!$G653=2024,1,0)</f>
        <v>1</v>
      </c>
      <c r="L653" s="2">
        <f t="shared" si="20"/>
        <v>0</v>
      </c>
      <c r="M653" s="2">
        <v>120</v>
      </c>
      <c r="N653" s="2">
        <f t="shared" si="21"/>
        <v>0.38900000000000001</v>
      </c>
      <c r="O653" s="2">
        <v>45.542307000000001</v>
      </c>
      <c r="P653" s="2">
        <v>-76.109055999999995</v>
      </c>
      <c r="Q653" s="2" t="s">
        <v>2108</v>
      </c>
      <c r="R653" s="3" t="s">
        <v>27</v>
      </c>
      <c r="S653" s="2" t="s">
        <v>25</v>
      </c>
      <c r="T653" s="2" t="s">
        <v>28</v>
      </c>
    </row>
    <row r="654" spans="1:20" x14ac:dyDescent="0.2">
      <c r="A654" s="2">
        <v>3601</v>
      </c>
      <c r="B654" s="2" t="s">
        <v>961</v>
      </c>
      <c r="C654" s="2" t="s">
        <v>1188</v>
      </c>
      <c r="D654" s="2" t="s">
        <v>194</v>
      </c>
      <c r="E654" s="2" t="s">
        <v>20</v>
      </c>
      <c r="F654" s="2">
        <v>2018</v>
      </c>
      <c r="G654" s="2">
        <v>2023</v>
      </c>
      <c r="H654" s="2">
        <f>'mpi_dataset_summary_2017-2024'!$G654-'mpi_dataset_summary_2017-2024'!$F654+1</f>
        <v>6</v>
      </c>
      <c r="I654" s="2" t="s">
        <v>2112</v>
      </c>
      <c r="J654" s="2" t="s">
        <v>2110</v>
      </c>
      <c r="K654" s="2">
        <f>IF('mpi_dataset_summary_2017-2024'!$G654=2024,1,0)</f>
        <v>0</v>
      </c>
      <c r="L654" s="2">
        <f t="shared" si="20"/>
        <v>1</v>
      </c>
      <c r="M654" s="2">
        <v>49.2</v>
      </c>
      <c r="N654" s="2">
        <f t="shared" si="21"/>
        <v>0.214</v>
      </c>
      <c r="O654" s="2">
        <v>46.433992000000003</v>
      </c>
      <c r="P654" s="2">
        <v>-63.821938000000003</v>
      </c>
      <c r="Q654" s="2" t="s">
        <v>2108</v>
      </c>
      <c r="R654" s="3" t="s">
        <v>35</v>
      </c>
      <c r="S654" s="2" t="s">
        <v>22</v>
      </c>
      <c r="T654" s="2" t="s">
        <v>36</v>
      </c>
    </row>
    <row r="655" spans="1:20" x14ac:dyDescent="0.2">
      <c r="A655" s="2">
        <v>3602</v>
      </c>
      <c r="B655" s="2" t="s">
        <v>424</v>
      </c>
      <c r="C655" s="2" t="s">
        <v>1189</v>
      </c>
      <c r="D655" s="2" t="s">
        <v>126</v>
      </c>
      <c r="E655" s="2" t="s">
        <v>20</v>
      </c>
      <c r="F655" s="2">
        <v>2018</v>
      </c>
      <c r="G655" s="2">
        <v>2018</v>
      </c>
      <c r="H655" s="2">
        <f>'mpi_dataset_summary_2017-2024'!$G655-'mpi_dataset_summary_2017-2024'!$F655+1</f>
        <v>1</v>
      </c>
      <c r="I655" s="2" t="s">
        <v>2113</v>
      </c>
      <c r="J655" s="2" t="s">
        <v>2113</v>
      </c>
      <c r="K655" s="2">
        <f>IF('mpi_dataset_summary_2017-2024'!$G655=2024,1,0)</f>
        <v>0</v>
      </c>
      <c r="L655" s="2">
        <f t="shared" si="20"/>
        <v>0</v>
      </c>
      <c r="M655" s="2">
        <v>530</v>
      </c>
      <c r="N655" s="2">
        <f t="shared" si="21"/>
        <v>0.69799999999999995</v>
      </c>
      <c r="O655" s="2">
        <v>61.833863000000001</v>
      </c>
      <c r="P655" s="2">
        <v>-121.090706</v>
      </c>
      <c r="Q655" s="2" t="s">
        <v>2108</v>
      </c>
      <c r="R655" s="3" t="s">
        <v>35</v>
      </c>
      <c r="S655" s="2" t="s">
        <v>22</v>
      </c>
      <c r="T655" s="2" t="s">
        <v>36</v>
      </c>
    </row>
    <row r="656" spans="1:20" x14ac:dyDescent="0.2">
      <c r="A656" s="2">
        <v>3603</v>
      </c>
      <c r="B656" s="2" t="s">
        <v>1190</v>
      </c>
      <c r="C656" s="2" t="s">
        <v>1191</v>
      </c>
      <c r="D656" s="2" t="s">
        <v>83</v>
      </c>
      <c r="E656" s="2" t="s">
        <v>20</v>
      </c>
      <c r="F656" s="2">
        <v>2018</v>
      </c>
      <c r="G656" s="2">
        <v>2024</v>
      </c>
      <c r="H656" s="2">
        <f>'mpi_dataset_summary_2017-2024'!$G656-'mpi_dataset_summary_2017-2024'!$F656+1</f>
        <v>7</v>
      </c>
      <c r="I656" s="2" t="s">
        <v>2111</v>
      </c>
      <c r="J656" s="2" t="s">
        <v>2113</v>
      </c>
      <c r="K656" s="2">
        <f>IF('mpi_dataset_summary_2017-2024'!$G656=2024,1,0)</f>
        <v>1</v>
      </c>
      <c r="L656" s="2">
        <f t="shared" si="20"/>
        <v>0</v>
      </c>
      <c r="M656" s="2">
        <v>75</v>
      </c>
      <c r="N656" s="2">
        <f t="shared" si="21"/>
        <v>0.29299999999999998</v>
      </c>
      <c r="O656" s="2">
        <v>49.554400000000001</v>
      </c>
      <c r="P656" s="2">
        <v>-56.237200000000001</v>
      </c>
      <c r="Q656" s="2" t="s">
        <v>2107</v>
      </c>
      <c r="R656" s="3" t="s">
        <v>29</v>
      </c>
      <c r="S656" s="2" t="s">
        <v>22</v>
      </c>
      <c r="T656" s="2" t="s">
        <v>30</v>
      </c>
    </row>
    <row r="657" spans="1:20" x14ac:dyDescent="0.2">
      <c r="A657" s="2">
        <v>3604</v>
      </c>
      <c r="B657" s="2" t="s">
        <v>1192</v>
      </c>
      <c r="C657" s="2" t="s">
        <v>1193</v>
      </c>
      <c r="D657" s="2" t="s">
        <v>83</v>
      </c>
      <c r="E657" s="2" t="s">
        <v>20</v>
      </c>
      <c r="F657" s="2">
        <v>2018</v>
      </c>
      <c r="G657" s="2">
        <v>2024</v>
      </c>
      <c r="H657" s="2">
        <f>'mpi_dataset_summary_2017-2024'!$G657-'mpi_dataset_summary_2017-2024'!$F657+1</f>
        <v>7</v>
      </c>
      <c r="I657" s="2" t="s">
        <v>2112</v>
      </c>
      <c r="J657" s="2" t="s">
        <v>2112</v>
      </c>
      <c r="K657" s="2">
        <f>IF('mpi_dataset_summary_2017-2024'!$G657=2024,1,0)</f>
        <v>1</v>
      </c>
      <c r="L657" s="2">
        <f t="shared" si="20"/>
        <v>0</v>
      </c>
      <c r="M657" s="2">
        <v>145.4</v>
      </c>
      <c r="N657" s="2">
        <f t="shared" si="21"/>
        <v>0.44</v>
      </c>
      <c r="O657" s="2">
        <v>47.450299999999999</v>
      </c>
      <c r="P657" s="2">
        <v>-58.554699999999997</v>
      </c>
      <c r="Q657" s="2" t="s">
        <v>2107</v>
      </c>
      <c r="R657" s="3" t="s">
        <v>41</v>
      </c>
      <c r="S657" s="2" t="s">
        <v>22</v>
      </c>
      <c r="T657" s="2" t="s">
        <v>42</v>
      </c>
    </row>
    <row r="658" spans="1:20" x14ac:dyDescent="0.2">
      <c r="A658" s="2">
        <v>3607</v>
      </c>
      <c r="B658" s="2" t="s">
        <v>1194</v>
      </c>
      <c r="C658" s="2" t="s">
        <v>1195</v>
      </c>
      <c r="D658" s="2" t="s">
        <v>69</v>
      </c>
      <c r="E658" s="2" t="s">
        <v>20</v>
      </c>
      <c r="F658" s="2">
        <v>2018</v>
      </c>
      <c r="G658" s="2">
        <v>2018</v>
      </c>
      <c r="H658" s="2">
        <f>'mpi_dataset_summary_2017-2024'!$G658-'mpi_dataset_summary_2017-2024'!$F658+1</f>
        <v>1</v>
      </c>
      <c r="I658" s="2" t="s">
        <v>2112</v>
      </c>
      <c r="J658" s="2" t="s">
        <v>2112</v>
      </c>
      <c r="K658" s="2">
        <f>IF('mpi_dataset_summary_2017-2024'!$G658=2024,1,0)</f>
        <v>0</v>
      </c>
      <c r="L658" s="2">
        <f t="shared" si="20"/>
        <v>0</v>
      </c>
      <c r="M658" s="2">
        <v>0</v>
      </c>
      <c r="N658" s="2">
        <f t="shared" si="21"/>
        <v>0</v>
      </c>
      <c r="O658" s="2" t="s">
        <v>2114</v>
      </c>
      <c r="P658" s="2" t="s">
        <v>2114</v>
      </c>
      <c r="Q658" s="2" t="s">
        <v>2107</v>
      </c>
      <c r="R658" s="3" t="s">
        <v>21</v>
      </c>
      <c r="S658" s="2" t="s">
        <v>22</v>
      </c>
      <c r="T658" s="2" t="s">
        <v>23</v>
      </c>
    </row>
    <row r="659" spans="1:20" x14ac:dyDescent="0.2">
      <c r="A659" s="2">
        <v>3608</v>
      </c>
      <c r="B659" s="2" t="s">
        <v>1196</v>
      </c>
      <c r="C659" s="2" t="s">
        <v>1197</v>
      </c>
      <c r="D659" s="2" t="s">
        <v>69</v>
      </c>
      <c r="E659" s="2" t="s">
        <v>20</v>
      </c>
      <c r="F659" s="2">
        <v>2018</v>
      </c>
      <c r="G659" s="2">
        <v>2018</v>
      </c>
      <c r="H659" s="2">
        <f>'mpi_dataset_summary_2017-2024'!$G659-'mpi_dataset_summary_2017-2024'!$F659+1</f>
        <v>1</v>
      </c>
      <c r="I659" s="2" t="s">
        <v>2112</v>
      </c>
      <c r="J659" s="2" t="s">
        <v>2112</v>
      </c>
      <c r="K659" s="2">
        <f>IF('mpi_dataset_summary_2017-2024'!$G659=2024,1,0)</f>
        <v>0</v>
      </c>
      <c r="L659" s="2">
        <f t="shared" si="20"/>
        <v>0</v>
      </c>
      <c r="M659" s="2">
        <v>75</v>
      </c>
      <c r="N659" s="2">
        <f t="shared" si="21"/>
        <v>0.29299999999999998</v>
      </c>
      <c r="O659" s="2">
        <v>59.968249</v>
      </c>
      <c r="P659" s="2">
        <v>-128.76758799999999</v>
      </c>
      <c r="Q659" s="2" t="s">
        <v>2107</v>
      </c>
      <c r="R659" s="3" t="s">
        <v>29</v>
      </c>
      <c r="S659" s="2" t="s">
        <v>22</v>
      </c>
      <c r="T659" s="2" t="s">
        <v>30</v>
      </c>
    </row>
    <row r="660" spans="1:20" x14ac:dyDescent="0.2">
      <c r="A660" s="2">
        <v>3610</v>
      </c>
      <c r="B660" s="2" t="s">
        <v>1198</v>
      </c>
      <c r="C660" s="2" t="s">
        <v>1199</v>
      </c>
      <c r="D660" s="2" t="s">
        <v>69</v>
      </c>
      <c r="E660" s="2" t="s">
        <v>20</v>
      </c>
      <c r="F660" s="2">
        <v>2018</v>
      </c>
      <c r="G660" s="2">
        <v>2024</v>
      </c>
      <c r="H660" s="2">
        <f>'mpi_dataset_summary_2017-2024'!$G660-'mpi_dataset_summary_2017-2024'!$F660+1</f>
        <v>7</v>
      </c>
      <c r="I660" s="2" t="s">
        <v>2112</v>
      </c>
      <c r="J660" s="2" t="s">
        <v>2112</v>
      </c>
      <c r="K660" s="2">
        <f>IF('mpi_dataset_summary_2017-2024'!$G660=2024,1,0)</f>
        <v>1</v>
      </c>
      <c r="L660" s="2">
        <f t="shared" si="20"/>
        <v>0</v>
      </c>
      <c r="M660" s="2">
        <v>115</v>
      </c>
      <c r="N660" s="2">
        <f t="shared" si="21"/>
        <v>0.38100000000000001</v>
      </c>
      <c r="O660" s="2">
        <v>54.62717</v>
      </c>
      <c r="P660" s="2">
        <v>-127.16151600000001</v>
      </c>
      <c r="Q660" s="2" t="s">
        <v>2107</v>
      </c>
      <c r="R660" s="3" t="s">
        <v>21</v>
      </c>
      <c r="S660" s="2" t="s">
        <v>22</v>
      </c>
      <c r="T660" s="2" t="s">
        <v>23</v>
      </c>
    </row>
    <row r="661" spans="1:20" x14ac:dyDescent="0.2">
      <c r="A661" s="2">
        <v>3611</v>
      </c>
      <c r="B661" s="2" t="s">
        <v>334</v>
      </c>
      <c r="C661" s="2" t="s">
        <v>1200</v>
      </c>
      <c r="D661" s="2" t="s">
        <v>69</v>
      </c>
      <c r="E661" s="2" t="s">
        <v>20</v>
      </c>
      <c r="F661" s="2">
        <v>2018</v>
      </c>
      <c r="G661" s="2">
        <v>2018</v>
      </c>
      <c r="H661" s="2">
        <f>'mpi_dataset_summary_2017-2024'!$G661-'mpi_dataset_summary_2017-2024'!$F661+1</f>
        <v>1</v>
      </c>
      <c r="I661" s="2" t="s">
        <v>2112</v>
      </c>
      <c r="J661" s="2" t="s">
        <v>2112</v>
      </c>
      <c r="K661" s="2">
        <f>IF('mpi_dataset_summary_2017-2024'!$G661=2024,1,0)</f>
        <v>0</v>
      </c>
      <c r="L661" s="2">
        <f t="shared" si="20"/>
        <v>0</v>
      </c>
      <c r="M661" s="2">
        <v>507</v>
      </c>
      <c r="N661" s="2">
        <f t="shared" si="21"/>
        <v>0.69</v>
      </c>
      <c r="O661" s="2">
        <v>52.577710000000003</v>
      </c>
      <c r="P661" s="2">
        <v>-121.477008</v>
      </c>
      <c r="Q661" s="2" t="s">
        <v>2107</v>
      </c>
      <c r="R661" s="3" t="s">
        <v>29</v>
      </c>
      <c r="S661" s="2" t="s">
        <v>22</v>
      </c>
      <c r="T661" s="2" t="s">
        <v>30</v>
      </c>
    </row>
    <row r="662" spans="1:20" x14ac:dyDescent="0.2">
      <c r="A662" s="2">
        <v>3615</v>
      </c>
      <c r="B662" s="2" t="s">
        <v>256</v>
      </c>
      <c r="C662" s="2" t="s">
        <v>1201</v>
      </c>
      <c r="D662" s="2" t="s">
        <v>258</v>
      </c>
      <c r="E662" s="2" t="s">
        <v>43</v>
      </c>
      <c r="F662" s="2">
        <v>2018</v>
      </c>
      <c r="G662" s="2">
        <v>2024</v>
      </c>
      <c r="H662" s="2">
        <f>'mpi_dataset_summary_2017-2024'!$G662-'mpi_dataset_summary_2017-2024'!$F662+1</f>
        <v>7</v>
      </c>
      <c r="I662" s="2" t="s">
        <v>2112</v>
      </c>
      <c r="J662" s="2" t="s">
        <v>2113</v>
      </c>
      <c r="K662" s="2">
        <f>IF('mpi_dataset_summary_2017-2024'!$G662=2024,1,0)</f>
        <v>1</v>
      </c>
      <c r="L662" s="2">
        <f t="shared" si="20"/>
        <v>0</v>
      </c>
      <c r="M662" s="2">
        <v>109.6</v>
      </c>
      <c r="N662" s="2">
        <f t="shared" si="21"/>
        <v>0.37</v>
      </c>
      <c r="O662" s="2" t="s">
        <v>2114</v>
      </c>
      <c r="P662" s="2" t="s">
        <v>2114</v>
      </c>
      <c r="Q662" s="2" t="s">
        <v>2108</v>
      </c>
      <c r="R662" s="3" t="s">
        <v>27</v>
      </c>
      <c r="S662" s="2" t="s">
        <v>25</v>
      </c>
      <c r="T662" s="2" t="s">
        <v>28</v>
      </c>
    </row>
    <row r="663" spans="1:20" x14ac:dyDescent="0.2">
      <c r="A663" s="2">
        <v>3616</v>
      </c>
      <c r="B663" s="2" t="s">
        <v>256</v>
      </c>
      <c r="C663" s="2" t="s">
        <v>1202</v>
      </c>
      <c r="D663" s="2" t="s">
        <v>258</v>
      </c>
      <c r="E663" s="2" t="s">
        <v>43</v>
      </c>
      <c r="F663" s="2">
        <v>2018</v>
      </c>
      <c r="G663" s="2">
        <v>2019</v>
      </c>
      <c r="H663" s="2">
        <f>'mpi_dataset_summary_2017-2024'!$G663-'mpi_dataset_summary_2017-2024'!$F663+1</f>
        <v>2</v>
      </c>
      <c r="I663" s="2" t="s">
        <v>2112</v>
      </c>
      <c r="J663" s="2" t="s">
        <v>2110</v>
      </c>
      <c r="K663" s="2">
        <f>IF('mpi_dataset_summary_2017-2024'!$G663=2024,1,0)</f>
        <v>0</v>
      </c>
      <c r="L663" s="2">
        <f t="shared" si="20"/>
        <v>1</v>
      </c>
      <c r="M663" s="2">
        <v>53</v>
      </c>
      <c r="N663" s="2">
        <f t="shared" si="21"/>
        <v>0.23599999999999999</v>
      </c>
      <c r="O663" s="2">
        <v>45.068668000000002</v>
      </c>
      <c r="P663" s="2">
        <v>-66.454522999999995</v>
      </c>
      <c r="Q663" s="2" t="s">
        <v>2108</v>
      </c>
      <c r="R663" s="3" t="s">
        <v>55</v>
      </c>
      <c r="S663" s="2" t="s">
        <v>25</v>
      </c>
      <c r="T663" s="2" t="s">
        <v>56</v>
      </c>
    </row>
    <row r="664" spans="1:20" x14ac:dyDescent="0.2">
      <c r="A664" s="2">
        <v>3617</v>
      </c>
      <c r="B664" s="2" t="s">
        <v>1203</v>
      </c>
      <c r="C664" s="2" t="s">
        <v>1204</v>
      </c>
      <c r="D664" s="2" t="s">
        <v>185</v>
      </c>
      <c r="E664" s="2" t="s">
        <v>20</v>
      </c>
      <c r="F664" s="2">
        <v>2018</v>
      </c>
      <c r="G664" s="2">
        <v>2024</v>
      </c>
      <c r="H664" s="2">
        <f>'mpi_dataset_summary_2017-2024'!$G664-'mpi_dataset_summary_2017-2024'!$F664+1</f>
        <v>7</v>
      </c>
      <c r="I664" s="2" t="s">
        <v>2111</v>
      </c>
      <c r="J664" s="2" t="s">
        <v>2112</v>
      </c>
      <c r="K664" s="2">
        <f>IF('mpi_dataset_summary_2017-2024'!$G664=2024,1,0)</f>
        <v>1</v>
      </c>
      <c r="L664" s="2">
        <f t="shared" si="20"/>
        <v>0</v>
      </c>
      <c r="M664" s="2">
        <v>314.5</v>
      </c>
      <c r="N664" s="2">
        <f t="shared" si="21"/>
        <v>0.58599999999999997</v>
      </c>
      <c r="O664" s="2">
        <v>44.98</v>
      </c>
      <c r="P664" s="2">
        <v>-62.94</v>
      </c>
      <c r="Q664" s="2" t="s">
        <v>2107</v>
      </c>
      <c r="R664" s="3" t="s">
        <v>41</v>
      </c>
      <c r="S664" s="2" t="s">
        <v>22</v>
      </c>
      <c r="T664" s="2" t="s">
        <v>42</v>
      </c>
    </row>
    <row r="665" spans="1:20" x14ac:dyDescent="0.2">
      <c r="A665" s="2">
        <v>3618</v>
      </c>
      <c r="B665" s="2" t="s">
        <v>433</v>
      </c>
      <c r="C665" s="2" t="s">
        <v>1205</v>
      </c>
      <c r="D665" s="2" t="s">
        <v>66</v>
      </c>
      <c r="E665" s="2" t="s">
        <v>20</v>
      </c>
      <c r="F665" s="2">
        <v>2018</v>
      </c>
      <c r="G665" s="2">
        <v>2019</v>
      </c>
      <c r="H665" s="2">
        <f>'mpi_dataset_summary_2017-2024'!$G665-'mpi_dataset_summary_2017-2024'!$F665+1</f>
        <v>2</v>
      </c>
      <c r="I665" s="2" t="s">
        <v>2110</v>
      </c>
      <c r="J665" s="2" t="s">
        <v>2110</v>
      </c>
      <c r="K665" s="2">
        <f>IF('mpi_dataset_summary_2017-2024'!$G665=2024,1,0)</f>
        <v>0</v>
      </c>
      <c r="L665" s="2">
        <f t="shared" si="20"/>
        <v>1</v>
      </c>
      <c r="M665" s="2">
        <v>475</v>
      </c>
      <c r="N665" s="2">
        <f t="shared" si="21"/>
        <v>0.66900000000000004</v>
      </c>
      <c r="O665" s="2">
        <v>54.965988000000003</v>
      </c>
      <c r="P665" s="2">
        <v>-119.16831500000001</v>
      </c>
      <c r="Q665" s="2" t="s">
        <v>2108</v>
      </c>
      <c r="R665" s="3" t="s">
        <v>37</v>
      </c>
      <c r="S665" s="2" t="s">
        <v>22</v>
      </c>
      <c r="T665" s="2" t="s">
        <v>38</v>
      </c>
    </row>
    <row r="666" spans="1:20" x14ac:dyDescent="0.2">
      <c r="A666" s="2">
        <v>3619</v>
      </c>
      <c r="B666" s="2" t="s">
        <v>433</v>
      </c>
      <c r="C666" s="2" t="s">
        <v>1206</v>
      </c>
      <c r="D666" s="2" t="s">
        <v>66</v>
      </c>
      <c r="E666" s="2" t="s">
        <v>20</v>
      </c>
      <c r="F666" s="2">
        <v>2018</v>
      </c>
      <c r="G666" s="2">
        <v>2019</v>
      </c>
      <c r="H666" s="2">
        <f>'mpi_dataset_summary_2017-2024'!$G666-'mpi_dataset_summary_2017-2024'!$F666+1</f>
        <v>2</v>
      </c>
      <c r="I666" s="2" t="s">
        <v>2110</v>
      </c>
      <c r="J666" s="2" t="s">
        <v>2110</v>
      </c>
      <c r="K666" s="2">
        <f>IF('mpi_dataset_summary_2017-2024'!$G666=2024,1,0)</f>
        <v>0</v>
      </c>
      <c r="L666" s="2">
        <f t="shared" si="20"/>
        <v>1</v>
      </c>
      <c r="M666" s="2">
        <v>150</v>
      </c>
      <c r="N666" s="2">
        <f t="shared" si="21"/>
        <v>0.442</v>
      </c>
      <c r="O666" s="2">
        <v>54.965988000000003</v>
      </c>
      <c r="P666" s="2">
        <v>-119.16831500000001</v>
      </c>
      <c r="Q666" s="2" t="s">
        <v>2108</v>
      </c>
      <c r="R666" s="3" t="s">
        <v>37</v>
      </c>
      <c r="S666" s="2" t="s">
        <v>22</v>
      </c>
      <c r="T666" s="2" t="s">
        <v>38</v>
      </c>
    </row>
    <row r="667" spans="1:20" x14ac:dyDescent="0.2">
      <c r="A667" s="2">
        <v>3620</v>
      </c>
      <c r="B667" s="2" t="s">
        <v>1207</v>
      </c>
      <c r="C667" s="2" t="s">
        <v>1208</v>
      </c>
      <c r="D667" s="2" t="s">
        <v>66</v>
      </c>
      <c r="E667" s="2" t="s">
        <v>20</v>
      </c>
      <c r="F667" s="2">
        <v>2018</v>
      </c>
      <c r="G667" s="2">
        <v>2018</v>
      </c>
      <c r="H667" s="2">
        <f>'mpi_dataset_summary_2017-2024'!$G667-'mpi_dataset_summary_2017-2024'!$F667+1</f>
        <v>1</v>
      </c>
      <c r="I667" s="2" t="s">
        <v>2110</v>
      </c>
      <c r="J667" s="2" t="s">
        <v>2110</v>
      </c>
      <c r="K667" s="2">
        <f>IF('mpi_dataset_summary_2017-2024'!$G667=2024,1,0)</f>
        <v>0</v>
      </c>
      <c r="L667" s="2">
        <f t="shared" si="20"/>
        <v>1</v>
      </c>
      <c r="M667" s="2">
        <v>350</v>
      </c>
      <c r="N667" s="2">
        <f t="shared" si="21"/>
        <v>0.60299999999999998</v>
      </c>
      <c r="O667" s="2">
        <v>55.003748999999999</v>
      </c>
      <c r="P667" s="2">
        <v>-119.079804</v>
      </c>
      <c r="Q667" s="2" t="s">
        <v>2108</v>
      </c>
      <c r="R667" s="3" t="s">
        <v>37</v>
      </c>
      <c r="S667" s="2" t="s">
        <v>22</v>
      </c>
      <c r="T667" s="2" t="s">
        <v>38</v>
      </c>
    </row>
    <row r="668" spans="1:20" x14ac:dyDescent="0.2">
      <c r="A668" s="2">
        <v>3621</v>
      </c>
      <c r="B668" s="2" t="s">
        <v>1209</v>
      </c>
      <c r="C668" s="2" t="s">
        <v>1210</v>
      </c>
      <c r="D668" s="2" t="s">
        <v>66</v>
      </c>
      <c r="E668" s="2" t="s">
        <v>20</v>
      </c>
      <c r="F668" s="2">
        <v>2018</v>
      </c>
      <c r="G668" s="2">
        <v>2022</v>
      </c>
      <c r="H668" s="2">
        <f>'mpi_dataset_summary_2017-2024'!$G668-'mpi_dataset_summary_2017-2024'!$F668+1</f>
        <v>5</v>
      </c>
      <c r="I668" s="2" t="s">
        <v>2111</v>
      </c>
      <c r="J668" s="2" t="s">
        <v>2110</v>
      </c>
      <c r="K668" s="2">
        <f>IF('mpi_dataset_summary_2017-2024'!$G668=2024,1,0)</f>
        <v>0</v>
      </c>
      <c r="L668" s="2">
        <f t="shared" si="20"/>
        <v>1</v>
      </c>
      <c r="M668" s="2">
        <v>500</v>
      </c>
      <c r="N668" s="2">
        <f t="shared" si="21"/>
        <v>0.67800000000000005</v>
      </c>
      <c r="O668" s="2">
        <v>50.303007000000001</v>
      </c>
      <c r="P668" s="2">
        <v>-112.655158</v>
      </c>
      <c r="Q668" s="2" t="s">
        <v>2108</v>
      </c>
      <c r="R668" s="3" t="s">
        <v>24</v>
      </c>
      <c r="S668" s="2" t="s">
        <v>25</v>
      </c>
      <c r="T668" s="2" t="s">
        <v>26</v>
      </c>
    </row>
    <row r="669" spans="1:20" x14ac:dyDescent="0.2">
      <c r="A669" s="2">
        <v>3622</v>
      </c>
      <c r="B669" s="2" t="s">
        <v>1211</v>
      </c>
      <c r="C669" s="2" t="s">
        <v>1212</v>
      </c>
      <c r="D669" s="2" t="s">
        <v>66</v>
      </c>
      <c r="E669" s="2" t="s">
        <v>20</v>
      </c>
      <c r="F669" s="2">
        <v>2018</v>
      </c>
      <c r="G669" s="2">
        <v>2024</v>
      </c>
      <c r="H669" s="2">
        <f>'mpi_dataset_summary_2017-2024'!$G669-'mpi_dataset_summary_2017-2024'!$F669+1</f>
        <v>7</v>
      </c>
      <c r="I669" s="2" t="s">
        <v>2111</v>
      </c>
      <c r="J669" s="2" t="s">
        <v>2111</v>
      </c>
      <c r="K669" s="2">
        <f>IF('mpi_dataset_summary_2017-2024'!$G669=2024,1,0)</f>
        <v>1</v>
      </c>
      <c r="L669" s="2">
        <f t="shared" si="20"/>
        <v>0</v>
      </c>
      <c r="M669" s="2">
        <v>610</v>
      </c>
      <c r="N669" s="2">
        <f t="shared" si="21"/>
        <v>0.72699999999999998</v>
      </c>
      <c r="O669" s="2">
        <v>57.336236</v>
      </c>
      <c r="P669" s="2">
        <v>-111.754013</v>
      </c>
      <c r="Q669" s="2" t="s">
        <v>2107</v>
      </c>
      <c r="R669" s="3" t="s">
        <v>33</v>
      </c>
      <c r="S669" s="2" t="s">
        <v>25</v>
      </c>
      <c r="T669" s="2" t="s">
        <v>34</v>
      </c>
    </row>
    <row r="670" spans="1:20" x14ac:dyDescent="0.2">
      <c r="A670" s="2">
        <v>3623</v>
      </c>
      <c r="B670" s="2" t="s">
        <v>1213</v>
      </c>
      <c r="C670" s="2" t="s">
        <v>1214</v>
      </c>
      <c r="D670" s="2" t="s">
        <v>66</v>
      </c>
      <c r="E670" s="2" t="s">
        <v>20</v>
      </c>
      <c r="F670" s="2">
        <v>2018</v>
      </c>
      <c r="G670" s="2">
        <v>2018</v>
      </c>
      <c r="H670" s="2">
        <f>'mpi_dataset_summary_2017-2024'!$G670-'mpi_dataset_summary_2017-2024'!$F670+1</f>
        <v>1</v>
      </c>
      <c r="I670" s="2" t="s">
        <v>2110</v>
      </c>
      <c r="J670" s="2" t="s">
        <v>2110</v>
      </c>
      <c r="K670" s="2">
        <f>IF('mpi_dataset_summary_2017-2024'!$G670=2024,1,0)</f>
        <v>0</v>
      </c>
      <c r="L670" s="2">
        <f t="shared" si="20"/>
        <v>1</v>
      </c>
      <c r="M670" s="2">
        <v>75</v>
      </c>
      <c r="N670" s="2">
        <f t="shared" si="21"/>
        <v>0.29299999999999998</v>
      </c>
      <c r="O670" s="2">
        <v>54.096685999999998</v>
      </c>
      <c r="P670" s="2">
        <v>-115.17398300000001</v>
      </c>
      <c r="Q670" s="2" t="s">
        <v>2108</v>
      </c>
      <c r="R670" s="3" t="s">
        <v>35</v>
      </c>
      <c r="S670" s="2" t="s">
        <v>22</v>
      </c>
      <c r="T670" s="2" t="s">
        <v>36</v>
      </c>
    </row>
    <row r="671" spans="1:20" x14ac:dyDescent="0.2">
      <c r="A671" s="2">
        <v>3624</v>
      </c>
      <c r="B671" s="2" t="s">
        <v>1213</v>
      </c>
      <c r="C671" s="2" t="s">
        <v>1214</v>
      </c>
      <c r="D671" s="2" t="s">
        <v>66</v>
      </c>
      <c r="E671" s="2" t="s">
        <v>20</v>
      </c>
      <c r="F671" s="2">
        <v>2018</v>
      </c>
      <c r="G671" s="2">
        <v>2018</v>
      </c>
      <c r="H671" s="2">
        <f>'mpi_dataset_summary_2017-2024'!$G671-'mpi_dataset_summary_2017-2024'!$F671+1</f>
        <v>1</v>
      </c>
      <c r="I671" s="2" t="s">
        <v>2110</v>
      </c>
      <c r="J671" s="2" t="s">
        <v>2110</v>
      </c>
      <c r="K671" s="2">
        <f>IF('mpi_dataset_summary_2017-2024'!$G671=2024,1,0)</f>
        <v>0</v>
      </c>
      <c r="L671" s="2">
        <f t="shared" si="20"/>
        <v>1</v>
      </c>
      <c r="M671" s="2">
        <v>250</v>
      </c>
      <c r="N671" s="2">
        <f t="shared" si="21"/>
        <v>0.53500000000000003</v>
      </c>
      <c r="O671" s="2">
        <v>54.420828999999998</v>
      </c>
      <c r="P671" s="2">
        <v>-116.83038999999999</v>
      </c>
      <c r="Q671" s="2" t="s">
        <v>2108</v>
      </c>
      <c r="R671" s="3" t="s">
        <v>35</v>
      </c>
      <c r="S671" s="2" t="s">
        <v>22</v>
      </c>
      <c r="T671" s="2" t="s">
        <v>36</v>
      </c>
    </row>
    <row r="672" spans="1:20" x14ac:dyDescent="0.2">
      <c r="A672" s="2">
        <v>3625</v>
      </c>
      <c r="B672" s="2" t="s">
        <v>1213</v>
      </c>
      <c r="C672" s="2" t="s">
        <v>1214</v>
      </c>
      <c r="D672" s="2" t="s">
        <v>66</v>
      </c>
      <c r="E672" s="2" t="s">
        <v>20</v>
      </c>
      <c r="F672" s="2">
        <v>2018</v>
      </c>
      <c r="G672" s="2">
        <v>2019</v>
      </c>
      <c r="H672" s="2">
        <f>'mpi_dataset_summary_2017-2024'!$G672-'mpi_dataset_summary_2017-2024'!$F672+1</f>
        <v>2</v>
      </c>
      <c r="I672" s="2" t="s">
        <v>2111</v>
      </c>
      <c r="J672" s="2" t="s">
        <v>2110</v>
      </c>
      <c r="K672" s="2">
        <f>IF('mpi_dataset_summary_2017-2024'!$G672=2024,1,0)</f>
        <v>0</v>
      </c>
      <c r="L672" s="2">
        <f t="shared" si="20"/>
        <v>1</v>
      </c>
      <c r="M672" s="2">
        <v>280</v>
      </c>
      <c r="N672" s="2">
        <f t="shared" si="21"/>
        <v>0.56599999999999995</v>
      </c>
      <c r="O672" s="2">
        <v>55.413122000000001</v>
      </c>
      <c r="P672" s="2">
        <v>-119.16149</v>
      </c>
      <c r="Q672" s="2" t="s">
        <v>2108</v>
      </c>
      <c r="R672" s="3" t="s">
        <v>35</v>
      </c>
      <c r="S672" s="2" t="s">
        <v>22</v>
      </c>
      <c r="T672" s="2" t="s">
        <v>36</v>
      </c>
    </row>
    <row r="673" spans="1:20" x14ac:dyDescent="0.2">
      <c r="A673" s="2">
        <v>3626</v>
      </c>
      <c r="B673" s="2" t="s">
        <v>1213</v>
      </c>
      <c r="C673" s="2" t="s">
        <v>1215</v>
      </c>
      <c r="D673" s="2" t="s">
        <v>66</v>
      </c>
      <c r="E673" s="2" t="s">
        <v>20</v>
      </c>
      <c r="F673" s="2">
        <v>2018</v>
      </c>
      <c r="G673" s="2">
        <v>2019</v>
      </c>
      <c r="H673" s="2">
        <f>'mpi_dataset_summary_2017-2024'!$G673-'mpi_dataset_summary_2017-2024'!$F673+1</f>
        <v>2</v>
      </c>
      <c r="I673" s="2" t="s">
        <v>2110</v>
      </c>
      <c r="J673" s="2" t="s">
        <v>2110</v>
      </c>
      <c r="K673" s="2">
        <f>IF('mpi_dataset_summary_2017-2024'!$G673=2024,1,0)</f>
        <v>0</v>
      </c>
      <c r="L673" s="2">
        <f t="shared" si="20"/>
        <v>1</v>
      </c>
      <c r="M673" s="2">
        <v>290</v>
      </c>
      <c r="N673" s="2">
        <f t="shared" si="21"/>
        <v>0.56899999999999995</v>
      </c>
      <c r="O673" s="2">
        <v>54.293622999999997</v>
      </c>
      <c r="P673" s="2">
        <v>-116.84131600000001</v>
      </c>
      <c r="Q673" s="2" t="s">
        <v>2108</v>
      </c>
      <c r="R673" s="3" t="s">
        <v>39</v>
      </c>
      <c r="S673" s="2" t="s">
        <v>22</v>
      </c>
      <c r="T673" s="2" t="s">
        <v>40</v>
      </c>
    </row>
    <row r="674" spans="1:20" x14ac:dyDescent="0.2">
      <c r="A674" s="2">
        <v>3627</v>
      </c>
      <c r="B674" s="2" t="s">
        <v>1213</v>
      </c>
      <c r="C674" s="2" t="s">
        <v>1216</v>
      </c>
      <c r="D674" s="2" t="s">
        <v>66</v>
      </c>
      <c r="E674" s="2" t="s">
        <v>20</v>
      </c>
      <c r="F674" s="2">
        <v>2018</v>
      </c>
      <c r="G674" s="2">
        <v>2020</v>
      </c>
      <c r="H674" s="2">
        <f>'mpi_dataset_summary_2017-2024'!$G674-'mpi_dataset_summary_2017-2024'!$F674+1</f>
        <v>3</v>
      </c>
      <c r="I674" s="2" t="s">
        <v>2111</v>
      </c>
      <c r="J674" s="2" t="s">
        <v>2110</v>
      </c>
      <c r="K674" s="2">
        <f>IF('mpi_dataset_summary_2017-2024'!$G674=2024,1,0)</f>
        <v>0</v>
      </c>
      <c r="L674" s="2">
        <f t="shared" si="20"/>
        <v>1</v>
      </c>
      <c r="M674" s="2">
        <v>120</v>
      </c>
      <c r="N674" s="2">
        <f t="shared" si="21"/>
        <v>0.38900000000000001</v>
      </c>
      <c r="O674" s="2">
        <v>50.680688000000004</v>
      </c>
      <c r="P674" s="2">
        <v>-110.031222</v>
      </c>
      <c r="Q674" s="2" t="s">
        <v>2108</v>
      </c>
      <c r="R674" s="3" t="s">
        <v>39</v>
      </c>
      <c r="S674" s="2" t="s">
        <v>22</v>
      </c>
      <c r="T674" s="2" t="s">
        <v>40</v>
      </c>
    </row>
    <row r="675" spans="1:20" x14ac:dyDescent="0.2">
      <c r="A675" s="2">
        <v>3628</v>
      </c>
      <c r="B675" s="2" t="s">
        <v>1217</v>
      </c>
      <c r="C675" s="2" t="s">
        <v>1218</v>
      </c>
      <c r="D675" s="2" t="s">
        <v>66</v>
      </c>
      <c r="E675" s="2" t="s">
        <v>20</v>
      </c>
      <c r="F675" s="2">
        <v>2018</v>
      </c>
      <c r="G675" s="2">
        <v>2022</v>
      </c>
      <c r="H675" s="2">
        <f>'mpi_dataset_summary_2017-2024'!$G675-'mpi_dataset_summary_2017-2024'!$F675+1</f>
        <v>5</v>
      </c>
      <c r="I675" s="2" t="s">
        <v>2111</v>
      </c>
      <c r="J675" s="2" t="s">
        <v>2110</v>
      </c>
      <c r="K675" s="2">
        <f>IF('mpi_dataset_summary_2017-2024'!$G675=2024,1,0)</f>
        <v>0</v>
      </c>
      <c r="L675" s="2">
        <f t="shared" si="20"/>
        <v>1</v>
      </c>
      <c r="M675" s="2">
        <v>40.700000000000003</v>
      </c>
      <c r="N675" s="2">
        <f t="shared" si="21"/>
        <v>0.185</v>
      </c>
      <c r="O675" s="2">
        <v>53.470022999999998</v>
      </c>
      <c r="P675" s="2">
        <v>-113.611959</v>
      </c>
      <c r="Q675" s="2" t="s">
        <v>2108</v>
      </c>
      <c r="R675" s="3" t="s">
        <v>24</v>
      </c>
      <c r="S675" s="2" t="s">
        <v>25</v>
      </c>
      <c r="T675" s="2" t="s">
        <v>26</v>
      </c>
    </row>
    <row r="676" spans="1:20" x14ac:dyDescent="0.2">
      <c r="A676" s="2">
        <v>3629</v>
      </c>
      <c r="B676" s="2" t="s">
        <v>566</v>
      </c>
      <c r="C676" s="2" t="s">
        <v>1219</v>
      </c>
      <c r="D676" s="2" t="s">
        <v>66</v>
      </c>
      <c r="E676" s="2" t="s">
        <v>20</v>
      </c>
      <c r="F676" s="2">
        <v>2018</v>
      </c>
      <c r="G676" s="2">
        <v>2020</v>
      </c>
      <c r="H676" s="2">
        <f>'mpi_dataset_summary_2017-2024'!$G676-'mpi_dataset_summary_2017-2024'!$F676+1</f>
        <v>3</v>
      </c>
      <c r="I676" s="2" t="s">
        <v>2112</v>
      </c>
      <c r="J676" s="2" t="s">
        <v>2110</v>
      </c>
      <c r="K676" s="2">
        <f>IF('mpi_dataset_summary_2017-2024'!$G676=2024,1,0)</f>
        <v>0</v>
      </c>
      <c r="L676" s="2">
        <f t="shared" si="20"/>
        <v>1</v>
      </c>
      <c r="M676" s="2">
        <v>2400</v>
      </c>
      <c r="N676" s="2">
        <f t="shared" si="21"/>
        <v>0.90800000000000003</v>
      </c>
      <c r="O676" s="2">
        <v>55.544058</v>
      </c>
      <c r="P676" s="2">
        <v>-119.770258</v>
      </c>
      <c r="Q676" s="2" t="s">
        <v>2108</v>
      </c>
      <c r="R676" s="3" t="s">
        <v>41</v>
      </c>
      <c r="S676" s="2" t="s">
        <v>25</v>
      </c>
      <c r="T676" s="2" t="s">
        <v>46</v>
      </c>
    </row>
    <row r="677" spans="1:20" x14ac:dyDescent="0.2">
      <c r="A677" s="2">
        <v>3630</v>
      </c>
      <c r="B677" s="2" t="s">
        <v>1220</v>
      </c>
      <c r="C677" s="2" t="s">
        <v>1221</v>
      </c>
      <c r="D677" s="2" t="s">
        <v>66</v>
      </c>
      <c r="E677" s="2" t="s">
        <v>20</v>
      </c>
      <c r="F677" s="2">
        <v>2018</v>
      </c>
      <c r="G677" s="2">
        <v>2022</v>
      </c>
      <c r="H677" s="2">
        <f>'mpi_dataset_summary_2017-2024'!$G677-'mpi_dataset_summary_2017-2024'!$F677+1</f>
        <v>5</v>
      </c>
      <c r="I677" s="2" t="s">
        <v>2111</v>
      </c>
      <c r="J677" s="2" t="s">
        <v>2110</v>
      </c>
      <c r="K677" s="2">
        <f>IF('mpi_dataset_summary_2017-2024'!$G677=2024,1,0)</f>
        <v>0</v>
      </c>
      <c r="L677" s="2">
        <f t="shared" si="20"/>
        <v>1</v>
      </c>
      <c r="M677" s="2">
        <v>139</v>
      </c>
      <c r="N677" s="2">
        <f t="shared" si="21"/>
        <v>0.42399999999999999</v>
      </c>
      <c r="O677" s="2">
        <v>53.764674999999997</v>
      </c>
      <c r="P677" s="2">
        <v>-113.128664</v>
      </c>
      <c r="Q677" s="2" t="s">
        <v>2108</v>
      </c>
      <c r="R677" s="3" t="s">
        <v>27</v>
      </c>
      <c r="S677" s="2" t="s">
        <v>25</v>
      </c>
      <c r="T677" s="2" t="s">
        <v>28</v>
      </c>
    </row>
    <row r="678" spans="1:20" x14ac:dyDescent="0.2">
      <c r="A678" s="2">
        <v>3631</v>
      </c>
      <c r="B678" s="2" t="s">
        <v>1222</v>
      </c>
      <c r="C678" s="2" t="s">
        <v>1223</v>
      </c>
      <c r="D678" s="2" t="s">
        <v>66</v>
      </c>
      <c r="E678" s="2" t="s">
        <v>20</v>
      </c>
      <c r="F678" s="2">
        <v>2018</v>
      </c>
      <c r="G678" s="2">
        <v>2021</v>
      </c>
      <c r="H678" s="2">
        <f>'mpi_dataset_summary_2017-2024'!$G678-'mpi_dataset_summary_2017-2024'!$F678+1</f>
        <v>4</v>
      </c>
      <c r="I678" s="2" t="s">
        <v>2111</v>
      </c>
      <c r="J678" s="2" t="s">
        <v>2111</v>
      </c>
      <c r="K678" s="2">
        <f>IF('mpi_dataset_summary_2017-2024'!$G678=2024,1,0)</f>
        <v>0</v>
      </c>
      <c r="L678" s="2">
        <f t="shared" si="20"/>
        <v>0</v>
      </c>
      <c r="M678" s="2">
        <v>90</v>
      </c>
      <c r="N678" s="2">
        <f t="shared" si="21"/>
        <v>0.32900000000000001</v>
      </c>
      <c r="O678" s="2">
        <v>51.953346000000003</v>
      </c>
      <c r="P678" s="2">
        <v>-114.021738</v>
      </c>
      <c r="Q678" s="2" t="s">
        <v>2108</v>
      </c>
      <c r="R678" s="3" t="s">
        <v>37</v>
      </c>
      <c r="S678" s="2" t="s">
        <v>22</v>
      </c>
      <c r="T678" s="2" t="s">
        <v>38</v>
      </c>
    </row>
    <row r="679" spans="1:20" x14ac:dyDescent="0.2">
      <c r="A679" s="2">
        <v>3632</v>
      </c>
      <c r="B679" s="2" t="s">
        <v>1224</v>
      </c>
      <c r="C679" s="2" t="s">
        <v>1225</v>
      </c>
      <c r="D679" s="2" t="s">
        <v>66</v>
      </c>
      <c r="E679" s="2" t="s">
        <v>20</v>
      </c>
      <c r="F679" s="2">
        <v>2018</v>
      </c>
      <c r="G679" s="2">
        <v>2021</v>
      </c>
      <c r="H679" s="2">
        <f>'mpi_dataset_summary_2017-2024'!$G679-'mpi_dataset_summary_2017-2024'!$F679+1</f>
        <v>4</v>
      </c>
      <c r="I679" s="2" t="s">
        <v>2111</v>
      </c>
      <c r="J679" s="2" t="s">
        <v>2111</v>
      </c>
      <c r="K679" s="2">
        <f>IF('mpi_dataset_summary_2017-2024'!$G679=2024,1,0)</f>
        <v>0</v>
      </c>
      <c r="L679" s="2">
        <f t="shared" si="20"/>
        <v>0</v>
      </c>
      <c r="M679" s="2">
        <v>250</v>
      </c>
      <c r="N679" s="2">
        <f t="shared" si="21"/>
        <v>0.53500000000000003</v>
      </c>
      <c r="O679" s="2">
        <v>49.332146999999999</v>
      </c>
      <c r="P679" s="2">
        <v>-112.914147</v>
      </c>
      <c r="Q679" s="2" t="s">
        <v>2108</v>
      </c>
      <c r="R679" s="3" t="s">
        <v>24</v>
      </c>
      <c r="S679" s="2" t="s">
        <v>25</v>
      </c>
      <c r="T679" s="2" t="s">
        <v>26</v>
      </c>
    </row>
    <row r="680" spans="1:20" x14ac:dyDescent="0.2">
      <c r="A680" s="2">
        <v>3633</v>
      </c>
      <c r="B680" s="2" t="s">
        <v>1226</v>
      </c>
      <c r="C680" s="2" t="s">
        <v>1227</v>
      </c>
      <c r="D680" s="2" t="s">
        <v>66</v>
      </c>
      <c r="E680" s="2" t="s">
        <v>20</v>
      </c>
      <c r="F680" s="2">
        <v>2018</v>
      </c>
      <c r="G680" s="2">
        <v>2020</v>
      </c>
      <c r="H680" s="2">
        <f>'mpi_dataset_summary_2017-2024'!$G680-'mpi_dataset_summary_2017-2024'!$F680+1</f>
        <v>3</v>
      </c>
      <c r="I680" s="2" t="s">
        <v>2111</v>
      </c>
      <c r="J680" s="2" t="s">
        <v>2111</v>
      </c>
      <c r="K680" s="2">
        <f>IF('mpi_dataset_summary_2017-2024'!$G680=2024,1,0)</f>
        <v>0</v>
      </c>
      <c r="L680" s="2">
        <f t="shared" si="20"/>
        <v>0</v>
      </c>
      <c r="M680" s="2">
        <v>200</v>
      </c>
      <c r="N680" s="2">
        <f t="shared" si="21"/>
        <v>0.49099999999999999</v>
      </c>
      <c r="O680" s="2">
        <v>55.191115000000003</v>
      </c>
      <c r="P680" s="2">
        <v>-118.922316</v>
      </c>
      <c r="Q680" s="2" t="s">
        <v>2108</v>
      </c>
      <c r="R680" s="3" t="s">
        <v>41</v>
      </c>
      <c r="S680" s="2" t="s">
        <v>25</v>
      </c>
      <c r="T680" s="2" t="s">
        <v>46</v>
      </c>
    </row>
    <row r="681" spans="1:20" x14ac:dyDescent="0.2">
      <c r="A681" s="2">
        <v>3634</v>
      </c>
      <c r="B681" s="2" t="s">
        <v>1228</v>
      </c>
      <c r="C681" s="2" t="s">
        <v>1229</v>
      </c>
      <c r="D681" s="2" t="s">
        <v>66</v>
      </c>
      <c r="E681" s="2" t="s">
        <v>20</v>
      </c>
      <c r="F681" s="2">
        <v>2018</v>
      </c>
      <c r="G681" s="2">
        <v>2019</v>
      </c>
      <c r="H681" s="2">
        <f>'mpi_dataset_summary_2017-2024'!$G681-'mpi_dataset_summary_2017-2024'!$F681+1</f>
        <v>2</v>
      </c>
      <c r="I681" s="2" t="s">
        <v>2111</v>
      </c>
      <c r="J681" s="2" t="s">
        <v>2110</v>
      </c>
      <c r="K681" s="2">
        <f>IF('mpi_dataset_summary_2017-2024'!$G681=2024,1,0)</f>
        <v>0</v>
      </c>
      <c r="L681" s="2">
        <f t="shared" si="20"/>
        <v>1</v>
      </c>
      <c r="M681" s="2">
        <v>325</v>
      </c>
      <c r="N681" s="2">
        <f t="shared" si="21"/>
        <v>0.59099999999999997</v>
      </c>
      <c r="O681" s="2">
        <v>49.610821000000001</v>
      </c>
      <c r="P681" s="2">
        <v>-111.20350000000001</v>
      </c>
      <c r="Q681" s="2" t="s">
        <v>2108</v>
      </c>
      <c r="R681" s="3" t="s">
        <v>24</v>
      </c>
      <c r="S681" s="2" t="s">
        <v>25</v>
      </c>
      <c r="T681" s="2" t="s">
        <v>26</v>
      </c>
    </row>
    <row r="682" spans="1:20" x14ac:dyDescent="0.2">
      <c r="A682" s="2">
        <v>3635</v>
      </c>
      <c r="B682" s="2" t="s">
        <v>1230</v>
      </c>
      <c r="C682" s="2" t="s">
        <v>1231</v>
      </c>
      <c r="D682" s="2" t="s">
        <v>66</v>
      </c>
      <c r="E682" s="2" t="s">
        <v>20</v>
      </c>
      <c r="F682" s="2">
        <v>2018</v>
      </c>
      <c r="G682" s="2">
        <v>2020</v>
      </c>
      <c r="H682" s="2">
        <f>'mpi_dataset_summary_2017-2024'!$G682-'mpi_dataset_summary_2017-2024'!$F682+1</f>
        <v>3</v>
      </c>
      <c r="I682" s="2" t="s">
        <v>2111</v>
      </c>
      <c r="J682" s="2" t="s">
        <v>2111</v>
      </c>
      <c r="K682" s="2">
        <f>IF('mpi_dataset_summary_2017-2024'!$G682=2024,1,0)</f>
        <v>0</v>
      </c>
      <c r="L682" s="2">
        <f t="shared" si="20"/>
        <v>0</v>
      </c>
      <c r="M682" s="2">
        <v>150</v>
      </c>
      <c r="N682" s="2">
        <f t="shared" si="21"/>
        <v>0.442</v>
      </c>
      <c r="O682" s="2">
        <v>53.179713999999997</v>
      </c>
      <c r="P682" s="2">
        <v>-115.750652</v>
      </c>
      <c r="Q682" s="2" t="s">
        <v>2108</v>
      </c>
      <c r="R682" s="3" t="s">
        <v>35</v>
      </c>
      <c r="S682" s="2" t="s">
        <v>22</v>
      </c>
      <c r="T682" s="2" t="s">
        <v>36</v>
      </c>
    </row>
    <row r="683" spans="1:20" x14ac:dyDescent="0.2">
      <c r="A683" s="2">
        <v>3636</v>
      </c>
      <c r="B683" s="2" t="s">
        <v>928</v>
      </c>
      <c r="C683" s="2" t="s">
        <v>1232</v>
      </c>
      <c r="D683" s="2" t="s">
        <v>66</v>
      </c>
      <c r="E683" s="2" t="s">
        <v>20</v>
      </c>
      <c r="F683" s="2">
        <v>2018</v>
      </c>
      <c r="G683" s="2">
        <v>2020</v>
      </c>
      <c r="H683" s="2">
        <f>'mpi_dataset_summary_2017-2024'!$G683-'mpi_dataset_summary_2017-2024'!$F683+1</f>
        <v>3</v>
      </c>
      <c r="I683" s="2" t="s">
        <v>2111</v>
      </c>
      <c r="J683" s="2" t="s">
        <v>2111</v>
      </c>
      <c r="K683" s="2">
        <f>IF('mpi_dataset_summary_2017-2024'!$G683=2024,1,0)</f>
        <v>0</v>
      </c>
      <c r="L683" s="2">
        <f t="shared" si="20"/>
        <v>0</v>
      </c>
      <c r="M683" s="2">
        <v>563</v>
      </c>
      <c r="N683" s="2">
        <f t="shared" si="21"/>
        <v>0.70599999999999996</v>
      </c>
      <c r="O683" s="2">
        <v>57.386038999999997</v>
      </c>
      <c r="P683" s="2">
        <v>-111.074988</v>
      </c>
      <c r="Q683" s="2" t="s">
        <v>2108</v>
      </c>
      <c r="R683" s="3" t="s">
        <v>41</v>
      </c>
      <c r="S683" s="2" t="s">
        <v>25</v>
      </c>
      <c r="T683" s="2" t="s">
        <v>46</v>
      </c>
    </row>
    <row r="684" spans="1:20" x14ac:dyDescent="0.2">
      <c r="A684" s="2">
        <v>3637</v>
      </c>
      <c r="B684" s="2" t="s">
        <v>433</v>
      </c>
      <c r="C684" s="2" t="s">
        <v>1233</v>
      </c>
      <c r="D684" s="2" t="s">
        <v>66</v>
      </c>
      <c r="E684" s="2" t="s">
        <v>20</v>
      </c>
      <c r="F684" s="2">
        <v>2018</v>
      </c>
      <c r="G684" s="2">
        <v>2020</v>
      </c>
      <c r="H684" s="2">
        <f>'mpi_dataset_summary_2017-2024'!$G684-'mpi_dataset_summary_2017-2024'!$F684+1</f>
        <v>3</v>
      </c>
      <c r="I684" s="2" t="s">
        <v>2113</v>
      </c>
      <c r="J684" s="2" t="s">
        <v>2113</v>
      </c>
      <c r="K684" s="2">
        <f>IF('mpi_dataset_summary_2017-2024'!$G684=2024,1,0)</f>
        <v>0</v>
      </c>
      <c r="L684" s="2">
        <f t="shared" si="20"/>
        <v>0</v>
      </c>
      <c r="M684" s="2">
        <v>120</v>
      </c>
      <c r="N684" s="2">
        <f t="shared" si="21"/>
        <v>0.38900000000000001</v>
      </c>
      <c r="O684" s="2">
        <v>55.070186</v>
      </c>
      <c r="P684" s="2">
        <v>-119.11152199999999</v>
      </c>
      <c r="Q684" s="2" t="s">
        <v>2108</v>
      </c>
      <c r="R684" s="3" t="s">
        <v>35</v>
      </c>
      <c r="S684" s="2" t="s">
        <v>22</v>
      </c>
      <c r="T684" s="2" t="s">
        <v>36</v>
      </c>
    </row>
    <row r="685" spans="1:20" x14ac:dyDescent="0.2">
      <c r="A685" s="2">
        <v>3638</v>
      </c>
      <c r="B685" s="2" t="s">
        <v>1234</v>
      </c>
      <c r="C685" s="2" t="s">
        <v>1235</v>
      </c>
      <c r="D685" s="2" t="s">
        <v>161</v>
      </c>
      <c r="E685" s="2" t="s">
        <v>20</v>
      </c>
      <c r="F685" s="2">
        <v>2018</v>
      </c>
      <c r="G685" s="2">
        <v>2023</v>
      </c>
      <c r="H685" s="2">
        <f>'mpi_dataset_summary_2017-2024'!$G685-'mpi_dataset_summary_2017-2024'!$F685+1</f>
        <v>6</v>
      </c>
      <c r="I685" s="2" t="s">
        <v>2111</v>
      </c>
      <c r="J685" s="2" t="s">
        <v>2110</v>
      </c>
      <c r="K685" s="2">
        <f>IF('mpi_dataset_summary_2017-2024'!$G685=2024,1,0)</f>
        <v>0</v>
      </c>
      <c r="L685" s="2">
        <f t="shared" si="20"/>
        <v>1</v>
      </c>
      <c r="M685" s="2">
        <v>438</v>
      </c>
      <c r="N685" s="2">
        <f t="shared" si="21"/>
        <v>0.65400000000000003</v>
      </c>
      <c r="O685" s="2">
        <v>48.13561</v>
      </c>
      <c r="P685" s="2">
        <v>-80.071809999999999</v>
      </c>
      <c r="Q685" s="2" t="s">
        <v>2107</v>
      </c>
      <c r="R685" s="3" t="s">
        <v>41</v>
      </c>
      <c r="S685" s="2" t="s">
        <v>22</v>
      </c>
      <c r="T685" s="2" t="s">
        <v>42</v>
      </c>
    </row>
    <row r="686" spans="1:20" x14ac:dyDescent="0.2">
      <c r="A686" s="2">
        <v>3639</v>
      </c>
      <c r="B686" s="2" t="s">
        <v>1236</v>
      </c>
      <c r="C686" s="2" t="s">
        <v>1237</v>
      </c>
      <c r="D686" s="2" t="s">
        <v>161</v>
      </c>
      <c r="E686" s="2" t="s">
        <v>20</v>
      </c>
      <c r="F686" s="2">
        <v>2018</v>
      </c>
      <c r="G686" s="2">
        <v>2023</v>
      </c>
      <c r="H686" s="2">
        <f>'mpi_dataset_summary_2017-2024'!$G686-'mpi_dataset_summary_2017-2024'!$F686+1</f>
        <v>6</v>
      </c>
      <c r="I686" s="2" t="s">
        <v>2110</v>
      </c>
      <c r="J686" s="2" t="s">
        <v>2111</v>
      </c>
      <c r="K686" s="2">
        <f>IF('mpi_dataset_summary_2017-2024'!$G686=2024,1,0)</f>
        <v>0</v>
      </c>
      <c r="L686" s="2">
        <f t="shared" si="20"/>
        <v>0</v>
      </c>
      <c r="M686" s="2">
        <v>199.29900000000001</v>
      </c>
      <c r="N686" s="2">
        <f t="shared" si="21"/>
        <v>0.49</v>
      </c>
      <c r="O686" s="2">
        <v>48.804960000000001</v>
      </c>
      <c r="P686" s="2">
        <v>-85.004009999999994</v>
      </c>
      <c r="Q686" s="2" t="s">
        <v>2107</v>
      </c>
      <c r="R686" s="3" t="s">
        <v>29</v>
      </c>
      <c r="S686" s="2" t="s">
        <v>22</v>
      </c>
      <c r="T686" s="2" t="s">
        <v>30</v>
      </c>
    </row>
    <row r="687" spans="1:20" x14ac:dyDescent="0.2">
      <c r="A687" s="2">
        <v>3640</v>
      </c>
      <c r="B687" s="2" t="s">
        <v>235</v>
      </c>
      <c r="C687" s="2" t="s">
        <v>1238</v>
      </c>
      <c r="D687" s="2" t="s">
        <v>86</v>
      </c>
      <c r="E687" s="2" t="s">
        <v>43</v>
      </c>
      <c r="F687" s="2">
        <v>2018</v>
      </c>
      <c r="G687" s="2">
        <v>2019</v>
      </c>
      <c r="H687" s="2">
        <f>'mpi_dataset_summary_2017-2024'!$G687-'mpi_dataset_summary_2017-2024'!$F687+1</f>
        <v>2</v>
      </c>
      <c r="I687" s="2" t="s">
        <v>2110</v>
      </c>
      <c r="J687" s="2" t="s">
        <v>2110</v>
      </c>
      <c r="K687" s="2">
        <f>IF('mpi_dataset_summary_2017-2024'!$G687=2024,1,0)</f>
        <v>0</v>
      </c>
      <c r="L687" s="2">
        <f t="shared" si="20"/>
        <v>1</v>
      </c>
      <c r="M687" s="2">
        <v>43.9</v>
      </c>
      <c r="N687" s="2">
        <f t="shared" si="21"/>
        <v>0.192</v>
      </c>
      <c r="O687" s="2" t="s">
        <v>2114</v>
      </c>
      <c r="P687" s="2" t="s">
        <v>2114</v>
      </c>
      <c r="Q687" s="2" t="s">
        <v>2108</v>
      </c>
      <c r="R687" s="3" t="s">
        <v>35</v>
      </c>
      <c r="S687" s="2" t="s">
        <v>22</v>
      </c>
      <c r="T687" s="2" t="s">
        <v>36</v>
      </c>
    </row>
    <row r="688" spans="1:20" x14ac:dyDescent="0.2">
      <c r="A688" s="2">
        <v>3641</v>
      </c>
      <c r="B688" s="2" t="s">
        <v>235</v>
      </c>
      <c r="C688" s="2" t="s">
        <v>1239</v>
      </c>
      <c r="D688" s="2" t="s">
        <v>86</v>
      </c>
      <c r="E688" s="2" t="s">
        <v>43</v>
      </c>
      <c r="F688" s="2">
        <v>2018</v>
      </c>
      <c r="G688" s="2">
        <v>2024</v>
      </c>
      <c r="H688" s="2">
        <f>'mpi_dataset_summary_2017-2024'!$G688-'mpi_dataset_summary_2017-2024'!$F688+1</f>
        <v>7</v>
      </c>
      <c r="I688" s="2" t="s">
        <v>2110</v>
      </c>
      <c r="J688" s="2" t="s">
        <v>2110</v>
      </c>
      <c r="K688" s="2">
        <f>IF('mpi_dataset_summary_2017-2024'!$G688=2024,1,0)</f>
        <v>1</v>
      </c>
      <c r="L688" s="2">
        <f t="shared" si="20"/>
        <v>1</v>
      </c>
      <c r="M688" s="2">
        <v>58.7</v>
      </c>
      <c r="N688" s="2">
        <f t="shared" si="21"/>
        <v>0.253</v>
      </c>
      <c r="O688" s="2">
        <v>49.790567000000003</v>
      </c>
      <c r="P688" s="2">
        <v>-97.364062000000004</v>
      </c>
      <c r="Q688" s="2" t="s">
        <v>2108</v>
      </c>
      <c r="R688" s="3" t="s">
        <v>35</v>
      </c>
      <c r="S688" s="2" t="s">
        <v>22</v>
      </c>
      <c r="T688" s="2" t="s">
        <v>36</v>
      </c>
    </row>
    <row r="689" spans="1:20" x14ac:dyDescent="0.2">
      <c r="A689" s="2">
        <v>3642</v>
      </c>
      <c r="B689" s="2" t="s">
        <v>235</v>
      </c>
      <c r="C689" s="2" t="s">
        <v>1240</v>
      </c>
      <c r="D689" s="2" t="s">
        <v>86</v>
      </c>
      <c r="E689" s="2" t="s">
        <v>43</v>
      </c>
      <c r="F689" s="2">
        <v>2018</v>
      </c>
      <c r="G689" s="2">
        <v>2022</v>
      </c>
      <c r="H689" s="2">
        <f>'mpi_dataset_summary_2017-2024'!$G689-'mpi_dataset_summary_2017-2024'!$F689+1</f>
        <v>5</v>
      </c>
      <c r="I689" s="2" t="s">
        <v>2113</v>
      </c>
      <c r="J689" s="2" t="s">
        <v>2110</v>
      </c>
      <c r="K689" s="2">
        <f>IF('mpi_dataset_summary_2017-2024'!$G689=2024,1,0)</f>
        <v>0</v>
      </c>
      <c r="L689" s="2">
        <f t="shared" si="20"/>
        <v>1</v>
      </c>
      <c r="M689" s="2">
        <v>46.8</v>
      </c>
      <c r="N689" s="2">
        <f t="shared" si="21"/>
        <v>0.20599999999999999</v>
      </c>
      <c r="O689" s="2">
        <v>49.895099999999999</v>
      </c>
      <c r="P689" s="2">
        <v>-97.138400000000004</v>
      </c>
      <c r="Q689" s="2" t="s">
        <v>2108</v>
      </c>
      <c r="R689" s="3" t="s">
        <v>24</v>
      </c>
      <c r="S689" s="2" t="s">
        <v>25</v>
      </c>
      <c r="T689" s="2" t="s">
        <v>26</v>
      </c>
    </row>
    <row r="690" spans="1:20" x14ac:dyDescent="0.2">
      <c r="A690" s="2">
        <v>3643</v>
      </c>
      <c r="B690" s="2" t="s">
        <v>235</v>
      </c>
      <c r="C690" s="2" t="s">
        <v>1241</v>
      </c>
      <c r="D690" s="2" t="s">
        <v>86</v>
      </c>
      <c r="E690" s="2" t="s">
        <v>43</v>
      </c>
      <c r="F690" s="2">
        <v>2018</v>
      </c>
      <c r="G690" s="2">
        <v>2024</v>
      </c>
      <c r="H690" s="2">
        <f>'mpi_dataset_summary_2017-2024'!$G690-'mpi_dataset_summary_2017-2024'!$F690+1</f>
        <v>7</v>
      </c>
      <c r="I690" s="2" t="s">
        <v>2110</v>
      </c>
      <c r="J690" s="2" t="s">
        <v>2110</v>
      </c>
      <c r="K690" s="2">
        <f>IF('mpi_dataset_summary_2017-2024'!$G690=2024,1,0)</f>
        <v>1</v>
      </c>
      <c r="L690" s="2">
        <f t="shared" si="20"/>
        <v>1</v>
      </c>
      <c r="M690" s="2">
        <v>78</v>
      </c>
      <c r="N690" s="2">
        <f t="shared" si="21"/>
        <v>0.30199999999999999</v>
      </c>
      <c r="O690" s="2">
        <v>49.905920000000002</v>
      </c>
      <c r="P690" s="2">
        <v>-97.123959999999997</v>
      </c>
      <c r="Q690" s="2" t="s">
        <v>2108</v>
      </c>
      <c r="R690" s="3" t="s">
        <v>24</v>
      </c>
      <c r="S690" s="2" t="s">
        <v>25</v>
      </c>
      <c r="T690" s="2" t="s">
        <v>26</v>
      </c>
    </row>
    <row r="691" spans="1:20" x14ac:dyDescent="0.2">
      <c r="A691" s="2">
        <v>3644</v>
      </c>
      <c r="B691" s="2" t="s">
        <v>235</v>
      </c>
      <c r="C691" s="2" t="s">
        <v>1242</v>
      </c>
      <c r="D691" s="2" t="s">
        <v>86</v>
      </c>
      <c r="E691" s="2" t="s">
        <v>43</v>
      </c>
      <c r="F691" s="2">
        <v>2018</v>
      </c>
      <c r="G691" s="2">
        <v>2023</v>
      </c>
      <c r="H691" s="2">
        <f>'mpi_dataset_summary_2017-2024'!$G691-'mpi_dataset_summary_2017-2024'!$F691+1</f>
        <v>6</v>
      </c>
      <c r="I691" s="2" t="s">
        <v>2110</v>
      </c>
      <c r="J691" s="2" t="s">
        <v>2110</v>
      </c>
      <c r="K691" s="2">
        <f>IF('mpi_dataset_summary_2017-2024'!$G691=2024,1,0)</f>
        <v>0</v>
      </c>
      <c r="L691" s="2">
        <f t="shared" si="20"/>
        <v>1</v>
      </c>
      <c r="M691" s="2">
        <v>177.8</v>
      </c>
      <c r="N691" s="2">
        <f t="shared" si="21"/>
        <v>0.47299999999999998</v>
      </c>
      <c r="O691" s="2" t="s">
        <v>2114</v>
      </c>
      <c r="P691" s="2" t="s">
        <v>2114</v>
      </c>
      <c r="Q691" s="2" t="s">
        <v>2108</v>
      </c>
      <c r="R691" s="3" t="s">
        <v>35</v>
      </c>
      <c r="S691" s="2" t="s">
        <v>22</v>
      </c>
      <c r="T691" s="2" t="s">
        <v>36</v>
      </c>
    </row>
    <row r="692" spans="1:20" x14ac:dyDescent="0.2">
      <c r="A692" s="2">
        <v>3645</v>
      </c>
      <c r="B692" s="2" t="s">
        <v>1243</v>
      </c>
      <c r="C692" s="2" t="s">
        <v>1244</v>
      </c>
      <c r="D692" s="2" t="s">
        <v>83</v>
      </c>
      <c r="E692" s="2" t="s">
        <v>20</v>
      </c>
      <c r="F692" s="2">
        <v>2018</v>
      </c>
      <c r="G692" s="2">
        <v>2022</v>
      </c>
      <c r="H692" s="2">
        <f>'mpi_dataset_summary_2017-2024'!$G692-'mpi_dataset_summary_2017-2024'!$F692+1</f>
        <v>5</v>
      </c>
      <c r="I692" s="2" t="s">
        <v>2111</v>
      </c>
      <c r="J692" s="2" t="s">
        <v>2113</v>
      </c>
      <c r="K692" s="2">
        <f>IF('mpi_dataset_summary_2017-2024'!$G692=2024,1,0)</f>
        <v>0</v>
      </c>
      <c r="L692" s="2">
        <f t="shared" si="20"/>
        <v>0</v>
      </c>
      <c r="M692" s="2">
        <v>12000</v>
      </c>
      <c r="N692" s="2">
        <f t="shared" si="21"/>
        <v>0.98099999999999998</v>
      </c>
      <c r="O692" s="2">
        <v>47.9</v>
      </c>
      <c r="P692" s="2">
        <v>-46.7</v>
      </c>
      <c r="Q692" s="2" t="s">
        <v>2108</v>
      </c>
      <c r="R692" s="3" t="s">
        <v>39</v>
      </c>
      <c r="S692" s="2" t="s">
        <v>22</v>
      </c>
      <c r="T692" s="2" t="s">
        <v>40</v>
      </c>
    </row>
    <row r="693" spans="1:20" x14ac:dyDescent="0.2">
      <c r="A693" s="2">
        <v>3646</v>
      </c>
      <c r="B693" s="2" t="s">
        <v>1245</v>
      </c>
      <c r="C693" s="2" t="s">
        <v>1246</v>
      </c>
      <c r="D693" s="2" t="s">
        <v>161</v>
      </c>
      <c r="E693" s="2" t="s">
        <v>43</v>
      </c>
      <c r="F693" s="2">
        <v>2018</v>
      </c>
      <c r="G693" s="2">
        <v>2018</v>
      </c>
      <c r="H693" s="2">
        <f>'mpi_dataset_summary_2017-2024'!$G693-'mpi_dataset_summary_2017-2024'!$F693+1</f>
        <v>1</v>
      </c>
      <c r="I693" s="2" t="s">
        <v>2111</v>
      </c>
      <c r="J693" s="2" t="s">
        <v>2111</v>
      </c>
      <c r="K693" s="2">
        <f>IF('mpi_dataset_summary_2017-2024'!$G693=2024,1,0)</f>
        <v>0</v>
      </c>
      <c r="L693" s="2">
        <f t="shared" si="20"/>
        <v>0</v>
      </c>
      <c r="M693" s="2">
        <v>30</v>
      </c>
      <c r="N693" s="2">
        <f t="shared" si="21"/>
        <v>0.14599999999999999</v>
      </c>
      <c r="O693" s="2">
        <v>45.419797000000003</v>
      </c>
      <c r="P693" s="2">
        <v>-75.721209000000002</v>
      </c>
      <c r="Q693" s="2" t="s">
        <v>2108</v>
      </c>
      <c r="R693" s="3" t="s">
        <v>41</v>
      </c>
      <c r="S693" s="2" t="s">
        <v>25</v>
      </c>
      <c r="T693" s="2" t="s">
        <v>46</v>
      </c>
    </row>
    <row r="694" spans="1:20" x14ac:dyDescent="0.2">
      <c r="A694" s="2">
        <v>4000</v>
      </c>
      <c r="B694" s="2" t="s">
        <v>1247</v>
      </c>
      <c r="C694" s="2" t="s">
        <v>1248</v>
      </c>
      <c r="D694" s="2" t="s">
        <v>161</v>
      </c>
      <c r="E694" s="2" t="s">
        <v>43</v>
      </c>
      <c r="F694" s="2">
        <v>2019</v>
      </c>
      <c r="G694" s="2">
        <v>2024</v>
      </c>
      <c r="H694" s="2">
        <f>'mpi_dataset_summary_2017-2024'!$G694-'mpi_dataset_summary_2017-2024'!$F694+1</f>
        <v>6</v>
      </c>
      <c r="I694" s="2" t="s">
        <v>2111</v>
      </c>
      <c r="J694" s="2" t="s">
        <v>2112</v>
      </c>
      <c r="K694" s="2">
        <f>IF('mpi_dataset_summary_2017-2024'!$G694=2024,1,0)</f>
        <v>1</v>
      </c>
      <c r="L694" s="2">
        <f t="shared" si="20"/>
        <v>0</v>
      </c>
      <c r="M694" s="2">
        <v>1200</v>
      </c>
      <c r="N694" s="2">
        <f t="shared" si="21"/>
        <v>0.82899999999999996</v>
      </c>
      <c r="O694" s="2" t="s">
        <v>2114</v>
      </c>
      <c r="P694" s="2" t="s">
        <v>2114</v>
      </c>
      <c r="Q694" s="2" t="s">
        <v>2108</v>
      </c>
      <c r="R694" s="3" t="s">
        <v>35</v>
      </c>
      <c r="S694" s="2" t="s">
        <v>22</v>
      </c>
      <c r="T694" s="2" t="s">
        <v>36</v>
      </c>
    </row>
    <row r="695" spans="1:20" x14ac:dyDescent="0.2">
      <c r="A695" s="2">
        <v>4001</v>
      </c>
      <c r="B695" s="2" t="s">
        <v>1247</v>
      </c>
      <c r="C695" s="2" t="s">
        <v>1249</v>
      </c>
      <c r="D695" s="2" t="s">
        <v>161</v>
      </c>
      <c r="E695" s="2" t="s">
        <v>43</v>
      </c>
      <c r="F695" s="2">
        <v>2020</v>
      </c>
      <c r="G695" s="2">
        <v>2024</v>
      </c>
      <c r="H695" s="2">
        <f>'mpi_dataset_summary_2017-2024'!$G695-'mpi_dataset_summary_2017-2024'!$F695+1</f>
        <v>5</v>
      </c>
      <c r="I695" s="2" t="s">
        <v>2111</v>
      </c>
      <c r="J695" s="2" t="s">
        <v>2110</v>
      </c>
      <c r="K695" s="2">
        <f>IF('mpi_dataset_summary_2017-2024'!$G695=2024,1,0)</f>
        <v>1</v>
      </c>
      <c r="L695" s="2">
        <f t="shared" si="20"/>
        <v>1</v>
      </c>
      <c r="M695" s="2">
        <v>24.1</v>
      </c>
      <c r="N695" s="2">
        <f t="shared" si="21"/>
        <v>0.123</v>
      </c>
      <c r="O695" s="2">
        <v>45.392172000000002</v>
      </c>
      <c r="P695" s="2">
        <v>-75.608255999999997</v>
      </c>
      <c r="Q695" s="2" t="s">
        <v>2108</v>
      </c>
      <c r="R695" s="3" t="s">
        <v>35</v>
      </c>
      <c r="S695" s="2" t="s">
        <v>22</v>
      </c>
      <c r="T695" s="2" t="s">
        <v>36</v>
      </c>
    </row>
    <row r="696" spans="1:20" x14ac:dyDescent="0.2">
      <c r="A696" s="2">
        <v>4002</v>
      </c>
      <c r="B696" s="2" t="s">
        <v>1247</v>
      </c>
      <c r="C696" s="2" t="s">
        <v>1250</v>
      </c>
      <c r="D696" s="2" t="s">
        <v>161</v>
      </c>
      <c r="E696" s="2" t="s">
        <v>43</v>
      </c>
      <c r="F696" s="2">
        <v>2019</v>
      </c>
      <c r="G696" s="2">
        <v>2019</v>
      </c>
      <c r="H696" s="2">
        <f>'mpi_dataset_summary_2017-2024'!$G696-'mpi_dataset_summary_2017-2024'!$F696+1</f>
        <v>1</v>
      </c>
      <c r="I696" s="2" t="s">
        <v>2110</v>
      </c>
      <c r="J696" s="2" t="s">
        <v>2110</v>
      </c>
      <c r="K696" s="2">
        <f>IF('mpi_dataset_summary_2017-2024'!$G696=2024,1,0)</f>
        <v>0</v>
      </c>
      <c r="L696" s="2">
        <f t="shared" si="20"/>
        <v>1</v>
      </c>
      <c r="M696" s="2">
        <v>280.7</v>
      </c>
      <c r="N696" s="2">
        <f t="shared" si="21"/>
        <v>0.56699999999999995</v>
      </c>
      <c r="O696" s="2">
        <v>43.933953000000002</v>
      </c>
      <c r="P696" s="2">
        <v>-78.600333000000006</v>
      </c>
      <c r="Q696" s="2" t="s">
        <v>2108</v>
      </c>
      <c r="R696" s="3" t="s">
        <v>24</v>
      </c>
      <c r="S696" s="2" t="s">
        <v>25</v>
      </c>
      <c r="T696" s="2" t="s">
        <v>26</v>
      </c>
    </row>
    <row r="697" spans="1:20" x14ac:dyDescent="0.2">
      <c r="A697" s="2">
        <v>4004</v>
      </c>
      <c r="B697" s="2" t="s">
        <v>1251</v>
      </c>
      <c r="C697" s="2" t="s">
        <v>1252</v>
      </c>
      <c r="D697" s="2" t="s">
        <v>161</v>
      </c>
      <c r="E697" s="2" t="s">
        <v>20</v>
      </c>
      <c r="F697" s="2">
        <v>2019</v>
      </c>
      <c r="G697" s="2">
        <v>2022</v>
      </c>
      <c r="H697" s="2">
        <f>'mpi_dataset_summary_2017-2024'!$G697-'mpi_dataset_summary_2017-2024'!$F697+1</f>
        <v>4</v>
      </c>
      <c r="I697" s="2" t="s">
        <v>2112</v>
      </c>
      <c r="J697" s="2" t="s">
        <v>2112</v>
      </c>
      <c r="K697" s="2">
        <f>IF('mpi_dataset_summary_2017-2024'!$G697=2024,1,0)</f>
        <v>0</v>
      </c>
      <c r="L697" s="2">
        <f t="shared" si="20"/>
        <v>0</v>
      </c>
      <c r="M697" s="2">
        <v>1700</v>
      </c>
      <c r="N697" s="2">
        <f t="shared" si="21"/>
        <v>0.88400000000000001</v>
      </c>
      <c r="O697" s="2">
        <v>42.793571999999998</v>
      </c>
      <c r="P697" s="2">
        <v>-80.074517999999998</v>
      </c>
      <c r="Q697" s="2" t="s">
        <v>2108</v>
      </c>
      <c r="R697" s="3" t="s">
        <v>41</v>
      </c>
      <c r="S697" s="2" t="s">
        <v>25</v>
      </c>
      <c r="T697" s="2" t="s">
        <v>46</v>
      </c>
    </row>
    <row r="698" spans="1:20" x14ac:dyDescent="0.2">
      <c r="A698" s="2">
        <v>4006</v>
      </c>
      <c r="B698" s="2" t="s">
        <v>749</v>
      </c>
      <c r="C698" s="2" t="s">
        <v>1253</v>
      </c>
      <c r="D698" s="2" t="s">
        <v>89</v>
      </c>
      <c r="E698" s="2" t="s">
        <v>20</v>
      </c>
      <c r="F698" s="2">
        <v>2019</v>
      </c>
      <c r="G698" s="2">
        <v>2024</v>
      </c>
      <c r="H698" s="2">
        <f>'mpi_dataset_summary_2017-2024'!$G698-'mpi_dataset_summary_2017-2024'!$F698+1</f>
        <v>6</v>
      </c>
      <c r="I698" s="2" t="s">
        <v>2111</v>
      </c>
      <c r="J698" s="2" t="s">
        <v>2112</v>
      </c>
      <c r="K698" s="2">
        <f>IF('mpi_dataset_summary_2017-2024'!$G698=2024,1,0)</f>
        <v>1</v>
      </c>
      <c r="L698" s="2">
        <f t="shared" si="20"/>
        <v>0</v>
      </c>
      <c r="M698" s="2">
        <v>533</v>
      </c>
      <c r="N698" s="2">
        <f t="shared" si="21"/>
        <v>0.69899999999999995</v>
      </c>
      <c r="O698" s="2">
        <v>48.21</v>
      </c>
      <c r="P698" s="2">
        <v>-79.19</v>
      </c>
      <c r="Q698" s="2" t="s">
        <v>2107</v>
      </c>
      <c r="R698" s="3" t="s">
        <v>29</v>
      </c>
      <c r="S698" s="2" t="s">
        <v>22</v>
      </c>
      <c r="T698" s="2" t="s">
        <v>30</v>
      </c>
    </row>
    <row r="699" spans="1:20" x14ac:dyDescent="0.2">
      <c r="A699" s="2">
        <v>4007</v>
      </c>
      <c r="B699" s="2" t="s">
        <v>1254</v>
      </c>
      <c r="C699" s="2" t="s">
        <v>1255</v>
      </c>
      <c r="D699" s="2" t="s">
        <v>110</v>
      </c>
      <c r="E699" s="2" t="s">
        <v>20</v>
      </c>
      <c r="F699" s="2">
        <v>2019</v>
      </c>
      <c r="G699" s="2">
        <v>2024</v>
      </c>
      <c r="H699" s="2">
        <f>'mpi_dataset_summary_2017-2024'!$G699-'mpi_dataset_summary_2017-2024'!$F699+1</f>
        <v>6</v>
      </c>
      <c r="I699" s="2" t="s">
        <v>2111</v>
      </c>
      <c r="J699" s="2" t="s">
        <v>2113</v>
      </c>
      <c r="K699" s="2">
        <f>IF('mpi_dataset_summary_2017-2024'!$G699=2024,1,0)</f>
        <v>1</v>
      </c>
      <c r="L699" s="2">
        <f t="shared" si="20"/>
        <v>0</v>
      </c>
      <c r="M699" s="2">
        <v>1300</v>
      </c>
      <c r="N699" s="2">
        <f t="shared" si="21"/>
        <v>0.84299999999999997</v>
      </c>
      <c r="O699" s="2">
        <v>57.59</v>
      </c>
      <c r="P699" s="2">
        <v>-108.99</v>
      </c>
      <c r="Q699" s="2" t="s">
        <v>2107</v>
      </c>
      <c r="R699" s="3" t="s">
        <v>41</v>
      </c>
      <c r="S699" s="2" t="s">
        <v>22</v>
      </c>
      <c r="T699" s="2" t="s">
        <v>42</v>
      </c>
    </row>
    <row r="700" spans="1:20" x14ac:dyDescent="0.2">
      <c r="A700" s="2">
        <v>4008</v>
      </c>
      <c r="B700" s="2" t="s">
        <v>1256</v>
      </c>
      <c r="C700" s="2" t="s">
        <v>1257</v>
      </c>
      <c r="D700" s="2" t="s">
        <v>110</v>
      </c>
      <c r="E700" s="2" t="s">
        <v>20</v>
      </c>
      <c r="F700" s="2">
        <v>2019</v>
      </c>
      <c r="G700" s="2">
        <v>2024</v>
      </c>
      <c r="H700" s="2">
        <f>'mpi_dataset_summary_2017-2024'!$G700-'mpi_dataset_summary_2017-2024'!$F700+1</f>
        <v>6</v>
      </c>
      <c r="I700" s="2" t="s">
        <v>2111</v>
      </c>
      <c r="J700" s="2" t="s">
        <v>2112</v>
      </c>
      <c r="K700" s="2">
        <f>IF('mpi_dataset_summary_2017-2024'!$G700=2024,1,0)</f>
        <v>1</v>
      </c>
      <c r="L700" s="2">
        <f t="shared" si="20"/>
        <v>0</v>
      </c>
      <c r="M700" s="2">
        <v>945.65899999999999</v>
      </c>
      <c r="N700" s="2">
        <f t="shared" si="21"/>
        <v>0.80100000000000005</v>
      </c>
      <c r="O700" s="2">
        <v>57.53</v>
      </c>
      <c r="P700" s="2">
        <v>-105.41</v>
      </c>
      <c r="Q700" s="2" t="s">
        <v>2107</v>
      </c>
      <c r="R700" s="3" t="s">
        <v>41</v>
      </c>
      <c r="S700" s="2" t="s">
        <v>22</v>
      </c>
      <c r="T700" s="2" t="s">
        <v>42</v>
      </c>
    </row>
    <row r="701" spans="1:20" x14ac:dyDescent="0.2">
      <c r="A701" s="2">
        <v>4011</v>
      </c>
      <c r="B701" s="2" t="s">
        <v>1258</v>
      </c>
      <c r="C701" s="2" t="s">
        <v>1259</v>
      </c>
      <c r="D701" s="2" t="s">
        <v>89</v>
      </c>
      <c r="E701" s="2" t="s">
        <v>20</v>
      </c>
      <c r="F701" s="2">
        <v>2019</v>
      </c>
      <c r="G701" s="2">
        <v>2020</v>
      </c>
      <c r="H701" s="2">
        <f>'mpi_dataset_summary_2017-2024'!$G701-'mpi_dataset_summary_2017-2024'!$F701+1</f>
        <v>2</v>
      </c>
      <c r="I701" s="2" t="s">
        <v>2111</v>
      </c>
      <c r="J701" s="2" t="s">
        <v>2111</v>
      </c>
      <c r="K701" s="2">
        <f>IF('mpi_dataset_summary_2017-2024'!$G701=2024,1,0)</f>
        <v>0</v>
      </c>
      <c r="L701" s="2">
        <f t="shared" si="20"/>
        <v>0</v>
      </c>
      <c r="M701" s="2">
        <v>331.13</v>
      </c>
      <c r="N701" s="2">
        <f t="shared" si="21"/>
        <v>0.59599999999999997</v>
      </c>
      <c r="O701" s="2">
        <v>48.625</v>
      </c>
      <c r="P701" s="2">
        <v>-67.333330000000004</v>
      </c>
      <c r="Q701" s="2" t="s">
        <v>2107</v>
      </c>
      <c r="R701" s="3" t="s">
        <v>41</v>
      </c>
      <c r="S701" s="2" t="s">
        <v>22</v>
      </c>
      <c r="T701" s="2" t="s">
        <v>42</v>
      </c>
    </row>
    <row r="702" spans="1:20" x14ac:dyDescent="0.2">
      <c r="A702" s="2">
        <v>4012</v>
      </c>
      <c r="B702" s="2" t="s">
        <v>1260</v>
      </c>
      <c r="C702" s="2" t="s">
        <v>1261</v>
      </c>
      <c r="D702" s="2" t="s">
        <v>161</v>
      </c>
      <c r="E702" s="2" t="s">
        <v>20</v>
      </c>
      <c r="F702" s="2">
        <v>2019</v>
      </c>
      <c r="G702" s="2">
        <v>2019</v>
      </c>
      <c r="H702" s="2">
        <f>'mpi_dataset_summary_2017-2024'!$G702-'mpi_dataset_summary_2017-2024'!$F702+1</f>
        <v>1</v>
      </c>
      <c r="I702" s="2" t="s">
        <v>2111</v>
      </c>
      <c r="J702" s="2" t="s">
        <v>2111</v>
      </c>
      <c r="K702" s="2">
        <f>IF('mpi_dataset_summary_2017-2024'!$G702=2024,1,0)</f>
        <v>0</v>
      </c>
      <c r="L702" s="2">
        <f t="shared" si="20"/>
        <v>0</v>
      </c>
      <c r="M702" s="2">
        <v>53.83</v>
      </c>
      <c r="N702" s="2">
        <f t="shared" si="21"/>
        <v>0.24</v>
      </c>
      <c r="O702" s="2">
        <v>46.47</v>
      </c>
      <c r="P702" s="2">
        <v>-80.849999999999994</v>
      </c>
      <c r="Q702" s="2" t="s">
        <v>2107</v>
      </c>
      <c r="R702" s="3" t="s">
        <v>41</v>
      </c>
      <c r="S702" s="2" t="s">
        <v>22</v>
      </c>
      <c r="T702" s="2" t="s">
        <v>42</v>
      </c>
    </row>
    <row r="703" spans="1:20" x14ac:dyDescent="0.2">
      <c r="A703" s="2">
        <v>4013</v>
      </c>
      <c r="B703" s="2" t="s">
        <v>1262</v>
      </c>
      <c r="C703" s="2" t="s">
        <v>1263</v>
      </c>
      <c r="D703" s="2" t="s">
        <v>89</v>
      </c>
      <c r="E703" s="2" t="s">
        <v>20</v>
      </c>
      <c r="F703" s="2">
        <v>2019</v>
      </c>
      <c r="G703" s="2">
        <v>2024</v>
      </c>
      <c r="H703" s="2">
        <f>'mpi_dataset_summary_2017-2024'!$G703-'mpi_dataset_summary_2017-2024'!$F703+1</f>
        <v>6</v>
      </c>
      <c r="I703" s="2" t="s">
        <v>2111</v>
      </c>
      <c r="J703" s="2" t="s">
        <v>2111</v>
      </c>
      <c r="K703" s="2">
        <f>IF('mpi_dataset_summary_2017-2024'!$G703=2024,1,0)</f>
        <v>1</v>
      </c>
      <c r="L703" s="2">
        <f t="shared" si="20"/>
        <v>0</v>
      </c>
      <c r="M703" s="2">
        <v>250</v>
      </c>
      <c r="N703" s="2">
        <f t="shared" si="21"/>
        <v>0.53500000000000003</v>
      </c>
      <c r="O703" s="2">
        <v>48.426229999999997</v>
      </c>
      <c r="P703" s="2">
        <v>-71.182542999999995</v>
      </c>
      <c r="Q703" s="2" t="s">
        <v>2107</v>
      </c>
      <c r="R703" s="3" t="s">
        <v>33</v>
      </c>
      <c r="S703" s="2" t="s">
        <v>25</v>
      </c>
      <c r="T703" s="2" t="s">
        <v>34</v>
      </c>
    </row>
    <row r="704" spans="1:20" x14ac:dyDescent="0.2">
      <c r="A704" s="2">
        <v>4014</v>
      </c>
      <c r="B704" s="2" t="s">
        <v>1264</v>
      </c>
      <c r="C704" s="2" t="s">
        <v>1265</v>
      </c>
      <c r="D704" s="2" t="s">
        <v>89</v>
      </c>
      <c r="E704" s="2" t="s">
        <v>20</v>
      </c>
      <c r="F704" s="2">
        <v>2019</v>
      </c>
      <c r="G704" s="2">
        <v>2024</v>
      </c>
      <c r="H704" s="2">
        <f>'mpi_dataset_summary_2017-2024'!$G704-'mpi_dataset_summary_2017-2024'!$F704+1</f>
        <v>6</v>
      </c>
      <c r="I704" s="2" t="s">
        <v>2111</v>
      </c>
      <c r="J704" s="2" t="s">
        <v>2111</v>
      </c>
      <c r="K704" s="2">
        <f>IF('mpi_dataset_summary_2017-2024'!$G704=2024,1,0)</f>
        <v>1</v>
      </c>
      <c r="L704" s="2">
        <f t="shared" si="20"/>
        <v>0</v>
      </c>
      <c r="M704" s="2">
        <v>664</v>
      </c>
      <c r="N704" s="2">
        <f t="shared" si="21"/>
        <v>0.73699999999999999</v>
      </c>
      <c r="O704" s="2">
        <v>48.432139999999997</v>
      </c>
      <c r="P704" s="2">
        <v>-71.175650000000005</v>
      </c>
      <c r="Q704" s="2" t="s">
        <v>2107</v>
      </c>
      <c r="R704" s="3" t="s">
        <v>33</v>
      </c>
      <c r="S704" s="2" t="s">
        <v>25</v>
      </c>
      <c r="T704" s="2" t="s">
        <v>34</v>
      </c>
    </row>
    <row r="705" spans="1:20" x14ac:dyDescent="0.2">
      <c r="A705" s="2">
        <v>4015</v>
      </c>
      <c r="B705" s="2" t="s">
        <v>1266</v>
      </c>
      <c r="C705" s="2" t="s">
        <v>1267</v>
      </c>
      <c r="D705" s="2" t="s">
        <v>185</v>
      </c>
      <c r="E705" s="2" t="s">
        <v>20</v>
      </c>
      <c r="F705" s="2">
        <v>2019</v>
      </c>
      <c r="G705" s="2">
        <v>2024</v>
      </c>
      <c r="H705" s="2">
        <f>'mpi_dataset_summary_2017-2024'!$G705-'mpi_dataset_summary_2017-2024'!$F705+1</f>
        <v>6</v>
      </c>
      <c r="I705" s="2" t="s">
        <v>2112</v>
      </c>
      <c r="J705" s="2" t="s">
        <v>2113</v>
      </c>
      <c r="K705" s="2">
        <f>IF('mpi_dataset_summary_2017-2024'!$G705=2024,1,0)</f>
        <v>1</v>
      </c>
      <c r="L705" s="2">
        <f t="shared" si="20"/>
        <v>0</v>
      </c>
      <c r="M705" s="2">
        <v>271</v>
      </c>
      <c r="N705" s="2">
        <f t="shared" si="21"/>
        <v>0.56000000000000005</v>
      </c>
      <c r="O705" s="2">
        <v>45.203000000000003</v>
      </c>
      <c r="P705" s="2">
        <v>-61.642200000000003</v>
      </c>
      <c r="Q705" s="2" t="s">
        <v>2107</v>
      </c>
      <c r="R705" s="3" t="s">
        <v>29</v>
      </c>
      <c r="S705" s="2" t="s">
        <v>22</v>
      </c>
      <c r="T705" s="2" t="s">
        <v>30</v>
      </c>
    </row>
    <row r="706" spans="1:20" x14ac:dyDescent="0.2">
      <c r="A706" s="2">
        <v>4016</v>
      </c>
      <c r="B706" s="2" t="s">
        <v>1268</v>
      </c>
      <c r="C706" s="2" t="s">
        <v>1269</v>
      </c>
      <c r="D706" s="2" t="s">
        <v>89</v>
      </c>
      <c r="E706" s="2" t="s">
        <v>20</v>
      </c>
      <c r="F706" s="2">
        <v>2019</v>
      </c>
      <c r="G706" s="2">
        <v>2024</v>
      </c>
      <c r="H706" s="2">
        <f>'mpi_dataset_summary_2017-2024'!$G706-'mpi_dataset_summary_2017-2024'!$F706+1</f>
        <v>6</v>
      </c>
      <c r="I706" s="2" t="s">
        <v>2112</v>
      </c>
      <c r="J706" s="2" t="s">
        <v>2113</v>
      </c>
      <c r="K706" s="2">
        <f>IF('mpi_dataset_summary_2017-2024'!$G706=2024,1,0)</f>
        <v>1</v>
      </c>
      <c r="L706" s="2">
        <f t="shared" ref="L706:L769" si="22">IF(J706="Under Construction",1,0)</f>
        <v>0</v>
      </c>
      <c r="M706" s="2">
        <v>508.7</v>
      </c>
      <c r="N706" s="2">
        <f t="shared" ref="N706:N769" si="23">_xlfn.PERCENTRANK.INC($M$2:$M$4056,M706)</f>
        <v>0.69099999999999995</v>
      </c>
      <c r="O706" s="2" t="s">
        <v>2114</v>
      </c>
      <c r="P706" s="2" t="s">
        <v>2114</v>
      </c>
      <c r="Q706" s="2" t="s">
        <v>2107</v>
      </c>
      <c r="R706" s="3" t="s">
        <v>33</v>
      </c>
      <c r="S706" s="2" t="s">
        <v>25</v>
      </c>
      <c r="T706" s="2" t="s">
        <v>34</v>
      </c>
    </row>
    <row r="707" spans="1:20" x14ac:dyDescent="0.2">
      <c r="A707" s="2">
        <v>4018</v>
      </c>
      <c r="B707" s="2" t="s">
        <v>1270</v>
      </c>
      <c r="C707" s="2" t="s">
        <v>1271</v>
      </c>
      <c r="D707" s="2" t="s">
        <v>69</v>
      </c>
      <c r="E707" s="2" t="s">
        <v>20</v>
      </c>
      <c r="F707" s="2">
        <v>2019</v>
      </c>
      <c r="G707" s="2">
        <v>2019</v>
      </c>
      <c r="H707" s="2">
        <f>'mpi_dataset_summary_2017-2024'!$G707-'mpi_dataset_summary_2017-2024'!$F707+1</f>
        <v>1</v>
      </c>
      <c r="I707" s="2" t="s">
        <v>2111</v>
      </c>
      <c r="J707" s="2" t="s">
        <v>2111</v>
      </c>
      <c r="K707" s="2">
        <f>IF('mpi_dataset_summary_2017-2024'!$G707=2024,1,0)</f>
        <v>0</v>
      </c>
      <c r="L707" s="2">
        <f t="shared" si="22"/>
        <v>0</v>
      </c>
      <c r="M707" s="2">
        <v>70</v>
      </c>
      <c r="N707" s="2">
        <f t="shared" si="23"/>
        <v>0.27600000000000002</v>
      </c>
      <c r="O707" s="2">
        <v>49.233899999999998</v>
      </c>
      <c r="P707" s="2">
        <v>-124.80549999999999</v>
      </c>
      <c r="Q707" s="2" t="s">
        <v>2109</v>
      </c>
      <c r="R707" s="3" t="s">
        <v>51</v>
      </c>
      <c r="S707" s="2" t="s">
        <v>22</v>
      </c>
      <c r="T707" s="2" t="s">
        <v>52</v>
      </c>
    </row>
    <row r="708" spans="1:20" x14ac:dyDescent="0.2">
      <c r="A708" s="2">
        <v>4019</v>
      </c>
      <c r="B708" s="2" t="s">
        <v>1272</v>
      </c>
      <c r="C708" s="2" t="s">
        <v>1273</v>
      </c>
      <c r="D708" s="2" t="s">
        <v>69</v>
      </c>
      <c r="E708" s="2" t="s">
        <v>20</v>
      </c>
      <c r="F708" s="2">
        <v>2019</v>
      </c>
      <c r="G708" s="2">
        <v>2020</v>
      </c>
      <c r="H708" s="2">
        <f>'mpi_dataset_summary_2017-2024'!$G708-'mpi_dataset_summary_2017-2024'!$F708+1</f>
        <v>2</v>
      </c>
      <c r="I708" s="2" t="s">
        <v>2111</v>
      </c>
      <c r="J708" s="2" t="s">
        <v>2111</v>
      </c>
      <c r="K708" s="2">
        <f>IF('mpi_dataset_summary_2017-2024'!$G708=2024,1,0)</f>
        <v>0</v>
      </c>
      <c r="L708" s="2">
        <f t="shared" si="22"/>
        <v>0</v>
      </c>
      <c r="M708" s="2">
        <v>35</v>
      </c>
      <c r="N708" s="2">
        <f t="shared" si="23"/>
        <v>0.158</v>
      </c>
      <c r="O708" s="2">
        <v>49.323700000000002</v>
      </c>
      <c r="P708" s="2">
        <v>-117.6593</v>
      </c>
      <c r="Q708" s="2" t="s">
        <v>2109</v>
      </c>
      <c r="R708" s="3" t="s">
        <v>60</v>
      </c>
      <c r="S708" s="2" t="s">
        <v>25</v>
      </c>
      <c r="T708" s="2" t="s">
        <v>61</v>
      </c>
    </row>
    <row r="709" spans="1:20" x14ac:dyDescent="0.2">
      <c r="A709" s="2">
        <v>4020</v>
      </c>
      <c r="B709" s="2" t="s">
        <v>1086</v>
      </c>
      <c r="C709" s="2" t="s">
        <v>1274</v>
      </c>
      <c r="D709" s="2" t="s">
        <v>89</v>
      </c>
      <c r="E709" s="2" t="s">
        <v>20</v>
      </c>
      <c r="F709" s="2">
        <v>2019</v>
      </c>
      <c r="G709" s="2">
        <v>2020</v>
      </c>
      <c r="H709" s="2">
        <f>'mpi_dataset_summary_2017-2024'!$G709-'mpi_dataset_summary_2017-2024'!$F709+1</f>
        <v>2</v>
      </c>
      <c r="I709" s="2" t="s">
        <v>2111</v>
      </c>
      <c r="J709" s="2" t="s">
        <v>2110</v>
      </c>
      <c r="K709" s="2">
        <f>IF('mpi_dataset_summary_2017-2024'!$G709=2024,1,0)</f>
        <v>0</v>
      </c>
      <c r="L709" s="2">
        <f t="shared" si="22"/>
        <v>1</v>
      </c>
      <c r="M709" s="2">
        <v>575</v>
      </c>
      <c r="N709" s="2">
        <f t="shared" si="23"/>
        <v>0.70699999999999996</v>
      </c>
      <c r="O709" s="2">
        <v>45.404200000000003</v>
      </c>
      <c r="P709" s="2">
        <v>-71.892899999999997</v>
      </c>
      <c r="Q709" s="2" t="s">
        <v>2109</v>
      </c>
      <c r="R709" s="3" t="s">
        <v>58</v>
      </c>
      <c r="S709" s="2" t="s">
        <v>22</v>
      </c>
      <c r="T709" s="2" t="s">
        <v>59</v>
      </c>
    </row>
    <row r="710" spans="1:20" x14ac:dyDescent="0.2">
      <c r="A710" s="2">
        <v>4021</v>
      </c>
      <c r="B710" s="2" t="s">
        <v>1275</v>
      </c>
      <c r="C710" s="2" t="s">
        <v>746</v>
      </c>
      <c r="D710" s="2" t="s">
        <v>69</v>
      </c>
      <c r="E710" s="2" t="s">
        <v>20</v>
      </c>
      <c r="F710" s="2">
        <v>2019</v>
      </c>
      <c r="G710" s="2">
        <v>2024</v>
      </c>
      <c r="H710" s="2">
        <f>'mpi_dataset_summary_2017-2024'!$G710-'mpi_dataset_summary_2017-2024'!$F710+1</f>
        <v>6</v>
      </c>
      <c r="I710" s="2" t="s">
        <v>2111</v>
      </c>
      <c r="J710" s="2" t="s">
        <v>2111</v>
      </c>
      <c r="K710" s="2">
        <f>IF('mpi_dataset_summary_2017-2024'!$G710=2024,1,0)</f>
        <v>1</v>
      </c>
      <c r="L710" s="2">
        <f t="shared" si="22"/>
        <v>0</v>
      </c>
      <c r="M710" s="2">
        <v>35</v>
      </c>
      <c r="N710" s="2">
        <f t="shared" si="23"/>
        <v>0.158</v>
      </c>
      <c r="O710" s="2">
        <v>50.447699999999998</v>
      </c>
      <c r="P710" s="2">
        <v>-119.197</v>
      </c>
      <c r="Q710" s="2" t="s">
        <v>2109</v>
      </c>
      <c r="R710" s="3" t="s">
        <v>58</v>
      </c>
      <c r="S710" s="2" t="s">
        <v>22</v>
      </c>
      <c r="T710" s="2" t="s">
        <v>59</v>
      </c>
    </row>
    <row r="711" spans="1:20" x14ac:dyDescent="0.2">
      <c r="A711" s="2">
        <v>4022</v>
      </c>
      <c r="B711" s="2" t="s">
        <v>1183</v>
      </c>
      <c r="C711" s="2" t="s">
        <v>746</v>
      </c>
      <c r="D711" s="2" t="s">
        <v>69</v>
      </c>
      <c r="E711" s="2" t="s">
        <v>20</v>
      </c>
      <c r="F711" s="2">
        <v>2019</v>
      </c>
      <c r="G711" s="2">
        <v>2020</v>
      </c>
      <c r="H711" s="2">
        <f>'mpi_dataset_summary_2017-2024'!$G711-'mpi_dataset_summary_2017-2024'!$F711+1</f>
        <v>2</v>
      </c>
      <c r="I711" s="2" t="s">
        <v>2111</v>
      </c>
      <c r="J711" s="2" t="s">
        <v>2111</v>
      </c>
      <c r="K711" s="2">
        <f>IF('mpi_dataset_summary_2017-2024'!$G711=2024,1,0)</f>
        <v>0</v>
      </c>
      <c r="L711" s="2">
        <f t="shared" si="22"/>
        <v>0</v>
      </c>
      <c r="M711" s="2">
        <v>20</v>
      </c>
      <c r="N711" s="2">
        <f t="shared" si="23"/>
        <v>8.8999999999999996E-2</v>
      </c>
      <c r="O711" s="2">
        <v>54.5182</v>
      </c>
      <c r="P711" s="2">
        <v>-128.60319999999999</v>
      </c>
      <c r="Q711" s="2" t="s">
        <v>2109</v>
      </c>
      <c r="R711" s="3" t="s">
        <v>58</v>
      </c>
      <c r="S711" s="2" t="s">
        <v>22</v>
      </c>
      <c r="T711" s="2" t="s">
        <v>59</v>
      </c>
    </row>
    <row r="712" spans="1:20" x14ac:dyDescent="0.2">
      <c r="A712" s="2">
        <v>4024</v>
      </c>
      <c r="B712" s="2" t="s">
        <v>1276</v>
      </c>
      <c r="C712" s="2" t="s">
        <v>1277</v>
      </c>
      <c r="D712" s="2" t="s">
        <v>83</v>
      </c>
      <c r="E712" s="2" t="s">
        <v>20</v>
      </c>
      <c r="F712" s="2">
        <v>2019</v>
      </c>
      <c r="G712" s="2">
        <v>2023</v>
      </c>
      <c r="H712" s="2">
        <f>'mpi_dataset_summary_2017-2024'!$G712-'mpi_dataset_summary_2017-2024'!$F712+1</f>
        <v>5</v>
      </c>
      <c r="I712" s="2" t="s">
        <v>2111</v>
      </c>
      <c r="J712" s="2" t="s">
        <v>2111</v>
      </c>
      <c r="K712" s="2">
        <f>IF('mpi_dataset_summary_2017-2024'!$G712=2024,1,0)</f>
        <v>0</v>
      </c>
      <c r="L712" s="2">
        <f t="shared" si="22"/>
        <v>0</v>
      </c>
      <c r="M712" s="2">
        <v>19.7</v>
      </c>
      <c r="N712" s="2">
        <f t="shared" si="23"/>
        <v>8.7999999999999995E-2</v>
      </c>
      <c r="O712" s="2">
        <v>50.616</v>
      </c>
      <c r="P712" s="2">
        <v>-57.1511</v>
      </c>
      <c r="Q712" s="2" t="s">
        <v>2109</v>
      </c>
      <c r="R712" s="3" t="s">
        <v>41</v>
      </c>
      <c r="S712" s="2" t="s">
        <v>25</v>
      </c>
      <c r="T712" s="2" t="s">
        <v>57</v>
      </c>
    </row>
    <row r="713" spans="1:20" x14ac:dyDescent="0.2">
      <c r="A713" s="2">
        <v>4025</v>
      </c>
      <c r="B713" s="2" t="s">
        <v>1278</v>
      </c>
      <c r="C713" s="2" t="s">
        <v>1279</v>
      </c>
      <c r="D713" s="2" t="s">
        <v>89</v>
      </c>
      <c r="E713" s="2" t="s">
        <v>20</v>
      </c>
      <c r="F713" s="2">
        <v>2019</v>
      </c>
      <c r="G713" s="2">
        <v>2019</v>
      </c>
      <c r="H713" s="2">
        <f>'mpi_dataset_summary_2017-2024'!$G713-'mpi_dataset_summary_2017-2024'!$F713+1</f>
        <v>1</v>
      </c>
      <c r="I713" s="2" t="s">
        <v>2111</v>
      </c>
      <c r="J713" s="2" t="s">
        <v>2111</v>
      </c>
      <c r="K713" s="2">
        <f>IF('mpi_dataset_summary_2017-2024'!$G713=2024,1,0)</f>
        <v>0</v>
      </c>
      <c r="L713" s="2">
        <f t="shared" si="22"/>
        <v>0</v>
      </c>
      <c r="M713" s="2">
        <v>97</v>
      </c>
      <c r="N713" s="2">
        <f t="shared" si="23"/>
        <v>0.34100000000000003</v>
      </c>
      <c r="O713" s="2">
        <v>49.782200000000003</v>
      </c>
      <c r="P713" s="2">
        <v>-74.852500000000006</v>
      </c>
      <c r="Q713" s="2" t="s">
        <v>2109</v>
      </c>
      <c r="R713" s="3" t="s">
        <v>41</v>
      </c>
      <c r="S713" s="2" t="s">
        <v>25</v>
      </c>
      <c r="T713" s="2" t="s">
        <v>57</v>
      </c>
    </row>
    <row r="714" spans="1:20" x14ac:dyDescent="0.2">
      <c r="A714" s="2">
        <v>4026</v>
      </c>
      <c r="B714" s="2" t="s">
        <v>1181</v>
      </c>
      <c r="C714" s="2" t="s">
        <v>746</v>
      </c>
      <c r="D714" s="2" t="s">
        <v>161</v>
      </c>
      <c r="E714" s="2" t="s">
        <v>20</v>
      </c>
      <c r="F714" s="2">
        <v>2019</v>
      </c>
      <c r="G714" s="2">
        <v>2023</v>
      </c>
      <c r="H714" s="2">
        <f>'mpi_dataset_summary_2017-2024'!$G714-'mpi_dataset_summary_2017-2024'!$F714+1</f>
        <v>5</v>
      </c>
      <c r="I714" s="2" t="s">
        <v>2110</v>
      </c>
      <c r="J714" s="2" t="s">
        <v>2110</v>
      </c>
      <c r="K714" s="2">
        <f>IF('mpi_dataset_summary_2017-2024'!$G714=2024,1,0)</f>
        <v>0</v>
      </c>
      <c r="L714" s="2">
        <f t="shared" si="22"/>
        <v>1</v>
      </c>
      <c r="M714" s="2">
        <v>29</v>
      </c>
      <c r="N714" s="2">
        <f t="shared" si="23"/>
        <v>0.14299999999999999</v>
      </c>
      <c r="O714" s="2">
        <v>48.380899999999997</v>
      </c>
      <c r="P714" s="2">
        <v>-89.247699999999995</v>
      </c>
      <c r="Q714" s="2" t="s">
        <v>2109</v>
      </c>
      <c r="R714" s="3" t="s">
        <v>58</v>
      </c>
      <c r="S714" s="2" t="s">
        <v>22</v>
      </c>
      <c r="T714" s="2" t="s">
        <v>59</v>
      </c>
    </row>
    <row r="715" spans="1:20" x14ac:dyDescent="0.2">
      <c r="A715" s="2">
        <v>4028</v>
      </c>
      <c r="B715" s="2" t="s">
        <v>1280</v>
      </c>
      <c r="C715" s="2" t="s">
        <v>1281</v>
      </c>
      <c r="D715" s="2" t="s">
        <v>89</v>
      </c>
      <c r="E715" s="2" t="s">
        <v>20</v>
      </c>
      <c r="F715" s="2">
        <v>2019</v>
      </c>
      <c r="G715" s="2">
        <v>2022</v>
      </c>
      <c r="H715" s="2">
        <f>'mpi_dataset_summary_2017-2024'!$G715-'mpi_dataset_summary_2017-2024'!$F715+1</f>
        <v>4</v>
      </c>
      <c r="I715" s="2" t="s">
        <v>2111</v>
      </c>
      <c r="J715" s="2" t="s">
        <v>2111</v>
      </c>
      <c r="K715" s="2">
        <f>IF('mpi_dataset_summary_2017-2024'!$G715=2024,1,0)</f>
        <v>0</v>
      </c>
      <c r="L715" s="2">
        <f t="shared" si="22"/>
        <v>0</v>
      </c>
      <c r="M715" s="2">
        <v>27</v>
      </c>
      <c r="N715" s="2">
        <f t="shared" si="23"/>
        <v>0.13800000000000001</v>
      </c>
      <c r="O715" s="2">
        <v>48.655230709999998</v>
      </c>
      <c r="P715" s="2">
        <v>-67.467514800000004</v>
      </c>
      <c r="Q715" s="2" t="s">
        <v>2109</v>
      </c>
      <c r="R715" s="3" t="s">
        <v>51</v>
      </c>
      <c r="S715" s="2" t="s">
        <v>22</v>
      </c>
      <c r="T715" s="2" t="s">
        <v>52</v>
      </c>
    </row>
    <row r="716" spans="1:20" x14ac:dyDescent="0.2">
      <c r="A716" s="2">
        <v>4029</v>
      </c>
      <c r="B716" s="2" t="s">
        <v>1282</v>
      </c>
      <c r="C716" s="2" t="s">
        <v>1281</v>
      </c>
      <c r="D716" s="2" t="s">
        <v>89</v>
      </c>
      <c r="E716" s="2" t="s">
        <v>20</v>
      </c>
      <c r="F716" s="2">
        <v>2019</v>
      </c>
      <c r="G716" s="2">
        <v>2022</v>
      </c>
      <c r="H716" s="2">
        <f>'mpi_dataset_summary_2017-2024'!$G716-'mpi_dataset_summary_2017-2024'!$F716+1</f>
        <v>4</v>
      </c>
      <c r="I716" s="2" t="s">
        <v>2111</v>
      </c>
      <c r="J716" s="2" t="s">
        <v>2110</v>
      </c>
      <c r="K716" s="2">
        <f>IF('mpi_dataset_summary_2017-2024'!$G716=2024,1,0)</f>
        <v>0</v>
      </c>
      <c r="L716" s="2">
        <f t="shared" si="22"/>
        <v>1</v>
      </c>
      <c r="M716" s="2">
        <v>23</v>
      </c>
      <c r="N716" s="2">
        <f t="shared" si="23"/>
        <v>0.11700000000000001</v>
      </c>
      <c r="O716" s="2">
        <v>48.800096000000003</v>
      </c>
      <c r="P716" s="2">
        <v>-79.201021999999995</v>
      </c>
      <c r="Q716" s="2" t="s">
        <v>2109</v>
      </c>
      <c r="R716" s="3" t="s">
        <v>51</v>
      </c>
      <c r="S716" s="2" t="s">
        <v>22</v>
      </c>
      <c r="T716" s="2" t="s">
        <v>52</v>
      </c>
    </row>
    <row r="717" spans="1:20" x14ac:dyDescent="0.2">
      <c r="A717" s="2">
        <v>4030</v>
      </c>
      <c r="B717" s="2" t="s">
        <v>1283</v>
      </c>
      <c r="C717" s="2" t="s">
        <v>1284</v>
      </c>
      <c r="D717" s="2" t="s">
        <v>69</v>
      </c>
      <c r="E717" s="2" t="s">
        <v>20</v>
      </c>
      <c r="F717" s="2">
        <v>2019</v>
      </c>
      <c r="G717" s="2">
        <v>2024</v>
      </c>
      <c r="H717" s="2">
        <f>'mpi_dataset_summary_2017-2024'!$G717-'mpi_dataset_summary_2017-2024'!$F717+1</f>
        <v>6</v>
      </c>
      <c r="I717" s="2" t="s">
        <v>2111</v>
      </c>
      <c r="J717" s="2" t="s">
        <v>2110</v>
      </c>
      <c r="K717" s="2">
        <f>IF('mpi_dataset_summary_2017-2024'!$G717=2024,1,0)</f>
        <v>1</v>
      </c>
      <c r="L717" s="2">
        <f t="shared" si="22"/>
        <v>1</v>
      </c>
      <c r="M717" s="2">
        <v>50</v>
      </c>
      <c r="N717" s="2">
        <f t="shared" si="23"/>
        <v>0.214</v>
      </c>
      <c r="O717" s="2">
        <v>55.256799999999998</v>
      </c>
      <c r="P717" s="2">
        <v>-127.672</v>
      </c>
      <c r="Q717" s="2" t="s">
        <v>2109</v>
      </c>
      <c r="R717" s="3" t="s">
        <v>41</v>
      </c>
      <c r="S717" s="2" t="s">
        <v>25</v>
      </c>
      <c r="T717" s="2" t="s">
        <v>57</v>
      </c>
    </row>
    <row r="718" spans="1:20" x14ac:dyDescent="0.2">
      <c r="A718" s="2">
        <v>4031</v>
      </c>
      <c r="B718" s="2" t="s">
        <v>1285</v>
      </c>
      <c r="C718" s="2" t="s">
        <v>746</v>
      </c>
      <c r="D718" s="2" t="s">
        <v>89</v>
      </c>
      <c r="E718" s="2" t="s">
        <v>20</v>
      </c>
      <c r="F718" s="2">
        <v>2019</v>
      </c>
      <c r="G718" s="2">
        <v>2020</v>
      </c>
      <c r="H718" s="2">
        <f>'mpi_dataset_summary_2017-2024'!$G718-'mpi_dataset_summary_2017-2024'!$F718+1</f>
        <v>2</v>
      </c>
      <c r="I718" s="2" t="s">
        <v>2111</v>
      </c>
      <c r="J718" s="2" t="s">
        <v>2111</v>
      </c>
      <c r="K718" s="2">
        <f>IF('mpi_dataset_summary_2017-2024'!$G718=2024,1,0)</f>
        <v>0</v>
      </c>
      <c r="L718" s="2">
        <f t="shared" si="22"/>
        <v>0</v>
      </c>
      <c r="M718" s="2">
        <v>38.5</v>
      </c>
      <c r="N718" s="2">
        <f t="shared" si="23"/>
        <v>0.17599999999999999</v>
      </c>
      <c r="O718" s="2">
        <v>48.098700000000001</v>
      </c>
      <c r="P718" s="2" t="s">
        <v>2114</v>
      </c>
      <c r="Q718" s="2" t="s">
        <v>2109</v>
      </c>
      <c r="R718" s="3" t="s">
        <v>58</v>
      </c>
      <c r="S718" s="2" t="s">
        <v>22</v>
      </c>
      <c r="T718" s="2" t="s">
        <v>59</v>
      </c>
    </row>
    <row r="719" spans="1:20" x14ac:dyDescent="0.2">
      <c r="A719" s="2">
        <v>4032</v>
      </c>
      <c r="B719" s="2" t="s">
        <v>1086</v>
      </c>
      <c r="C719" s="2" t="s">
        <v>1286</v>
      </c>
      <c r="D719" s="2" t="s">
        <v>89</v>
      </c>
      <c r="E719" s="2" t="s">
        <v>20</v>
      </c>
      <c r="F719" s="2">
        <v>2019</v>
      </c>
      <c r="G719" s="2">
        <v>2020</v>
      </c>
      <c r="H719" s="2">
        <f>'mpi_dataset_summary_2017-2024'!$G719-'mpi_dataset_summary_2017-2024'!$F719+1</f>
        <v>2</v>
      </c>
      <c r="I719" s="2" t="s">
        <v>2111</v>
      </c>
      <c r="J719" s="2" t="s">
        <v>2111</v>
      </c>
      <c r="K719" s="2">
        <f>IF('mpi_dataset_summary_2017-2024'!$G719=2024,1,0)</f>
        <v>0</v>
      </c>
      <c r="L719" s="2">
        <f t="shared" si="22"/>
        <v>0</v>
      </c>
      <c r="M719" s="2">
        <v>20</v>
      </c>
      <c r="N719" s="2">
        <f t="shared" si="23"/>
        <v>8.8999999999999996E-2</v>
      </c>
      <c r="O719" s="2">
        <v>45.5017</v>
      </c>
      <c r="P719" s="2">
        <v>-73.567300000000003</v>
      </c>
      <c r="Q719" s="2" t="s">
        <v>2109</v>
      </c>
      <c r="R719" s="3" t="s">
        <v>41</v>
      </c>
      <c r="S719" s="2" t="s">
        <v>25</v>
      </c>
      <c r="T719" s="2" t="s">
        <v>57</v>
      </c>
    </row>
    <row r="720" spans="1:20" x14ac:dyDescent="0.2">
      <c r="A720" s="2">
        <v>4033</v>
      </c>
      <c r="B720" s="2" t="s">
        <v>1287</v>
      </c>
      <c r="C720" s="2" t="s">
        <v>1288</v>
      </c>
      <c r="D720" s="2" t="s">
        <v>83</v>
      </c>
      <c r="E720" s="2" t="s">
        <v>20</v>
      </c>
      <c r="F720" s="2">
        <v>2019</v>
      </c>
      <c r="G720" s="2">
        <v>2020</v>
      </c>
      <c r="H720" s="2">
        <f>'mpi_dataset_summary_2017-2024'!$G720-'mpi_dataset_summary_2017-2024'!$F720+1</f>
        <v>2</v>
      </c>
      <c r="I720" s="2" t="s">
        <v>2112</v>
      </c>
      <c r="J720" s="2" t="s">
        <v>2112</v>
      </c>
      <c r="K720" s="2">
        <f>IF('mpi_dataset_summary_2017-2024'!$G720=2024,1,0)</f>
        <v>0</v>
      </c>
      <c r="L720" s="2">
        <f t="shared" si="22"/>
        <v>0</v>
      </c>
      <c r="M720" s="2">
        <v>2000</v>
      </c>
      <c r="N720" s="2">
        <f t="shared" si="23"/>
        <v>0.89400000000000002</v>
      </c>
      <c r="O720" s="2">
        <v>46.45026</v>
      </c>
      <c r="P720" s="2">
        <v>-48.469760000000001</v>
      </c>
      <c r="Q720" s="2" t="s">
        <v>2108</v>
      </c>
      <c r="R720" s="3" t="s">
        <v>41</v>
      </c>
      <c r="S720" s="2" t="s">
        <v>25</v>
      </c>
      <c r="T720" s="2" t="s">
        <v>46</v>
      </c>
    </row>
    <row r="721" spans="1:20" x14ac:dyDescent="0.2">
      <c r="A721" s="2">
        <v>4034</v>
      </c>
      <c r="B721" s="2" t="s">
        <v>1289</v>
      </c>
      <c r="C721" s="2" t="s">
        <v>1290</v>
      </c>
      <c r="D721" s="2" t="s">
        <v>66</v>
      </c>
      <c r="E721" s="2" t="s">
        <v>20</v>
      </c>
      <c r="F721" s="2">
        <v>2019</v>
      </c>
      <c r="G721" s="2">
        <v>2021</v>
      </c>
      <c r="H721" s="2">
        <f>'mpi_dataset_summary_2017-2024'!$G721-'mpi_dataset_summary_2017-2024'!$F721+1</f>
        <v>3</v>
      </c>
      <c r="I721" s="2" t="s">
        <v>2112</v>
      </c>
      <c r="J721" s="2" t="s">
        <v>2110</v>
      </c>
      <c r="K721" s="2">
        <f>IF('mpi_dataset_summary_2017-2024'!$G721=2024,1,0)</f>
        <v>0</v>
      </c>
      <c r="L721" s="2">
        <f t="shared" si="22"/>
        <v>1</v>
      </c>
      <c r="M721" s="2">
        <v>2400</v>
      </c>
      <c r="N721" s="2">
        <f t="shared" si="23"/>
        <v>0.90800000000000003</v>
      </c>
      <c r="O721" s="2">
        <v>52.362087000000002</v>
      </c>
      <c r="P721" s="2">
        <v>-114.91057600000001</v>
      </c>
      <c r="Q721" s="2" t="s">
        <v>2108</v>
      </c>
      <c r="R721" s="3" t="s">
        <v>41</v>
      </c>
      <c r="S721" s="2" t="s">
        <v>25</v>
      </c>
      <c r="T721" s="2" t="s">
        <v>46</v>
      </c>
    </row>
    <row r="722" spans="1:20" x14ac:dyDescent="0.2">
      <c r="A722" s="2">
        <v>4035</v>
      </c>
      <c r="B722" s="2" t="s">
        <v>1289</v>
      </c>
      <c r="C722" s="2" t="s">
        <v>1291</v>
      </c>
      <c r="D722" s="2" t="s">
        <v>66</v>
      </c>
      <c r="E722" s="2" t="s">
        <v>20</v>
      </c>
      <c r="F722" s="2">
        <v>2019</v>
      </c>
      <c r="G722" s="2">
        <v>2022</v>
      </c>
      <c r="H722" s="2">
        <f>'mpi_dataset_summary_2017-2024'!$G722-'mpi_dataset_summary_2017-2024'!$F722+1</f>
        <v>4</v>
      </c>
      <c r="I722" s="2" t="s">
        <v>2112</v>
      </c>
      <c r="J722" s="2" t="s">
        <v>2110</v>
      </c>
      <c r="K722" s="2">
        <f>IF('mpi_dataset_summary_2017-2024'!$G722=2024,1,0)</f>
        <v>0</v>
      </c>
      <c r="L722" s="2">
        <f t="shared" si="22"/>
        <v>1</v>
      </c>
      <c r="M722" s="2">
        <v>1400</v>
      </c>
      <c r="N722" s="2">
        <f t="shared" si="23"/>
        <v>0.85699999999999998</v>
      </c>
      <c r="O722" s="2">
        <v>52.082813000000002</v>
      </c>
      <c r="P722" s="2">
        <v>-115.015467</v>
      </c>
      <c r="Q722" s="2" t="s">
        <v>2108</v>
      </c>
      <c r="R722" s="3" t="s">
        <v>35</v>
      </c>
      <c r="S722" s="2" t="s">
        <v>22</v>
      </c>
      <c r="T722" s="2" t="s">
        <v>36</v>
      </c>
    </row>
    <row r="723" spans="1:20" x14ac:dyDescent="0.2">
      <c r="A723" s="2">
        <v>4036</v>
      </c>
      <c r="B723" s="2" t="s">
        <v>1292</v>
      </c>
      <c r="C723" s="2" t="s">
        <v>1293</v>
      </c>
      <c r="D723" s="2" t="s">
        <v>89</v>
      </c>
      <c r="E723" s="2" t="s">
        <v>20</v>
      </c>
      <c r="F723" s="2">
        <v>2019</v>
      </c>
      <c r="G723" s="2">
        <v>2020</v>
      </c>
      <c r="H723" s="2">
        <f>'mpi_dataset_summary_2017-2024'!$G723-'mpi_dataset_summary_2017-2024'!$F723+1</f>
        <v>2</v>
      </c>
      <c r="I723" s="2" t="s">
        <v>2111</v>
      </c>
      <c r="J723" s="2" t="s">
        <v>2111</v>
      </c>
      <c r="K723" s="2">
        <f>IF('mpi_dataset_summary_2017-2024'!$G723=2024,1,0)</f>
        <v>0</v>
      </c>
      <c r="L723" s="2">
        <f t="shared" si="22"/>
        <v>0</v>
      </c>
      <c r="M723" s="2">
        <v>321</v>
      </c>
      <c r="N723" s="2">
        <f t="shared" si="23"/>
        <v>0.58899999999999997</v>
      </c>
      <c r="O723" s="2">
        <v>49.835624000000003</v>
      </c>
      <c r="P723" s="2">
        <v>-74.023701000000003</v>
      </c>
      <c r="Q723" s="2" t="s">
        <v>2107</v>
      </c>
      <c r="R723" s="3" t="s">
        <v>33</v>
      </c>
      <c r="S723" s="2" t="s">
        <v>25</v>
      </c>
      <c r="T723" s="2" t="s">
        <v>34</v>
      </c>
    </row>
    <row r="724" spans="1:20" x14ac:dyDescent="0.2">
      <c r="A724" s="2">
        <v>4037</v>
      </c>
      <c r="B724" s="2" t="s">
        <v>1294</v>
      </c>
      <c r="C724" s="2" t="s">
        <v>1295</v>
      </c>
      <c r="D724" s="2" t="s">
        <v>89</v>
      </c>
      <c r="E724" s="2" t="s">
        <v>20</v>
      </c>
      <c r="F724" s="2">
        <v>2019</v>
      </c>
      <c r="G724" s="2">
        <v>2022</v>
      </c>
      <c r="H724" s="2">
        <f>'mpi_dataset_summary_2017-2024'!$G724-'mpi_dataset_summary_2017-2024'!$F724+1</f>
        <v>4</v>
      </c>
      <c r="I724" s="2" t="s">
        <v>2111</v>
      </c>
      <c r="J724" s="2" t="s">
        <v>2111</v>
      </c>
      <c r="K724" s="2">
        <f>IF('mpi_dataset_summary_2017-2024'!$G724=2024,1,0)</f>
        <v>0</v>
      </c>
      <c r="L724" s="2">
        <f t="shared" si="22"/>
        <v>0</v>
      </c>
      <c r="M724" s="2">
        <v>390</v>
      </c>
      <c r="N724" s="2">
        <f t="shared" si="23"/>
        <v>0.63200000000000001</v>
      </c>
      <c r="O724" s="2">
        <v>49.843449</v>
      </c>
      <c r="P724" s="2">
        <v>-74.661342000000005</v>
      </c>
      <c r="Q724" s="2" t="s">
        <v>2107</v>
      </c>
      <c r="R724" s="3" t="s">
        <v>41</v>
      </c>
      <c r="S724" s="2" t="s">
        <v>22</v>
      </c>
      <c r="T724" s="2" t="s">
        <v>42</v>
      </c>
    </row>
    <row r="725" spans="1:20" x14ac:dyDescent="0.2">
      <c r="A725" s="2">
        <v>4038</v>
      </c>
      <c r="B725" s="2" t="s">
        <v>1296</v>
      </c>
      <c r="C725" s="2" t="s">
        <v>1297</v>
      </c>
      <c r="D725" s="2" t="s">
        <v>89</v>
      </c>
      <c r="E725" s="2" t="s">
        <v>20</v>
      </c>
      <c r="F725" s="2">
        <v>2019</v>
      </c>
      <c r="G725" s="2">
        <v>2020</v>
      </c>
      <c r="H725" s="2">
        <f>'mpi_dataset_summary_2017-2024'!$G725-'mpi_dataset_summary_2017-2024'!$F725+1</f>
        <v>2</v>
      </c>
      <c r="I725" s="2" t="s">
        <v>2111</v>
      </c>
      <c r="J725" s="2" t="s">
        <v>2111</v>
      </c>
      <c r="K725" s="2">
        <f>IF('mpi_dataset_summary_2017-2024'!$G725=2024,1,0)</f>
        <v>0</v>
      </c>
      <c r="L725" s="2">
        <f t="shared" si="22"/>
        <v>0</v>
      </c>
      <c r="M725" s="2">
        <v>763</v>
      </c>
      <c r="N725" s="2">
        <f t="shared" si="23"/>
        <v>0.76700000000000002</v>
      </c>
      <c r="O725" s="2">
        <v>50.212809</v>
      </c>
      <c r="P725" s="2">
        <v>-66.376109</v>
      </c>
      <c r="Q725" s="2" t="s">
        <v>2107</v>
      </c>
      <c r="R725" s="3" t="s">
        <v>33</v>
      </c>
      <c r="S725" s="2" t="s">
        <v>25</v>
      </c>
      <c r="T725" s="2" t="s">
        <v>34</v>
      </c>
    </row>
    <row r="726" spans="1:20" x14ac:dyDescent="0.2">
      <c r="A726" s="2">
        <v>4039</v>
      </c>
      <c r="B726" s="2" t="s">
        <v>1298</v>
      </c>
      <c r="C726" s="2" t="s">
        <v>1299</v>
      </c>
      <c r="D726" s="2" t="s">
        <v>89</v>
      </c>
      <c r="E726" s="2" t="s">
        <v>20</v>
      </c>
      <c r="F726" s="2">
        <v>2019</v>
      </c>
      <c r="G726" s="2">
        <v>2023</v>
      </c>
      <c r="H726" s="2">
        <f>'mpi_dataset_summary_2017-2024'!$G726-'mpi_dataset_summary_2017-2024'!$F726+1</f>
        <v>5</v>
      </c>
      <c r="I726" s="2" t="s">
        <v>2111</v>
      </c>
      <c r="J726" s="2" t="s">
        <v>2111</v>
      </c>
      <c r="K726" s="2">
        <f>IF('mpi_dataset_summary_2017-2024'!$G726=2024,1,0)</f>
        <v>0</v>
      </c>
      <c r="L726" s="2">
        <f t="shared" si="22"/>
        <v>0</v>
      </c>
      <c r="M726" s="2">
        <v>175</v>
      </c>
      <c r="N726" s="2">
        <f t="shared" si="23"/>
        <v>0.47199999999999998</v>
      </c>
      <c r="O726" s="2">
        <v>48.224088999999999</v>
      </c>
      <c r="P726" s="2">
        <v>-78.997427000000002</v>
      </c>
      <c r="Q726" s="2" t="s">
        <v>2107</v>
      </c>
      <c r="R726" s="3" t="s">
        <v>41</v>
      </c>
      <c r="S726" s="2" t="s">
        <v>22</v>
      </c>
      <c r="T726" s="2" t="s">
        <v>42</v>
      </c>
    </row>
    <row r="727" spans="1:20" x14ac:dyDescent="0.2">
      <c r="A727" s="2">
        <v>4040</v>
      </c>
      <c r="B727" s="2" t="s">
        <v>1300</v>
      </c>
      <c r="C727" s="2">
        <v>0</v>
      </c>
      <c r="D727" s="2" t="s">
        <v>89</v>
      </c>
      <c r="E727" s="2" t="s">
        <v>20</v>
      </c>
      <c r="F727" s="2">
        <v>2019</v>
      </c>
      <c r="G727" s="2">
        <v>2020</v>
      </c>
      <c r="H727" s="2">
        <f>'mpi_dataset_summary_2017-2024'!$G727-'mpi_dataset_summary_2017-2024'!$F727+1</f>
        <v>2</v>
      </c>
      <c r="I727" s="2" t="s">
        <v>2112</v>
      </c>
      <c r="J727" s="2" t="s">
        <v>2112</v>
      </c>
      <c r="K727" s="2">
        <f>IF('mpi_dataset_summary_2017-2024'!$G727=2024,1,0)</f>
        <v>0</v>
      </c>
      <c r="L727" s="2">
        <f t="shared" si="22"/>
        <v>0</v>
      </c>
      <c r="M727" s="2">
        <v>0</v>
      </c>
      <c r="N727" s="2">
        <f t="shared" si="23"/>
        <v>0</v>
      </c>
      <c r="O727" s="2">
        <v>45.4724</v>
      </c>
      <c r="P727" s="2">
        <v>-71.620800000000003</v>
      </c>
      <c r="Q727" s="2" t="s">
        <v>2109</v>
      </c>
      <c r="R727" s="3" t="s">
        <v>41</v>
      </c>
      <c r="S727" s="2" t="s">
        <v>25</v>
      </c>
      <c r="T727" s="2" t="s">
        <v>57</v>
      </c>
    </row>
    <row r="728" spans="1:20" x14ac:dyDescent="0.2">
      <c r="A728" s="2">
        <v>4041</v>
      </c>
      <c r="B728" s="2" t="s">
        <v>1301</v>
      </c>
      <c r="C728" s="2" t="s">
        <v>1302</v>
      </c>
      <c r="D728" s="2" t="s">
        <v>169</v>
      </c>
      <c r="E728" s="2" t="s">
        <v>20</v>
      </c>
      <c r="F728" s="2">
        <v>2019</v>
      </c>
      <c r="G728" s="2">
        <v>2022</v>
      </c>
      <c r="H728" s="2">
        <f>'mpi_dataset_summary_2017-2024'!$G728-'mpi_dataset_summary_2017-2024'!$F728+1</f>
        <v>4</v>
      </c>
      <c r="I728" s="2" t="s">
        <v>2111</v>
      </c>
      <c r="J728" s="2" t="s">
        <v>2112</v>
      </c>
      <c r="K728" s="2">
        <f>IF('mpi_dataset_summary_2017-2024'!$G728=2024,1,0)</f>
        <v>0</v>
      </c>
      <c r="L728" s="2">
        <f t="shared" si="22"/>
        <v>0</v>
      </c>
      <c r="M728" s="2">
        <v>5000</v>
      </c>
      <c r="N728" s="2">
        <f t="shared" si="23"/>
        <v>0.94699999999999995</v>
      </c>
      <c r="O728" s="2">
        <v>48.428255999999998</v>
      </c>
      <c r="P728" s="2">
        <v>-80.329828000000006</v>
      </c>
      <c r="Q728" s="2" t="s">
        <v>2108</v>
      </c>
      <c r="R728" s="3" t="s">
        <v>41</v>
      </c>
      <c r="S728" s="2" t="s">
        <v>25</v>
      </c>
      <c r="T728" s="2" t="s">
        <v>46</v>
      </c>
    </row>
    <row r="729" spans="1:20" x14ac:dyDescent="0.2">
      <c r="A729" s="2">
        <v>4042</v>
      </c>
      <c r="B729" s="2" t="s">
        <v>1303</v>
      </c>
      <c r="C729" s="2" t="s">
        <v>1304</v>
      </c>
      <c r="D729" s="2" t="s">
        <v>66</v>
      </c>
      <c r="E729" s="2" t="s">
        <v>20</v>
      </c>
      <c r="F729" s="2">
        <v>2019</v>
      </c>
      <c r="G729" s="2">
        <v>2019</v>
      </c>
      <c r="H729" s="2">
        <f>'mpi_dataset_summary_2017-2024'!$G729-'mpi_dataset_summary_2017-2024'!$F729+1</f>
        <v>1</v>
      </c>
      <c r="I729" s="2" t="s">
        <v>2111</v>
      </c>
      <c r="J729" s="2" t="s">
        <v>2111</v>
      </c>
      <c r="K729" s="2">
        <f>IF('mpi_dataset_summary_2017-2024'!$G729=2024,1,0)</f>
        <v>0</v>
      </c>
      <c r="L729" s="2">
        <f t="shared" si="22"/>
        <v>0</v>
      </c>
      <c r="M729" s="2">
        <v>134</v>
      </c>
      <c r="N729" s="2">
        <f t="shared" si="23"/>
        <v>0.41799999999999998</v>
      </c>
      <c r="O729" s="2">
        <v>49.526975999999998</v>
      </c>
      <c r="P729" s="2">
        <v>-113.950593</v>
      </c>
      <c r="Q729" s="2" t="s">
        <v>2108</v>
      </c>
      <c r="R729" s="3" t="s">
        <v>24</v>
      </c>
      <c r="S729" s="2" t="s">
        <v>25</v>
      </c>
      <c r="T729" s="2" t="s">
        <v>26</v>
      </c>
    </row>
    <row r="730" spans="1:20" x14ac:dyDescent="0.2">
      <c r="A730" s="2">
        <v>4043</v>
      </c>
      <c r="B730" s="2" t="s">
        <v>1303</v>
      </c>
      <c r="C730" s="2" t="s">
        <v>1305</v>
      </c>
      <c r="D730" s="2" t="s">
        <v>66</v>
      </c>
      <c r="E730" s="2" t="s">
        <v>20</v>
      </c>
      <c r="F730" s="2">
        <v>2019</v>
      </c>
      <c r="G730" s="2">
        <v>2019</v>
      </c>
      <c r="H730" s="2">
        <f>'mpi_dataset_summary_2017-2024'!$G730-'mpi_dataset_summary_2017-2024'!$F730+1</f>
        <v>1</v>
      </c>
      <c r="I730" s="2" t="s">
        <v>2111</v>
      </c>
      <c r="J730" s="2" t="s">
        <v>2111</v>
      </c>
      <c r="K730" s="2">
        <f>IF('mpi_dataset_summary_2017-2024'!$G730=2024,1,0)</f>
        <v>0</v>
      </c>
      <c r="L730" s="2">
        <f t="shared" si="22"/>
        <v>0</v>
      </c>
      <c r="M730" s="2">
        <v>0</v>
      </c>
      <c r="N730" s="2">
        <f t="shared" si="23"/>
        <v>0</v>
      </c>
      <c r="O730" s="2" t="s">
        <v>2114</v>
      </c>
      <c r="P730" s="2" t="s">
        <v>2114</v>
      </c>
      <c r="Q730" s="2" t="s">
        <v>2108</v>
      </c>
      <c r="R730" s="3" t="s">
        <v>24</v>
      </c>
      <c r="S730" s="2" t="s">
        <v>25</v>
      </c>
      <c r="T730" s="2" t="s">
        <v>26</v>
      </c>
    </row>
    <row r="731" spans="1:20" x14ac:dyDescent="0.2">
      <c r="A731" s="2">
        <v>4044</v>
      </c>
      <c r="B731" s="2" t="s">
        <v>1306</v>
      </c>
      <c r="C731" s="2" t="s">
        <v>1307</v>
      </c>
      <c r="D731" s="2" t="s">
        <v>66</v>
      </c>
      <c r="E731" s="2" t="s">
        <v>20</v>
      </c>
      <c r="F731" s="2">
        <v>2019</v>
      </c>
      <c r="G731" s="2">
        <v>2022</v>
      </c>
      <c r="H731" s="2">
        <f>'mpi_dataset_summary_2017-2024'!$G731-'mpi_dataset_summary_2017-2024'!$F731+1</f>
        <v>4</v>
      </c>
      <c r="I731" s="2" t="s">
        <v>2111</v>
      </c>
      <c r="J731" s="2" t="s">
        <v>2110</v>
      </c>
      <c r="K731" s="2">
        <f>IF('mpi_dataset_summary_2017-2024'!$G731=2024,1,0)</f>
        <v>0</v>
      </c>
      <c r="L731" s="2">
        <f t="shared" si="22"/>
        <v>1</v>
      </c>
      <c r="M731" s="2">
        <v>250</v>
      </c>
      <c r="N731" s="2">
        <f t="shared" si="23"/>
        <v>0.53500000000000003</v>
      </c>
      <c r="O731" s="2" t="s">
        <v>2114</v>
      </c>
      <c r="P731" s="2" t="s">
        <v>2114</v>
      </c>
      <c r="Q731" s="2" t="s">
        <v>2108</v>
      </c>
      <c r="R731" s="3" t="s">
        <v>24</v>
      </c>
      <c r="S731" s="2" t="s">
        <v>25</v>
      </c>
      <c r="T731" s="2" t="s">
        <v>26</v>
      </c>
    </row>
    <row r="732" spans="1:20" x14ac:dyDescent="0.2">
      <c r="A732" s="2">
        <v>4045</v>
      </c>
      <c r="B732" s="2" t="s">
        <v>1308</v>
      </c>
      <c r="C732" s="2" t="s">
        <v>1309</v>
      </c>
      <c r="D732" s="2" t="s">
        <v>66</v>
      </c>
      <c r="E732" s="2" t="s">
        <v>20</v>
      </c>
      <c r="F732" s="2">
        <v>2019</v>
      </c>
      <c r="G732" s="2">
        <v>2023</v>
      </c>
      <c r="H732" s="2">
        <f>'mpi_dataset_summary_2017-2024'!$G732-'mpi_dataset_summary_2017-2024'!$F732+1</f>
        <v>5</v>
      </c>
      <c r="I732" s="2" t="s">
        <v>2111</v>
      </c>
      <c r="J732" s="2" t="s">
        <v>2110</v>
      </c>
      <c r="K732" s="2">
        <f>IF('mpi_dataset_summary_2017-2024'!$G732=2024,1,0)</f>
        <v>0</v>
      </c>
      <c r="L732" s="2">
        <f t="shared" si="22"/>
        <v>1</v>
      </c>
      <c r="M732" s="2">
        <v>170</v>
      </c>
      <c r="N732" s="2">
        <f t="shared" si="23"/>
        <v>0.46500000000000002</v>
      </c>
      <c r="O732" s="2" t="s">
        <v>2114</v>
      </c>
      <c r="P732" s="2" t="s">
        <v>2114</v>
      </c>
      <c r="Q732" s="2" t="s">
        <v>2108</v>
      </c>
      <c r="R732" s="3" t="s">
        <v>24</v>
      </c>
      <c r="S732" s="2" t="s">
        <v>25</v>
      </c>
      <c r="T732" s="2" t="s">
        <v>26</v>
      </c>
    </row>
    <row r="733" spans="1:20" x14ac:dyDescent="0.2">
      <c r="A733" s="2">
        <v>4046</v>
      </c>
      <c r="B733" s="2" t="s">
        <v>254</v>
      </c>
      <c r="C733" s="2" t="s">
        <v>1310</v>
      </c>
      <c r="D733" s="2" t="s">
        <v>66</v>
      </c>
      <c r="E733" s="2" t="s">
        <v>20</v>
      </c>
      <c r="F733" s="2">
        <v>2019</v>
      </c>
      <c r="G733" s="2">
        <v>2023</v>
      </c>
      <c r="H733" s="2">
        <f>'mpi_dataset_summary_2017-2024'!$G733-'mpi_dataset_summary_2017-2024'!$F733+1</f>
        <v>5</v>
      </c>
      <c r="I733" s="2" t="s">
        <v>2111</v>
      </c>
      <c r="J733" s="2" t="s">
        <v>2110</v>
      </c>
      <c r="K733" s="2">
        <f>IF('mpi_dataset_summary_2017-2024'!$G733=2024,1,0)</f>
        <v>0</v>
      </c>
      <c r="L733" s="2">
        <f t="shared" si="22"/>
        <v>1</v>
      </c>
      <c r="M733" s="2">
        <v>85</v>
      </c>
      <c r="N733" s="2">
        <f t="shared" si="23"/>
        <v>0.318</v>
      </c>
      <c r="O733" s="2" t="s">
        <v>2114</v>
      </c>
      <c r="P733" s="2" t="s">
        <v>2114</v>
      </c>
      <c r="Q733" s="2" t="s">
        <v>2108</v>
      </c>
      <c r="R733" s="3" t="s">
        <v>24</v>
      </c>
      <c r="S733" s="2" t="s">
        <v>25</v>
      </c>
      <c r="T733" s="2" t="s">
        <v>26</v>
      </c>
    </row>
    <row r="734" spans="1:20" x14ac:dyDescent="0.2">
      <c r="A734" s="2">
        <v>4047</v>
      </c>
      <c r="B734" s="2" t="s">
        <v>1311</v>
      </c>
      <c r="C734" s="2" t="s">
        <v>1312</v>
      </c>
      <c r="D734" s="2" t="s">
        <v>66</v>
      </c>
      <c r="E734" s="2" t="s">
        <v>20</v>
      </c>
      <c r="F734" s="2">
        <v>2019</v>
      </c>
      <c r="G734" s="2">
        <v>2021</v>
      </c>
      <c r="H734" s="2">
        <f>'mpi_dataset_summary_2017-2024'!$G734-'mpi_dataset_summary_2017-2024'!$F734+1</f>
        <v>3</v>
      </c>
      <c r="I734" s="2" t="s">
        <v>2111</v>
      </c>
      <c r="J734" s="2" t="s">
        <v>2110</v>
      </c>
      <c r="K734" s="2">
        <f>IF('mpi_dataset_summary_2017-2024'!$G734=2024,1,0)</f>
        <v>0</v>
      </c>
      <c r="L734" s="2">
        <f t="shared" si="22"/>
        <v>1</v>
      </c>
      <c r="M734" s="2">
        <v>275</v>
      </c>
      <c r="N734" s="2">
        <f t="shared" si="23"/>
        <v>0.56299999999999994</v>
      </c>
      <c r="O734" s="2">
        <v>49.526975999999998</v>
      </c>
      <c r="P734" s="2">
        <v>-113.950593</v>
      </c>
      <c r="Q734" s="2" t="s">
        <v>2108</v>
      </c>
      <c r="R734" s="3" t="s">
        <v>24</v>
      </c>
      <c r="S734" s="2" t="s">
        <v>25</v>
      </c>
      <c r="T734" s="2" t="s">
        <v>26</v>
      </c>
    </row>
    <row r="735" spans="1:20" x14ac:dyDescent="0.2">
      <c r="A735" s="2">
        <v>4048</v>
      </c>
      <c r="B735" s="2" t="s">
        <v>1308</v>
      </c>
      <c r="C735" s="2" t="s">
        <v>1313</v>
      </c>
      <c r="D735" s="2" t="s">
        <v>66</v>
      </c>
      <c r="E735" s="2" t="s">
        <v>20</v>
      </c>
      <c r="F735" s="2">
        <v>2019</v>
      </c>
      <c r="G735" s="2">
        <v>2023</v>
      </c>
      <c r="H735" s="2">
        <f>'mpi_dataset_summary_2017-2024'!$G735-'mpi_dataset_summary_2017-2024'!$F735+1</f>
        <v>5</v>
      </c>
      <c r="I735" s="2" t="s">
        <v>2111</v>
      </c>
      <c r="J735" s="2" t="s">
        <v>2110</v>
      </c>
      <c r="K735" s="2">
        <f>IF('mpi_dataset_summary_2017-2024'!$G735=2024,1,0)</f>
        <v>0</v>
      </c>
      <c r="L735" s="2">
        <f t="shared" si="22"/>
        <v>1</v>
      </c>
      <c r="M735" s="2">
        <v>157</v>
      </c>
      <c r="N735" s="2">
        <f t="shared" si="23"/>
        <v>0.45500000000000002</v>
      </c>
      <c r="O735" s="2" t="s">
        <v>2114</v>
      </c>
      <c r="P735" s="2" t="s">
        <v>2114</v>
      </c>
      <c r="Q735" s="2" t="s">
        <v>2108</v>
      </c>
      <c r="R735" s="3" t="s">
        <v>24</v>
      </c>
      <c r="S735" s="2" t="s">
        <v>25</v>
      </c>
      <c r="T735" s="2" t="s">
        <v>26</v>
      </c>
    </row>
    <row r="736" spans="1:20" x14ac:dyDescent="0.2">
      <c r="A736" s="2">
        <v>4049</v>
      </c>
      <c r="B736" s="2" t="s">
        <v>1314</v>
      </c>
      <c r="C736" s="2" t="s">
        <v>1315</v>
      </c>
      <c r="D736" s="2" t="s">
        <v>66</v>
      </c>
      <c r="E736" s="2" t="s">
        <v>20</v>
      </c>
      <c r="F736" s="2">
        <v>2019</v>
      </c>
      <c r="G736" s="2">
        <v>2019</v>
      </c>
      <c r="H736" s="2">
        <f>'mpi_dataset_summary_2017-2024'!$G736-'mpi_dataset_summary_2017-2024'!$F736+1</f>
        <v>1</v>
      </c>
      <c r="I736" s="2" t="s">
        <v>2111</v>
      </c>
      <c r="J736" s="2" t="s">
        <v>2111</v>
      </c>
      <c r="K736" s="2">
        <f>IF('mpi_dataset_summary_2017-2024'!$G736=2024,1,0)</f>
        <v>0</v>
      </c>
      <c r="L736" s="2">
        <f t="shared" si="22"/>
        <v>0</v>
      </c>
      <c r="M736" s="2">
        <v>80</v>
      </c>
      <c r="N736" s="2">
        <f t="shared" si="23"/>
        <v>0.30499999999999999</v>
      </c>
      <c r="O736" s="2">
        <v>50.074309</v>
      </c>
      <c r="P736" s="2">
        <v>-112.10860599999999</v>
      </c>
      <c r="Q736" s="2" t="s">
        <v>2108</v>
      </c>
      <c r="R736" s="3" t="s">
        <v>24</v>
      </c>
      <c r="S736" s="2" t="s">
        <v>25</v>
      </c>
      <c r="T736" s="2" t="s">
        <v>26</v>
      </c>
    </row>
    <row r="737" spans="1:20" x14ac:dyDescent="0.2">
      <c r="A737" s="2">
        <v>4050</v>
      </c>
      <c r="B737" s="2" t="s">
        <v>1316</v>
      </c>
      <c r="C737" s="2" t="s">
        <v>1317</v>
      </c>
      <c r="D737" s="2" t="s">
        <v>66</v>
      </c>
      <c r="E737" s="2" t="s">
        <v>20</v>
      </c>
      <c r="F737" s="2">
        <v>2019</v>
      </c>
      <c r="G737" s="2">
        <v>2023</v>
      </c>
      <c r="H737" s="2">
        <f>'mpi_dataset_summary_2017-2024'!$G737-'mpi_dataset_summary_2017-2024'!$F737+1</f>
        <v>5</v>
      </c>
      <c r="I737" s="2" t="s">
        <v>2111</v>
      </c>
      <c r="J737" s="2" t="s">
        <v>2113</v>
      </c>
      <c r="K737" s="2">
        <f>IF('mpi_dataset_summary_2017-2024'!$G737=2024,1,0)</f>
        <v>0</v>
      </c>
      <c r="L737" s="2">
        <f t="shared" si="22"/>
        <v>0</v>
      </c>
      <c r="M737" s="2">
        <v>100</v>
      </c>
      <c r="N737" s="2">
        <f t="shared" si="23"/>
        <v>0.34300000000000003</v>
      </c>
      <c r="O737" s="2">
        <v>50.280081000000003</v>
      </c>
      <c r="P737" s="2">
        <v>-111.68567</v>
      </c>
      <c r="Q737" s="2" t="s">
        <v>2108</v>
      </c>
      <c r="R737" s="3" t="s">
        <v>24</v>
      </c>
      <c r="S737" s="2" t="s">
        <v>25</v>
      </c>
      <c r="T737" s="2" t="s">
        <v>26</v>
      </c>
    </row>
    <row r="738" spans="1:20" x14ac:dyDescent="0.2">
      <c r="A738" s="2">
        <v>4051</v>
      </c>
      <c r="B738" s="2" t="s">
        <v>1316</v>
      </c>
      <c r="C738" s="2" t="s">
        <v>1318</v>
      </c>
      <c r="D738" s="2" t="s">
        <v>66</v>
      </c>
      <c r="E738" s="2" t="s">
        <v>20</v>
      </c>
      <c r="F738" s="2">
        <v>2019</v>
      </c>
      <c r="G738" s="2">
        <v>2020</v>
      </c>
      <c r="H738" s="2">
        <f>'mpi_dataset_summary_2017-2024'!$G738-'mpi_dataset_summary_2017-2024'!$F738+1</f>
        <v>2</v>
      </c>
      <c r="I738" s="2" t="s">
        <v>2111</v>
      </c>
      <c r="J738" s="2" t="s">
        <v>2110</v>
      </c>
      <c r="K738" s="2">
        <f>IF('mpi_dataset_summary_2017-2024'!$G738=2024,1,0)</f>
        <v>0</v>
      </c>
      <c r="L738" s="2">
        <f t="shared" si="22"/>
        <v>1</v>
      </c>
      <c r="M738" s="2">
        <v>49</v>
      </c>
      <c r="N738" s="2">
        <f t="shared" si="23"/>
        <v>0.21199999999999999</v>
      </c>
      <c r="O738" s="2">
        <v>50.223224000000002</v>
      </c>
      <c r="P738" s="2">
        <v>-111.160782</v>
      </c>
      <c r="Q738" s="2" t="s">
        <v>2108</v>
      </c>
      <c r="R738" s="3" t="s">
        <v>24</v>
      </c>
      <c r="S738" s="2" t="s">
        <v>25</v>
      </c>
      <c r="T738" s="2" t="s">
        <v>26</v>
      </c>
    </row>
    <row r="739" spans="1:20" x14ac:dyDescent="0.2">
      <c r="A739" s="2">
        <v>4052</v>
      </c>
      <c r="B739" s="2" t="s">
        <v>1319</v>
      </c>
      <c r="C739" s="2" t="s">
        <v>1320</v>
      </c>
      <c r="D739" s="2" t="s">
        <v>66</v>
      </c>
      <c r="E739" s="2" t="s">
        <v>20</v>
      </c>
      <c r="F739" s="2">
        <v>2019</v>
      </c>
      <c r="G739" s="2">
        <v>2023</v>
      </c>
      <c r="H739" s="2">
        <f>'mpi_dataset_summary_2017-2024'!$G739-'mpi_dataset_summary_2017-2024'!$F739+1</f>
        <v>5</v>
      </c>
      <c r="I739" s="2" t="s">
        <v>2111</v>
      </c>
      <c r="J739" s="2" t="s">
        <v>2110</v>
      </c>
      <c r="K739" s="2">
        <f>IF('mpi_dataset_summary_2017-2024'!$G739=2024,1,0)</f>
        <v>0</v>
      </c>
      <c r="L739" s="2">
        <f t="shared" si="22"/>
        <v>1</v>
      </c>
      <c r="M739" s="2">
        <v>1500</v>
      </c>
      <c r="N739" s="2">
        <f t="shared" si="23"/>
        <v>0.86399999999999999</v>
      </c>
      <c r="O739" s="2">
        <v>53.546576000000002</v>
      </c>
      <c r="P739" s="2">
        <v>-116.601057</v>
      </c>
      <c r="Q739" s="2" t="s">
        <v>2108</v>
      </c>
      <c r="R739" s="3" t="s">
        <v>53</v>
      </c>
      <c r="S739" s="2" t="s">
        <v>22</v>
      </c>
      <c r="T739" s="2" t="s">
        <v>54</v>
      </c>
    </row>
    <row r="740" spans="1:20" x14ac:dyDescent="0.2">
      <c r="A740" s="2">
        <v>4053</v>
      </c>
      <c r="B740" s="2" t="s">
        <v>1321</v>
      </c>
      <c r="C740" s="2" t="s">
        <v>1322</v>
      </c>
      <c r="D740" s="2" t="s">
        <v>66</v>
      </c>
      <c r="E740" s="2" t="s">
        <v>20</v>
      </c>
      <c r="F740" s="2">
        <v>2019</v>
      </c>
      <c r="G740" s="2">
        <v>2020</v>
      </c>
      <c r="H740" s="2">
        <f>'mpi_dataset_summary_2017-2024'!$G740-'mpi_dataset_summary_2017-2024'!$F740+1</f>
        <v>2</v>
      </c>
      <c r="I740" s="2" t="s">
        <v>2110</v>
      </c>
      <c r="J740" s="2" t="s">
        <v>2110</v>
      </c>
      <c r="K740" s="2">
        <f>IF('mpi_dataset_summary_2017-2024'!$G740=2024,1,0)</f>
        <v>0</v>
      </c>
      <c r="L740" s="2">
        <f t="shared" si="22"/>
        <v>1</v>
      </c>
      <c r="M740" s="2">
        <v>600</v>
      </c>
      <c r="N740" s="2">
        <f t="shared" si="23"/>
        <v>0.71399999999999997</v>
      </c>
      <c r="O740" s="2">
        <v>53.777352</v>
      </c>
      <c r="P740" s="2">
        <v>-113.051299</v>
      </c>
      <c r="Q740" s="2" t="s">
        <v>2108</v>
      </c>
      <c r="R740" s="3" t="s">
        <v>37</v>
      </c>
      <c r="S740" s="2" t="s">
        <v>22</v>
      </c>
      <c r="T740" s="2" t="s">
        <v>38</v>
      </c>
    </row>
    <row r="741" spans="1:20" x14ac:dyDescent="0.2">
      <c r="A741" s="2">
        <v>4054</v>
      </c>
      <c r="B741" s="2" t="s">
        <v>1323</v>
      </c>
      <c r="C741" s="2" t="s">
        <v>1324</v>
      </c>
      <c r="D741" s="2" t="s">
        <v>66</v>
      </c>
      <c r="E741" s="2" t="s">
        <v>20</v>
      </c>
      <c r="F741" s="2">
        <v>2019</v>
      </c>
      <c r="G741" s="2">
        <v>2020</v>
      </c>
      <c r="H741" s="2">
        <f>'mpi_dataset_summary_2017-2024'!$G741-'mpi_dataset_summary_2017-2024'!$F741+1</f>
        <v>2</v>
      </c>
      <c r="I741" s="2" t="s">
        <v>2111</v>
      </c>
      <c r="J741" s="2" t="s">
        <v>2111</v>
      </c>
      <c r="K741" s="2">
        <f>IF('mpi_dataset_summary_2017-2024'!$G741=2024,1,0)</f>
        <v>0</v>
      </c>
      <c r="L741" s="2">
        <f t="shared" si="22"/>
        <v>0</v>
      </c>
      <c r="M741" s="2">
        <v>29.5</v>
      </c>
      <c r="N741" s="2">
        <f t="shared" si="23"/>
        <v>0.14499999999999999</v>
      </c>
      <c r="O741" s="2">
        <v>53.523148999999997</v>
      </c>
      <c r="P741" s="2">
        <v>-113.52409299999999</v>
      </c>
      <c r="Q741" s="2" t="s">
        <v>2108</v>
      </c>
      <c r="R741" s="3" t="s">
        <v>62</v>
      </c>
      <c r="S741" s="2" t="s">
        <v>25</v>
      </c>
      <c r="T741" s="2" t="s">
        <v>63</v>
      </c>
    </row>
    <row r="742" spans="1:20" x14ac:dyDescent="0.2">
      <c r="A742" s="2">
        <v>4055</v>
      </c>
      <c r="B742" s="2" t="s">
        <v>1325</v>
      </c>
      <c r="C742" s="2" t="s">
        <v>1326</v>
      </c>
      <c r="D742" s="2" t="s">
        <v>66</v>
      </c>
      <c r="E742" s="2" t="s">
        <v>20</v>
      </c>
      <c r="F742" s="2">
        <v>2019</v>
      </c>
      <c r="G742" s="2">
        <v>2020</v>
      </c>
      <c r="H742" s="2">
        <f>'mpi_dataset_summary_2017-2024'!$G742-'mpi_dataset_summary_2017-2024'!$F742+1</f>
        <v>2</v>
      </c>
      <c r="I742" s="2" t="s">
        <v>2111</v>
      </c>
      <c r="J742" s="2" t="s">
        <v>2111</v>
      </c>
      <c r="K742" s="2">
        <f>IF('mpi_dataset_summary_2017-2024'!$G742=2024,1,0)</f>
        <v>0</v>
      </c>
      <c r="L742" s="2">
        <f t="shared" si="22"/>
        <v>0</v>
      </c>
      <c r="M742" s="2">
        <v>100</v>
      </c>
      <c r="N742" s="2">
        <f t="shared" si="23"/>
        <v>0.34300000000000003</v>
      </c>
      <c r="O742" s="2">
        <v>56.228127999999998</v>
      </c>
      <c r="P742" s="2">
        <v>-117.433396</v>
      </c>
      <c r="Q742" s="2" t="s">
        <v>2108</v>
      </c>
      <c r="R742" s="3" t="s">
        <v>53</v>
      </c>
      <c r="S742" s="2" t="s">
        <v>25</v>
      </c>
      <c r="T742" s="2" t="s">
        <v>45</v>
      </c>
    </row>
    <row r="743" spans="1:20" x14ac:dyDescent="0.2">
      <c r="A743" s="2">
        <v>4056</v>
      </c>
      <c r="B743" s="2" t="s">
        <v>651</v>
      </c>
      <c r="C743" s="2" t="s">
        <v>1327</v>
      </c>
      <c r="D743" s="2" t="s">
        <v>66</v>
      </c>
      <c r="E743" s="2" t="s">
        <v>20</v>
      </c>
      <c r="F743" s="2">
        <v>2019</v>
      </c>
      <c r="G743" s="2">
        <v>2019</v>
      </c>
      <c r="H743" s="2">
        <f>'mpi_dataset_summary_2017-2024'!$G743-'mpi_dataset_summary_2017-2024'!$F743+1</f>
        <v>1</v>
      </c>
      <c r="I743" s="2" t="s">
        <v>2111</v>
      </c>
      <c r="J743" s="2" t="s">
        <v>2111</v>
      </c>
      <c r="K743" s="2">
        <f>IF('mpi_dataset_summary_2017-2024'!$G743=2024,1,0)</f>
        <v>0</v>
      </c>
      <c r="L743" s="2">
        <f t="shared" si="22"/>
        <v>0</v>
      </c>
      <c r="M743" s="2">
        <v>40</v>
      </c>
      <c r="N743" s="2">
        <f t="shared" si="23"/>
        <v>0.17799999999999999</v>
      </c>
      <c r="O743" s="2">
        <v>55.391952000000003</v>
      </c>
      <c r="P743" s="2">
        <v>-114.289016</v>
      </c>
      <c r="Q743" s="2" t="s">
        <v>2108</v>
      </c>
      <c r="R743" s="3" t="s">
        <v>27</v>
      </c>
      <c r="S743" s="2" t="s">
        <v>25</v>
      </c>
      <c r="T743" s="2" t="s">
        <v>28</v>
      </c>
    </row>
    <row r="744" spans="1:20" x14ac:dyDescent="0.2">
      <c r="A744" s="2">
        <v>4057</v>
      </c>
      <c r="B744" s="2" t="s">
        <v>1328</v>
      </c>
      <c r="C744" s="2" t="s">
        <v>1329</v>
      </c>
      <c r="D744" s="2" t="s">
        <v>66</v>
      </c>
      <c r="E744" s="2" t="s">
        <v>20</v>
      </c>
      <c r="F744" s="2">
        <v>2019</v>
      </c>
      <c r="G744" s="2">
        <v>2024</v>
      </c>
      <c r="H744" s="2">
        <f>'mpi_dataset_summary_2017-2024'!$G744-'mpi_dataset_summary_2017-2024'!$F744+1</f>
        <v>6</v>
      </c>
      <c r="I744" s="2" t="s">
        <v>2111</v>
      </c>
      <c r="J744" s="2" t="s">
        <v>2111</v>
      </c>
      <c r="K744" s="2">
        <f>IF('mpi_dataset_summary_2017-2024'!$G744=2024,1,0)</f>
        <v>1</v>
      </c>
      <c r="L744" s="2">
        <f t="shared" si="22"/>
        <v>0</v>
      </c>
      <c r="M744" s="2">
        <v>155</v>
      </c>
      <c r="N744" s="2">
        <f t="shared" si="23"/>
        <v>0.45200000000000001</v>
      </c>
      <c r="O744" s="2">
        <v>50.403782999999997</v>
      </c>
      <c r="P744" s="2">
        <v>-113.25313300000001</v>
      </c>
      <c r="Q744" s="2" t="s">
        <v>2108</v>
      </c>
      <c r="R744" s="3" t="s">
        <v>24</v>
      </c>
      <c r="S744" s="2" t="s">
        <v>25</v>
      </c>
      <c r="T744" s="2" t="s">
        <v>26</v>
      </c>
    </row>
    <row r="745" spans="1:20" x14ac:dyDescent="0.2">
      <c r="A745" s="2">
        <v>4058</v>
      </c>
      <c r="B745" s="2" t="s">
        <v>1330</v>
      </c>
      <c r="C745" s="2" t="s">
        <v>1331</v>
      </c>
      <c r="D745" s="2" t="s">
        <v>66</v>
      </c>
      <c r="E745" s="2" t="s">
        <v>20</v>
      </c>
      <c r="F745" s="2">
        <v>2019</v>
      </c>
      <c r="G745" s="2">
        <v>2019</v>
      </c>
      <c r="H745" s="2">
        <f>'mpi_dataset_summary_2017-2024'!$G745-'mpi_dataset_summary_2017-2024'!$F745+1</f>
        <v>1</v>
      </c>
      <c r="I745" s="2" t="s">
        <v>2110</v>
      </c>
      <c r="J745" s="2" t="s">
        <v>2110</v>
      </c>
      <c r="K745" s="2">
        <f>IF('mpi_dataset_summary_2017-2024'!$G745=2024,1,0)</f>
        <v>0</v>
      </c>
      <c r="L745" s="2">
        <f t="shared" si="22"/>
        <v>1</v>
      </c>
      <c r="M745" s="2">
        <v>35</v>
      </c>
      <c r="N745" s="2">
        <f t="shared" si="23"/>
        <v>0.158</v>
      </c>
      <c r="O745" s="2">
        <v>50.586530000000003</v>
      </c>
      <c r="P745" s="2">
        <v>-112.033519</v>
      </c>
      <c r="Q745" s="2" t="s">
        <v>2108</v>
      </c>
      <c r="R745" s="3" t="s">
        <v>24</v>
      </c>
      <c r="S745" s="2" t="s">
        <v>25</v>
      </c>
      <c r="T745" s="2" t="s">
        <v>26</v>
      </c>
    </row>
    <row r="746" spans="1:20" x14ac:dyDescent="0.2">
      <c r="A746" s="2">
        <v>4059</v>
      </c>
      <c r="B746" s="2" t="s">
        <v>1330</v>
      </c>
      <c r="C746" s="2" t="s">
        <v>1332</v>
      </c>
      <c r="D746" s="2" t="s">
        <v>66</v>
      </c>
      <c r="E746" s="2" t="s">
        <v>20</v>
      </c>
      <c r="F746" s="2">
        <v>2019</v>
      </c>
      <c r="G746" s="2">
        <v>2019</v>
      </c>
      <c r="H746" s="2">
        <f>'mpi_dataset_summary_2017-2024'!$G746-'mpi_dataset_summary_2017-2024'!$F746+1</f>
        <v>1</v>
      </c>
      <c r="I746" s="2" t="s">
        <v>2111</v>
      </c>
      <c r="J746" s="2" t="s">
        <v>2111</v>
      </c>
      <c r="K746" s="2">
        <f>IF('mpi_dataset_summary_2017-2024'!$G746=2024,1,0)</f>
        <v>0</v>
      </c>
      <c r="L746" s="2">
        <f t="shared" si="22"/>
        <v>0</v>
      </c>
      <c r="M746" s="2">
        <v>125</v>
      </c>
      <c r="N746" s="2">
        <f t="shared" si="23"/>
        <v>0.40300000000000002</v>
      </c>
      <c r="O746" s="2">
        <v>49.789853999999998</v>
      </c>
      <c r="P746" s="2">
        <v>-112.162682</v>
      </c>
      <c r="Q746" s="2" t="s">
        <v>2108</v>
      </c>
      <c r="R746" s="3" t="s">
        <v>24</v>
      </c>
      <c r="S746" s="2" t="s">
        <v>25</v>
      </c>
      <c r="T746" s="2" t="s">
        <v>26</v>
      </c>
    </row>
    <row r="747" spans="1:20" x14ac:dyDescent="0.2">
      <c r="A747" s="2">
        <v>4060</v>
      </c>
      <c r="B747" s="2" t="s">
        <v>1330</v>
      </c>
      <c r="C747" s="2" t="s">
        <v>1333</v>
      </c>
      <c r="D747" s="2" t="s">
        <v>66</v>
      </c>
      <c r="E747" s="2" t="s">
        <v>20</v>
      </c>
      <c r="F747" s="2">
        <v>2019</v>
      </c>
      <c r="G747" s="2">
        <v>2020</v>
      </c>
      <c r="H747" s="2">
        <f>'mpi_dataset_summary_2017-2024'!$G747-'mpi_dataset_summary_2017-2024'!$F747+1</f>
        <v>2</v>
      </c>
      <c r="I747" s="2" t="s">
        <v>2110</v>
      </c>
      <c r="J747" s="2" t="s">
        <v>2111</v>
      </c>
      <c r="K747" s="2">
        <f>IF('mpi_dataset_summary_2017-2024'!$G747=2024,1,0)</f>
        <v>0</v>
      </c>
      <c r="L747" s="2">
        <f t="shared" si="22"/>
        <v>0</v>
      </c>
      <c r="M747" s="2">
        <v>65</v>
      </c>
      <c r="N747" s="2">
        <f t="shared" si="23"/>
        <v>0.26400000000000001</v>
      </c>
      <c r="O747" s="2">
        <v>49.524648999999997</v>
      </c>
      <c r="P747" s="2">
        <v>-112.168429</v>
      </c>
      <c r="Q747" s="2" t="s">
        <v>2108</v>
      </c>
      <c r="R747" s="3" t="s">
        <v>24</v>
      </c>
      <c r="S747" s="2" t="s">
        <v>25</v>
      </c>
      <c r="T747" s="2" t="s">
        <v>26</v>
      </c>
    </row>
    <row r="748" spans="1:20" x14ac:dyDescent="0.2">
      <c r="A748" s="2">
        <v>4061</v>
      </c>
      <c r="B748" s="2" t="s">
        <v>1330</v>
      </c>
      <c r="C748" s="2" t="s">
        <v>1334</v>
      </c>
      <c r="D748" s="2" t="s">
        <v>66</v>
      </c>
      <c r="E748" s="2" t="s">
        <v>20</v>
      </c>
      <c r="F748" s="2">
        <v>2019</v>
      </c>
      <c r="G748" s="2">
        <v>2020</v>
      </c>
      <c r="H748" s="2">
        <f>'mpi_dataset_summary_2017-2024'!$G748-'mpi_dataset_summary_2017-2024'!$F748+1</f>
        <v>2</v>
      </c>
      <c r="I748" s="2" t="s">
        <v>2113</v>
      </c>
      <c r="J748" s="2" t="s">
        <v>2110</v>
      </c>
      <c r="K748" s="2">
        <f>IF('mpi_dataset_summary_2017-2024'!$G748=2024,1,0)</f>
        <v>0</v>
      </c>
      <c r="L748" s="2">
        <f t="shared" si="22"/>
        <v>1</v>
      </c>
      <c r="M748" s="2">
        <v>50</v>
      </c>
      <c r="N748" s="2">
        <f t="shared" si="23"/>
        <v>0.214</v>
      </c>
      <c r="O748" s="2">
        <v>49.333281999999997</v>
      </c>
      <c r="P748" s="2">
        <v>-113.05492</v>
      </c>
      <c r="Q748" s="2" t="s">
        <v>2108</v>
      </c>
      <c r="R748" s="3" t="s">
        <v>24</v>
      </c>
      <c r="S748" s="2" t="s">
        <v>25</v>
      </c>
      <c r="T748" s="2" t="s">
        <v>26</v>
      </c>
    </row>
    <row r="749" spans="1:20" x14ac:dyDescent="0.2">
      <c r="A749" s="2">
        <v>4062</v>
      </c>
      <c r="B749" s="2" t="s">
        <v>1330</v>
      </c>
      <c r="C749" s="2" t="s">
        <v>1335</v>
      </c>
      <c r="D749" s="2" t="s">
        <v>66</v>
      </c>
      <c r="E749" s="2" t="s">
        <v>20</v>
      </c>
      <c r="F749" s="2">
        <v>2019</v>
      </c>
      <c r="G749" s="2">
        <v>2021</v>
      </c>
      <c r="H749" s="2">
        <f>'mpi_dataset_summary_2017-2024'!$G749-'mpi_dataset_summary_2017-2024'!$F749+1</f>
        <v>3</v>
      </c>
      <c r="I749" s="2" t="s">
        <v>2111</v>
      </c>
      <c r="J749" s="2" t="s">
        <v>2110</v>
      </c>
      <c r="K749" s="2">
        <f>IF('mpi_dataset_summary_2017-2024'!$G749=2024,1,0)</f>
        <v>0</v>
      </c>
      <c r="L749" s="2">
        <f t="shared" si="22"/>
        <v>1</v>
      </c>
      <c r="M749" s="2">
        <v>60</v>
      </c>
      <c r="N749" s="2">
        <f t="shared" si="23"/>
        <v>0.254</v>
      </c>
      <c r="O749" s="2">
        <v>51.037056999999997</v>
      </c>
      <c r="P749" s="2">
        <v>-113.402242</v>
      </c>
      <c r="Q749" s="2" t="s">
        <v>2108</v>
      </c>
      <c r="R749" s="3" t="s">
        <v>24</v>
      </c>
      <c r="S749" s="2" t="s">
        <v>25</v>
      </c>
      <c r="T749" s="2" t="s">
        <v>26</v>
      </c>
    </row>
    <row r="750" spans="1:20" x14ac:dyDescent="0.2">
      <c r="A750" s="2">
        <v>4063</v>
      </c>
      <c r="B750" s="2" t="s">
        <v>1336</v>
      </c>
      <c r="C750" s="2" t="s">
        <v>1337</v>
      </c>
      <c r="D750" s="2" t="s">
        <v>66</v>
      </c>
      <c r="E750" s="2" t="s">
        <v>20</v>
      </c>
      <c r="F750" s="2">
        <v>2019</v>
      </c>
      <c r="G750" s="2">
        <v>2022</v>
      </c>
      <c r="H750" s="2">
        <f>'mpi_dataset_summary_2017-2024'!$G750-'mpi_dataset_summary_2017-2024'!$F750+1</f>
        <v>4</v>
      </c>
      <c r="I750" s="2" t="s">
        <v>2111</v>
      </c>
      <c r="J750" s="2" t="s">
        <v>2110</v>
      </c>
      <c r="K750" s="2">
        <f>IF('mpi_dataset_summary_2017-2024'!$G750=2024,1,0)</f>
        <v>0</v>
      </c>
      <c r="L750" s="2">
        <f t="shared" si="22"/>
        <v>1</v>
      </c>
      <c r="M750" s="2">
        <v>600</v>
      </c>
      <c r="N750" s="2">
        <f t="shared" si="23"/>
        <v>0.71399999999999997</v>
      </c>
      <c r="O750" s="2" t="s">
        <v>2114</v>
      </c>
      <c r="P750" s="2" t="s">
        <v>2114</v>
      </c>
      <c r="Q750" s="2" t="s">
        <v>2108</v>
      </c>
      <c r="R750" s="3" t="s">
        <v>24</v>
      </c>
      <c r="S750" s="2" t="s">
        <v>25</v>
      </c>
      <c r="T750" s="2" t="s">
        <v>26</v>
      </c>
    </row>
    <row r="751" spans="1:20" x14ac:dyDescent="0.2">
      <c r="A751" s="2">
        <v>4064</v>
      </c>
      <c r="B751" s="2" t="s">
        <v>1289</v>
      </c>
      <c r="C751" s="2" t="s">
        <v>1338</v>
      </c>
      <c r="D751" s="2" t="s">
        <v>66</v>
      </c>
      <c r="E751" s="2" t="s">
        <v>20</v>
      </c>
      <c r="F751" s="2">
        <v>2019</v>
      </c>
      <c r="G751" s="2">
        <v>2019</v>
      </c>
      <c r="H751" s="2">
        <f>'mpi_dataset_summary_2017-2024'!$G751-'mpi_dataset_summary_2017-2024'!$F751+1</f>
        <v>1</v>
      </c>
      <c r="I751" s="2" t="s">
        <v>2113</v>
      </c>
      <c r="J751" s="2" t="s">
        <v>2113</v>
      </c>
      <c r="K751" s="2">
        <f>IF('mpi_dataset_summary_2017-2024'!$G751=2024,1,0)</f>
        <v>0</v>
      </c>
      <c r="L751" s="2">
        <f t="shared" si="22"/>
        <v>0</v>
      </c>
      <c r="M751" s="2">
        <v>409</v>
      </c>
      <c r="N751" s="2">
        <f t="shared" si="23"/>
        <v>0.64600000000000002</v>
      </c>
      <c r="O751" s="2">
        <v>51.189019000000002</v>
      </c>
      <c r="P751" s="2">
        <v>-114.469601</v>
      </c>
      <c r="Q751" s="2" t="s">
        <v>2108</v>
      </c>
      <c r="R751" s="3" t="s">
        <v>41</v>
      </c>
      <c r="S751" s="2" t="s">
        <v>25</v>
      </c>
      <c r="T751" s="2" t="s">
        <v>46</v>
      </c>
    </row>
    <row r="752" spans="1:20" x14ac:dyDescent="0.2">
      <c r="A752" s="2">
        <v>4066</v>
      </c>
      <c r="B752" s="2" t="s">
        <v>1339</v>
      </c>
      <c r="C752" s="2" t="s">
        <v>1340</v>
      </c>
      <c r="D752" s="2" t="s">
        <v>69</v>
      </c>
      <c r="E752" s="2" t="s">
        <v>20</v>
      </c>
      <c r="F752" s="2">
        <v>2019</v>
      </c>
      <c r="G752" s="2">
        <v>2021</v>
      </c>
      <c r="H752" s="2">
        <f>'mpi_dataset_summary_2017-2024'!$G752-'mpi_dataset_summary_2017-2024'!$F752+1</f>
        <v>3</v>
      </c>
      <c r="I752" s="2" t="s">
        <v>2111</v>
      </c>
      <c r="J752" s="2" t="s">
        <v>2113</v>
      </c>
      <c r="K752" s="2">
        <f>IF('mpi_dataset_summary_2017-2024'!$G752=2024,1,0)</f>
        <v>0</v>
      </c>
      <c r="L752" s="2">
        <f t="shared" si="22"/>
        <v>0</v>
      </c>
      <c r="M752" s="2">
        <v>329</v>
      </c>
      <c r="N752" s="2">
        <f t="shared" si="23"/>
        <v>0.59399999999999997</v>
      </c>
      <c r="O752" s="2">
        <v>55.697009000000001</v>
      </c>
      <c r="P752" s="2">
        <v>-121.63026000000001</v>
      </c>
      <c r="Q752" s="2" t="s">
        <v>2108</v>
      </c>
      <c r="R752" s="3" t="s">
        <v>41</v>
      </c>
      <c r="S752" s="2" t="s">
        <v>25</v>
      </c>
      <c r="T752" s="2" t="s">
        <v>46</v>
      </c>
    </row>
    <row r="753" spans="1:20" x14ac:dyDescent="0.2">
      <c r="A753" s="2">
        <v>4067</v>
      </c>
      <c r="B753" s="2" t="s">
        <v>1341</v>
      </c>
      <c r="C753" s="2" t="s">
        <v>1342</v>
      </c>
      <c r="D753" s="2" t="s">
        <v>161</v>
      </c>
      <c r="E753" s="2" t="s">
        <v>20</v>
      </c>
      <c r="F753" s="2">
        <v>2019</v>
      </c>
      <c r="G753" s="2">
        <v>2022</v>
      </c>
      <c r="H753" s="2">
        <f>'mpi_dataset_summary_2017-2024'!$G753-'mpi_dataset_summary_2017-2024'!$F753+1</f>
        <v>4</v>
      </c>
      <c r="I753" s="2" t="s">
        <v>2111</v>
      </c>
      <c r="J753" s="2" t="s">
        <v>2112</v>
      </c>
      <c r="K753" s="2">
        <f>IF('mpi_dataset_summary_2017-2024'!$G753=2024,1,0)</f>
        <v>0</v>
      </c>
      <c r="L753" s="2">
        <f t="shared" si="22"/>
        <v>0</v>
      </c>
      <c r="M753" s="2">
        <v>0</v>
      </c>
      <c r="N753" s="2">
        <f t="shared" si="23"/>
        <v>0</v>
      </c>
      <c r="O753" s="2">
        <v>46.050199999999997</v>
      </c>
      <c r="P753" s="2">
        <v>-77.361000000000004</v>
      </c>
      <c r="Q753" s="2" t="s">
        <v>2108</v>
      </c>
      <c r="R753" s="3" t="s">
        <v>55</v>
      </c>
      <c r="S753" s="2" t="s">
        <v>25</v>
      </c>
      <c r="T753" s="2" t="s">
        <v>56</v>
      </c>
    </row>
    <row r="754" spans="1:20" x14ac:dyDescent="0.2">
      <c r="A754" s="2">
        <v>4072</v>
      </c>
      <c r="B754" s="2" t="s">
        <v>961</v>
      </c>
      <c r="C754" s="2" t="s">
        <v>1343</v>
      </c>
      <c r="D754" s="2" t="s">
        <v>194</v>
      </c>
      <c r="E754" s="2" t="s">
        <v>43</v>
      </c>
      <c r="F754" s="2">
        <v>2020</v>
      </c>
      <c r="G754" s="2">
        <v>2024</v>
      </c>
      <c r="H754" s="2">
        <f>'mpi_dataset_summary_2017-2024'!$G754-'mpi_dataset_summary_2017-2024'!$F754+1</f>
        <v>5</v>
      </c>
      <c r="I754" s="2" t="s">
        <v>2111</v>
      </c>
      <c r="J754" s="2" t="s">
        <v>2112</v>
      </c>
      <c r="K754" s="2">
        <f>IF('mpi_dataset_summary_2017-2024'!$G754=2024,1,0)</f>
        <v>1</v>
      </c>
      <c r="L754" s="2">
        <f t="shared" si="22"/>
        <v>0</v>
      </c>
      <c r="M754" s="2">
        <v>35</v>
      </c>
      <c r="N754" s="2">
        <f t="shared" si="23"/>
        <v>0.158</v>
      </c>
      <c r="O754" s="2">
        <v>46.253762600000002</v>
      </c>
      <c r="P754" s="2">
        <v>-63.692162199999999</v>
      </c>
      <c r="Q754" s="2" t="s">
        <v>2108</v>
      </c>
      <c r="R754" s="3" t="s">
        <v>49</v>
      </c>
      <c r="S754" s="2" t="s">
        <v>25</v>
      </c>
      <c r="T754" s="2" t="s">
        <v>50</v>
      </c>
    </row>
    <row r="755" spans="1:20" x14ac:dyDescent="0.2">
      <c r="A755" s="2">
        <v>4073</v>
      </c>
      <c r="B755" s="2" t="s">
        <v>961</v>
      </c>
      <c r="C755" s="2" t="s">
        <v>1344</v>
      </c>
      <c r="D755" s="2" t="s">
        <v>194</v>
      </c>
      <c r="E755" s="2" t="s">
        <v>20</v>
      </c>
      <c r="F755" s="2">
        <v>2019</v>
      </c>
      <c r="G755" s="2">
        <v>2024</v>
      </c>
      <c r="H755" s="2">
        <f>'mpi_dataset_summary_2017-2024'!$G755-'mpi_dataset_summary_2017-2024'!$F755+1</f>
        <v>6</v>
      </c>
      <c r="I755" s="2" t="s">
        <v>2112</v>
      </c>
      <c r="J755" s="2" t="s">
        <v>2112</v>
      </c>
      <c r="K755" s="2">
        <f>IF('mpi_dataset_summary_2017-2024'!$G755=2024,1,0)</f>
        <v>1</v>
      </c>
      <c r="L755" s="2">
        <f t="shared" si="22"/>
        <v>0</v>
      </c>
      <c r="M755" s="2">
        <v>44</v>
      </c>
      <c r="N755" s="2">
        <f t="shared" si="23"/>
        <v>0.193</v>
      </c>
      <c r="O755" s="2">
        <v>46.794249000000001</v>
      </c>
      <c r="P755" s="2">
        <v>-64.157612</v>
      </c>
      <c r="Q755" s="2" t="s">
        <v>2108</v>
      </c>
      <c r="R755" s="3" t="s">
        <v>35</v>
      </c>
      <c r="S755" s="2" t="s">
        <v>22</v>
      </c>
      <c r="T755" s="2" t="s">
        <v>36</v>
      </c>
    </row>
    <row r="756" spans="1:20" x14ac:dyDescent="0.2">
      <c r="A756" s="2">
        <v>4077</v>
      </c>
      <c r="B756" s="2" t="s">
        <v>971</v>
      </c>
      <c r="C756" s="2" t="s">
        <v>972</v>
      </c>
      <c r="D756" s="2" t="s">
        <v>69</v>
      </c>
      <c r="E756" s="2" t="s">
        <v>20</v>
      </c>
      <c r="F756" s="2">
        <v>2019</v>
      </c>
      <c r="G756" s="2">
        <v>2024</v>
      </c>
      <c r="H756" s="2">
        <f>'mpi_dataset_summary_2017-2024'!$G756-'mpi_dataset_summary_2017-2024'!$F756+1</f>
        <v>6</v>
      </c>
      <c r="I756" s="2" t="s">
        <v>2112</v>
      </c>
      <c r="J756" s="2" t="s">
        <v>2112</v>
      </c>
      <c r="K756" s="2">
        <f>IF('mpi_dataset_summary_2017-2024'!$G756=2024,1,0)</f>
        <v>1</v>
      </c>
      <c r="L756" s="2">
        <f t="shared" si="22"/>
        <v>0</v>
      </c>
      <c r="M756" s="2">
        <v>18</v>
      </c>
      <c r="N756" s="2">
        <f t="shared" si="23"/>
        <v>8.3000000000000004E-2</v>
      </c>
      <c r="O756" s="2">
        <v>50.424697000000002</v>
      </c>
      <c r="P756" s="2">
        <v>-127.487264</v>
      </c>
      <c r="Q756" s="2" t="s">
        <v>2108</v>
      </c>
      <c r="R756" s="3" t="s">
        <v>24</v>
      </c>
      <c r="S756" s="2" t="s">
        <v>25</v>
      </c>
      <c r="T756" s="2" t="s">
        <v>26</v>
      </c>
    </row>
    <row r="757" spans="1:20" x14ac:dyDescent="0.2">
      <c r="A757" s="2">
        <v>4079</v>
      </c>
      <c r="B757" s="2" t="s">
        <v>104</v>
      </c>
      <c r="C757" s="2" t="s">
        <v>1345</v>
      </c>
      <c r="D757" s="2" t="s">
        <v>69</v>
      </c>
      <c r="E757" s="2" t="s">
        <v>43</v>
      </c>
      <c r="F757" s="2">
        <v>2019</v>
      </c>
      <c r="G757" s="2">
        <v>2024</v>
      </c>
      <c r="H757" s="2">
        <f>'mpi_dataset_summary_2017-2024'!$G757-'mpi_dataset_summary_2017-2024'!$F757+1</f>
        <v>6</v>
      </c>
      <c r="I757" s="2" t="s">
        <v>2110</v>
      </c>
      <c r="J757" s="2" t="s">
        <v>2110</v>
      </c>
      <c r="K757" s="2">
        <f>IF('mpi_dataset_summary_2017-2024'!$G757=2024,1,0)</f>
        <v>1</v>
      </c>
      <c r="L757" s="2">
        <f t="shared" si="22"/>
        <v>1</v>
      </c>
      <c r="M757" s="2">
        <v>32</v>
      </c>
      <c r="N757" s="2">
        <f t="shared" si="23"/>
        <v>0.153</v>
      </c>
      <c r="O757" s="2">
        <v>51.049737</v>
      </c>
      <c r="P757" s="2">
        <v>-118.194671</v>
      </c>
      <c r="Q757" s="2" t="s">
        <v>2108</v>
      </c>
      <c r="R757" s="3" t="s">
        <v>24</v>
      </c>
      <c r="S757" s="2" t="s">
        <v>25</v>
      </c>
      <c r="T757" s="2" t="s">
        <v>26</v>
      </c>
    </row>
    <row r="758" spans="1:20" x14ac:dyDescent="0.2">
      <c r="A758" s="2">
        <v>4080</v>
      </c>
      <c r="B758" s="2" t="s">
        <v>1346</v>
      </c>
      <c r="C758" s="2" t="s">
        <v>1347</v>
      </c>
      <c r="D758" s="2" t="s">
        <v>69</v>
      </c>
      <c r="E758" s="2" t="s">
        <v>20</v>
      </c>
      <c r="F758" s="2">
        <v>2019</v>
      </c>
      <c r="G758" s="2">
        <v>2024</v>
      </c>
      <c r="H758" s="2">
        <f>'mpi_dataset_summary_2017-2024'!$G758-'mpi_dataset_summary_2017-2024'!$F758+1</f>
        <v>6</v>
      </c>
      <c r="I758" s="2" t="s">
        <v>2112</v>
      </c>
      <c r="J758" s="2" t="s">
        <v>2112</v>
      </c>
      <c r="K758" s="2">
        <f>IF('mpi_dataset_summary_2017-2024'!$G758=2024,1,0)</f>
        <v>1</v>
      </c>
      <c r="L758" s="2">
        <f t="shared" si="22"/>
        <v>0</v>
      </c>
      <c r="M758" s="2">
        <v>20</v>
      </c>
      <c r="N758" s="2">
        <f t="shared" si="23"/>
        <v>8.8999999999999996E-2</v>
      </c>
      <c r="O758" s="2">
        <v>49.307766000000001</v>
      </c>
      <c r="P758" s="2">
        <v>-121.799622</v>
      </c>
      <c r="Q758" s="2" t="s">
        <v>2108</v>
      </c>
      <c r="R758" s="3" t="s">
        <v>24</v>
      </c>
      <c r="S758" s="2" t="s">
        <v>25</v>
      </c>
      <c r="T758" s="2" t="s">
        <v>26</v>
      </c>
    </row>
    <row r="759" spans="1:20" x14ac:dyDescent="0.2">
      <c r="A759" s="2">
        <v>4081</v>
      </c>
      <c r="B759" s="2" t="s">
        <v>104</v>
      </c>
      <c r="C759" s="2" t="s">
        <v>1348</v>
      </c>
      <c r="D759" s="2" t="s">
        <v>69</v>
      </c>
      <c r="E759" s="2" t="s">
        <v>43</v>
      </c>
      <c r="F759" s="2">
        <v>2019</v>
      </c>
      <c r="G759" s="2">
        <v>2024</v>
      </c>
      <c r="H759" s="2">
        <f>'mpi_dataset_summary_2017-2024'!$G759-'mpi_dataset_summary_2017-2024'!$F759+1</f>
        <v>6</v>
      </c>
      <c r="I759" s="2" t="s">
        <v>2110</v>
      </c>
      <c r="J759" s="2" t="s">
        <v>2110</v>
      </c>
      <c r="K759" s="2">
        <f>IF('mpi_dataset_summary_2017-2024'!$G759=2024,1,0)</f>
        <v>1</v>
      </c>
      <c r="L759" s="2">
        <f t="shared" si="22"/>
        <v>1</v>
      </c>
      <c r="M759" s="2">
        <v>35</v>
      </c>
      <c r="N759" s="2">
        <f t="shared" si="23"/>
        <v>0.158</v>
      </c>
      <c r="O759" s="2">
        <v>49.702852999999998</v>
      </c>
      <c r="P759" s="2">
        <v>-123.15901100000001</v>
      </c>
      <c r="Q759" s="2" t="s">
        <v>2108</v>
      </c>
      <c r="R759" s="3" t="s">
        <v>24</v>
      </c>
      <c r="S759" s="2" t="s">
        <v>25</v>
      </c>
      <c r="T759" s="2" t="s">
        <v>26</v>
      </c>
    </row>
    <row r="760" spans="1:20" x14ac:dyDescent="0.2">
      <c r="A760" s="2">
        <v>4082</v>
      </c>
      <c r="B760" s="2" t="s">
        <v>104</v>
      </c>
      <c r="C760" s="2" t="s">
        <v>1349</v>
      </c>
      <c r="D760" s="2" t="s">
        <v>69</v>
      </c>
      <c r="E760" s="2" t="s">
        <v>43</v>
      </c>
      <c r="F760" s="2">
        <v>2020</v>
      </c>
      <c r="G760" s="2">
        <v>2020</v>
      </c>
      <c r="H760" s="2">
        <f>'mpi_dataset_summary_2017-2024'!$G760-'mpi_dataset_summary_2017-2024'!$F760+1</f>
        <v>1</v>
      </c>
      <c r="I760" s="2" t="s">
        <v>2110</v>
      </c>
      <c r="J760" s="2" t="s">
        <v>2110</v>
      </c>
      <c r="K760" s="2">
        <f>IF('mpi_dataset_summary_2017-2024'!$G760=2024,1,0)</f>
        <v>0</v>
      </c>
      <c r="L760" s="2">
        <f t="shared" si="22"/>
        <v>1</v>
      </c>
      <c r="M760" s="2">
        <v>24</v>
      </c>
      <c r="N760" s="2">
        <f t="shared" si="23"/>
        <v>0.122</v>
      </c>
      <c r="O760" s="2">
        <v>49.092452999999999</v>
      </c>
      <c r="P760" s="2">
        <v>-123.019571</v>
      </c>
      <c r="Q760" s="2" t="s">
        <v>2108</v>
      </c>
      <c r="R760" s="3" t="s">
        <v>24</v>
      </c>
      <c r="S760" s="2" t="s">
        <v>25</v>
      </c>
      <c r="T760" s="2" t="s">
        <v>26</v>
      </c>
    </row>
    <row r="761" spans="1:20" x14ac:dyDescent="0.2">
      <c r="A761" s="2">
        <v>4084</v>
      </c>
      <c r="B761" s="2" t="s">
        <v>104</v>
      </c>
      <c r="C761" s="2" t="s">
        <v>1350</v>
      </c>
      <c r="D761" s="2" t="s">
        <v>69</v>
      </c>
      <c r="E761" s="2" t="s">
        <v>43</v>
      </c>
      <c r="F761" s="2">
        <v>2019</v>
      </c>
      <c r="G761" s="2">
        <v>2022</v>
      </c>
      <c r="H761" s="2">
        <f>'mpi_dataset_summary_2017-2024'!$G761-'mpi_dataset_summary_2017-2024'!$F761+1</f>
        <v>4</v>
      </c>
      <c r="I761" s="2" t="s">
        <v>2110</v>
      </c>
      <c r="J761" s="2" t="s">
        <v>2110</v>
      </c>
      <c r="K761" s="2">
        <f>IF('mpi_dataset_summary_2017-2024'!$G761=2024,1,0)</f>
        <v>0</v>
      </c>
      <c r="L761" s="2">
        <f t="shared" si="22"/>
        <v>1</v>
      </c>
      <c r="M761" s="2">
        <v>35</v>
      </c>
      <c r="N761" s="2">
        <f t="shared" si="23"/>
        <v>0.158</v>
      </c>
      <c r="O761" s="2">
        <v>50.685693999999998</v>
      </c>
      <c r="P761" s="2">
        <v>-121.936334</v>
      </c>
      <c r="Q761" s="2" t="s">
        <v>2108</v>
      </c>
      <c r="R761" s="3" t="s">
        <v>24</v>
      </c>
      <c r="S761" s="2" t="s">
        <v>25</v>
      </c>
      <c r="T761" s="2" t="s">
        <v>26</v>
      </c>
    </row>
    <row r="762" spans="1:20" x14ac:dyDescent="0.2">
      <c r="A762" s="2">
        <v>4091</v>
      </c>
      <c r="B762" s="2" t="s">
        <v>1351</v>
      </c>
      <c r="C762" s="2" t="s">
        <v>1352</v>
      </c>
      <c r="D762" s="2" t="s">
        <v>69</v>
      </c>
      <c r="E762" s="2" t="s">
        <v>20</v>
      </c>
      <c r="F762" s="2">
        <v>2019</v>
      </c>
      <c r="G762" s="2">
        <v>2019</v>
      </c>
      <c r="H762" s="2">
        <f>'mpi_dataset_summary_2017-2024'!$G762-'mpi_dataset_summary_2017-2024'!$F762+1</f>
        <v>1</v>
      </c>
      <c r="I762" s="2" t="s">
        <v>2111</v>
      </c>
      <c r="J762" s="2" t="s">
        <v>2111</v>
      </c>
      <c r="K762" s="2">
        <f>IF('mpi_dataset_summary_2017-2024'!$G762=2024,1,0)</f>
        <v>0</v>
      </c>
      <c r="L762" s="2">
        <f t="shared" si="22"/>
        <v>0</v>
      </c>
      <c r="M762" s="2">
        <v>45</v>
      </c>
      <c r="N762" s="2">
        <f t="shared" si="23"/>
        <v>0.19400000000000001</v>
      </c>
      <c r="O762" s="2">
        <v>55.111669999999997</v>
      </c>
      <c r="P762" s="2">
        <v>-121.00063400000001</v>
      </c>
      <c r="Q762" s="2" t="s">
        <v>2108</v>
      </c>
      <c r="R762" s="3" t="s">
        <v>24</v>
      </c>
      <c r="S762" s="2" t="s">
        <v>25</v>
      </c>
      <c r="T762" s="2" t="s">
        <v>26</v>
      </c>
    </row>
    <row r="763" spans="1:20" x14ac:dyDescent="0.2">
      <c r="A763" s="2">
        <v>4092</v>
      </c>
      <c r="B763" s="2" t="s">
        <v>104</v>
      </c>
      <c r="C763" s="2" t="s">
        <v>1353</v>
      </c>
      <c r="D763" s="2" t="s">
        <v>69</v>
      </c>
      <c r="E763" s="2" t="s">
        <v>43</v>
      </c>
      <c r="F763" s="2">
        <v>2019</v>
      </c>
      <c r="G763" s="2">
        <v>2020</v>
      </c>
      <c r="H763" s="2">
        <f>'mpi_dataset_summary_2017-2024'!$G763-'mpi_dataset_summary_2017-2024'!$F763+1</f>
        <v>2</v>
      </c>
      <c r="I763" s="2" t="s">
        <v>2110</v>
      </c>
      <c r="J763" s="2" t="s">
        <v>2110</v>
      </c>
      <c r="K763" s="2">
        <f>IF('mpi_dataset_summary_2017-2024'!$G763=2024,1,0)</f>
        <v>0</v>
      </c>
      <c r="L763" s="2">
        <f t="shared" si="22"/>
        <v>1</v>
      </c>
      <c r="M763" s="2">
        <v>48</v>
      </c>
      <c r="N763" s="2">
        <f t="shared" si="23"/>
        <v>0.20799999999999999</v>
      </c>
      <c r="O763" s="2">
        <v>56.034311000000002</v>
      </c>
      <c r="P763" s="2">
        <v>-121.908672</v>
      </c>
      <c r="Q763" s="2" t="s">
        <v>2108</v>
      </c>
      <c r="R763" s="3" t="s">
        <v>41</v>
      </c>
      <c r="S763" s="2" t="s">
        <v>25</v>
      </c>
      <c r="T763" s="2" t="s">
        <v>46</v>
      </c>
    </row>
    <row r="764" spans="1:20" x14ac:dyDescent="0.2">
      <c r="A764" s="2">
        <v>4093</v>
      </c>
      <c r="B764" s="2" t="s">
        <v>104</v>
      </c>
      <c r="C764" s="2" t="s">
        <v>1354</v>
      </c>
      <c r="D764" s="2" t="s">
        <v>69</v>
      </c>
      <c r="E764" s="2" t="s">
        <v>43</v>
      </c>
      <c r="F764" s="2">
        <v>2019</v>
      </c>
      <c r="G764" s="2">
        <v>2024</v>
      </c>
      <c r="H764" s="2">
        <f>'mpi_dataset_summary_2017-2024'!$G764-'mpi_dataset_summary_2017-2024'!$F764+1</f>
        <v>6</v>
      </c>
      <c r="I764" s="2" t="s">
        <v>2111</v>
      </c>
      <c r="J764" s="2" t="s">
        <v>2110</v>
      </c>
      <c r="K764" s="2">
        <f>IF('mpi_dataset_summary_2017-2024'!$G764=2024,1,0)</f>
        <v>1</v>
      </c>
      <c r="L764" s="2">
        <f t="shared" si="22"/>
        <v>1</v>
      </c>
      <c r="M764" s="2">
        <v>56</v>
      </c>
      <c r="N764" s="2">
        <f t="shared" si="23"/>
        <v>0.247</v>
      </c>
      <c r="O764" s="2">
        <v>51.001441999999997</v>
      </c>
      <c r="P764" s="2">
        <v>-118.19374000000001</v>
      </c>
      <c r="Q764" s="2" t="s">
        <v>2108</v>
      </c>
      <c r="R764" s="3" t="s">
        <v>24</v>
      </c>
      <c r="S764" s="2" t="s">
        <v>25</v>
      </c>
      <c r="T764" s="2" t="s">
        <v>26</v>
      </c>
    </row>
    <row r="765" spans="1:20" x14ac:dyDescent="0.2">
      <c r="A765" s="2">
        <v>4094</v>
      </c>
      <c r="B765" s="2" t="s">
        <v>104</v>
      </c>
      <c r="C765" s="2" t="s">
        <v>1355</v>
      </c>
      <c r="D765" s="2" t="s">
        <v>69</v>
      </c>
      <c r="E765" s="2" t="s">
        <v>43</v>
      </c>
      <c r="F765" s="2">
        <v>2019</v>
      </c>
      <c r="G765" s="2">
        <v>2022</v>
      </c>
      <c r="H765" s="2">
        <f>'mpi_dataset_summary_2017-2024'!$G765-'mpi_dataset_summary_2017-2024'!$F765+1</f>
        <v>4</v>
      </c>
      <c r="I765" s="2" t="s">
        <v>2110</v>
      </c>
      <c r="J765" s="2" t="s">
        <v>2110</v>
      </c>
      <c r="K765" s="2">
        <f>IF('mpi_dataset_summary_2017-2024'!$G765=2024,1,0)</f>
        <v>0</v>
      </c>
      <c r="L765" s="2">
        <f t="shared" si="22"/>
        <v>1</v>
      </c>
      <c r="M765" s="2">
        <v>48</v>
      </c>
      <c r="N765" s="2">
        <f t="shared" si="23"/>
        <v>0.20799999999999999</v>
      </c>
      <c r="O765" s="2">
        <v>49.262574999999998</v>
      </c>
      <c r="P765" s="2">
        <v>-122.9007</v>
      </c>
      <c r="Q765" s="2" t="s">
        <v>2108</v>
      </c>
      <c r="R765" s="3" t="s">
        <v>35</v>
      </c>
      <c r="S765" s="2" t="s">
        <v>22</v>
      </c>
      <c r="T765" s="2" t="s">
        <v>36</v>
      </c>
    </row>
    <row r="766" spans="1:20" x14ac:dyDescent="0.2">
      <c r="A766" s="2">
        <v>4096</v>
      </c>
      <c r="B766" s="2" t="s">
        <v>1356</v>
      </c>
      <c r="C766" s="2" t="s">
        <v>1357</v>
      </c>
      <c r="D766" s="2" t="s">
        <v>69</v>
      </c>
      <c r="E766" s="2" t="s">
        <v>20</v>
      </c>
      <c r="F766" s="2">
        <v>2019</v>
      </c>
      <c r="G766" s="2">
        <v>2024</v>
      </c>
      <c r="H766" s="2">
        <f>'mpi_dataset_summary_2017-2024'!$G766-'mpi_dataset_summary_2017-2024'!$F766+1</f>
        <v>6</v>
      </c>
      <c r="I766" s="2" t="s">
        <v>2112</v>
      </c>
      <c r="J766" s="2" t="s">
        <v>2111</v>
      </c>
      <c r="K766" s="2">
        <f>IF('mpi_dataset_summary_2017-2024'!$G766=2024,1,0)</f>
        <v>1</v>
      </c>
      <c r="L766" s="2">
        <f t="shared" si="22"/>
        <v>0</v>
      </c>
      <c r="M766" s="2">
        <v>50</v>
      </c>
      <c r="N766" s="2">
        <f t="shared" si="23"/>
        <v>0.214</v>
      </c>
      <c r="O766" s="2">
        <v>55.111669999999997</v>
      </c>
      <c r="P766" s="2">
        <v>-121.00063400000001</v>
      </c>
      <c r="Q766" s="2" t="s">
        <v>2108</v>
      </c>
      <c r="R766" s="3" t="s">
        <v>24</v>
      </c>
      <c r="S766" s="2" t="s">
        <v>25</v>
      </c>
      <c r="T766" s="2" t="s">
        <v>26</v>
      </c>
    </row>
    <row r="767" spans="1:20" x14ac:dyDescent="0.2">
      <c r="A767" s="2">
        <v>4097</v>
      </c>
      <c r="B767" s="2" t="s">
        <v>1358</v>
      </c>
      <c r="C767" s="2" t="s">
        <v>1359</v>
      </c>
      <c r="D767" s="2" t="s">
        <v>69</v>
      </c>
      <c r="E767" s="2" t="s">
        <v>20</v>
      </c>
      <c r="F767" s="2">
        <v>2019</v>
      </c>
      <c r="G767" s="2">
        <v>2022</v>
      </c>
      <c r="H767" s="2">
        <f>'mpi_dataset_summary_2017-2024'!$G767-'mpi_dataset_summary_2017-2024'!$F767+1</f>
        <v>4</v>
      </c>
      <c r="I767" s="2" t="s">
        <v>2112</v>
      </c>
      <c r="J767" s="2" t="s">
        <v>2112</v>
      </c>
      <c r="K767" s="2">
        <f>IF('mpi_dataset_summary_2017-2024'!$G767=2024,1,0)</f>
        <v>0</v>
      </c>
      <c r="L767" s="2">
        <f t="shared" si="22"/>
        <v>0</v>
      </c>
      <c r="M767" s="2">
        <v>50</v>
      </c>
      <c r="N767" s="2">
        <f t="shared" si="23"/>
        <v>0.214</v>
      </c>
      <c r="O767" s="2">
        <v>55.568893000000003</v>
      </c>
      <c r="P767" s="2">
        <v>-121.461838</v>
      </c>
      <c r="Q767" s="2" t="s">
        <v>2108</v>
      </c>
      <c r="R767" s="3" t="s">
        <v>24</v>
      </c>
      <c r="S767" s="2" t="s">
        <v>25</v>
      </c>
      <c r="T767" s="2" t="s">
        <v>26</v>
      </c>
    </row>
    <row r="768" spans="1:20" x14ac:dyDescent="0.2">
      <c r="A768" s="2">
        <v>4098</v>
      </c>
      <c r="B768" s="2" t="s">
        <v>1360</v>
      </c>
      <c r="C768" s="2" t="s">
        <v>1361</v>
      </c>
      <c r="D768" s="2" t="s">
        <v>69</v>
      </c>
      <c r="E768" s="2" t="s">
        <v>20</v>
      </c>
      <c r="F768" s="2">
        <v>2019</v>
      </c>
      <c r="G768" s="2">
        <v>2022</v>
      </c>
      <c r="H768" s="2">
        <f>'mpi_dataset_summary_2017-2024'!$G768-'mpi_dataset_summary_2017-2024'!$F768+1</f>
        <v>4</v>
      </c>
      <c r="I768" s="2" t="s">
        <v>2110</v>
      </c>
      <c r="J768" s="2" t="s">
        <v>2111</v>
      </c>
      <c r="K768" s="2">
        <f>IF('mpi_dataset_summary_2017-2024'!$G768=2024,1,0)</f>
        <v>0</v>
      </c>
      <c r="L768" s="2">
        <f t="shared" si="22"/>
        <v>0</v>
      </c>
      <c r="M768" s="2">
        <v>50</v>
      </c>
      <c r="N768" s="2">
        <f t="shared" si="23"/>
        <v>0.214</v>
      </c>
      <c r="O768" s="2">
        <v>55.568893000000003</v>
      </c>
      <c r="P768" s="2">
        <v>-121.461838</v>
      </c>
      <c r="Q768" s="2" t="s">
        <v>2108</v>
      </c>
      <c r="R768" s="3" t="s">
        <v>24</v>
      </c>
      <c r="S768" s="2" t="s">
        <v>25</v>
      </c>
      <c r="T768" s="2" t="s">
        <v>26</v>
      </c>
    </row>
    <row r="769" spans="1:20" x14ac:dyDescent="0.2">
      <c r="A769" s="2">
        <v>4101</v>
      </c>
      <c r="B769" s="2" t="s">
        <v>104</v>
      </c>
      <c r="C769" s="2" t="s">
        <v>1362</v>
      </c>
      <c r="D769" s="2" t="s">
        <v>69</v>
      </c>
      <c r="E769" s="2" t="s">
        <v>43</v>
      </c>
      <c r="F769" s="2">
        <v>2019</v>
      </c>
      <c r="G769" s="2">
        <v>2020</v>
      </c>
      <c r="H769" s="2">
        <f>'mpi_dataset_summary_2017-2024'!$G769-'mpi_dataset_summary_2017-2024'!$F769+1</f>
        <v>2</v>
      </c>
      <c r="I769" s="2" t="s">
        <v>2110</v>
      </c>
      <c r="J769" s="2" t="s">
        <v>2110</v>
      </c>
      <c r="K769" s="2">
        <f>IF('mpi_dataset_summary_2017-2024'!$G769=2024,1,0)</f>
        <v>0</v>
      </c>
      <c r="L769" s="2">
        <f t="shared" si="22"/>
        <v>1</v>
      </c>
      <c r="M769" s="2">
        <v>55</v>
      </c>
      <c r="N769" s="2">
        <f t="shared" si="23"/>
        <v>0.24199999999999999</v>
      </c>
      <c r="O769" s="2">
        <v>49.261696999999998</v>
      </c>
      <c r="P769" s="2">
        <v>-123.232418</v>
      </c>
      <c r="Q769" s="2" t="s">
        <v>2108</v>
      </c>
      <c r="R769" s="3" t="s">
        <v>41</v>
      </c>
      <c r="S769" s="2" t="s">
        <v>25</v>
      </c>
      <c r="T769" s="2" t="s">
        <v>46</v>
      </c>
    </row>
    <row r="770" spans="1:20" x14ac:dyDescent="0.2">
      <c r="A770" s="2">
        <v>4104</v>
      </c>
      <c r="B770" s="2" t="s">
        <v>1363</v>
      </c>
      <c r="C770" s="2" t="s">
        <v>1364</v>
      </c>
      <c r="D770" s="2" t="s">
        <v>69</v>
      </c>
      <c r="E770" s="2" t="s">
        <v>20</v>
      </c>
      <c r="F770" s="2">
        <v>2019</v>
      </c>
      <c r="G770" s="2">
        <v>2024</v>
      </c>
      <c r="H770" s="2">
        <f>'mpi_dataset_summary_2017-2024'!$G770-'mpi_dataset_summary_2017-2024'!$F770+1</f>
        <v>6</v>
      </c>
      <c r="I770" s="2" t="s">
        <v>2111</v>
      </c>
      <c r="J770" s="2" t="s">
        <v>2111</v>
      </c>
      <c r="K770" s="2">
        <f>IF('mpi_dataset_summary_2017-2024'!$G770=2024,1,0)</f>
        <v>1</v>
      </c>
      <c r="L770" s="2">
        <f t="shared" ref="L770:L833" si="24">IF(J770="Under Construction",1,0)</f>
        <v>0</v>
      </c>
      <c r="M770" s="2">
        <v>70</v>
      </c>
      <c r="N770" s="2">
        <f t="shared" ref="N770:N833" si="25">_xlfn.PERCENTRANK.INC($M$2:$M$4056,M770)</f>
        <v>0.27600000000000002</v>
      </c>
      <c r="O770" s="2">
        <v>53.922409999999999</v>
      </c>
      <c r="P770" s="2">
        <v>-122.745706</v>
      </c>
      <c r="Q770" s="2" t="s">
        <v>2108</v>
      </c>
      <c r="R770" s="3" t="s">
        <v>44</v>
      </c>
      <c r="S770" s="2" t="s">
        <v>25</v>
      </c>
      <c r="T770" s="2" t="s">
        <v>45</v>
      </c>
    </row>
    <row r="771" spans="1:20" x14ac:dyDescent="0.2">
      <c r="A771" s="2">
        <v>4105</v>
      </c>
      <c r="B771" s="2" t="s">
        <v>104</v>
      </c>
      <c r="C771" s="2" t="s">
        <v>1365</v>
      </c>
      <c r="D771" s="2" t="s">
        <v>69</v>
      </c>
      <c r="E771" s="2" t="s">
        <v>43</v>
      </c>
      <c r="F771" s="2">
        <v>2019</v>
      </c>
      <c r="G771" s="2">
        <v>2022</v>
      </c>
      <c r="H771" s="2">
        <f>'mpi_dataset_summary_2017-2024'!$G771-'mpi_dataset_summary_2017-2024'!$F771+1</f>
        <v>4</v>
      </c>
      <c r="I771" s="2" t="s">
        <v>2110</v>
      </c>
      <c r="J771" s="2" t="s">
        <v>2110</v>
      </c>
      <c r="K771" s="2">
        <f>IF('mpi_dataset_summary_2017-2024'!$G771=2024,1,0)</f>
        <v>0</v>
      </c>
      <c r="L771" s="2">
        <f t="shared" si="24"/>
        <v>1</v>
      </c>
      <c r="M771" s="2">
        <v>76</v>
      </c>
      <c r="N771" s="2">
        <f t="shared" si="25"/>
        <v>0.29899999999999999</v>
      </c>
      <c r="O771" s="2">
        <v>49.113112999999998</v>
      </c>
      <c r="P771" s="2">
        <v>-123.13152700000001</v>
      </c>
      <c r="Q771" s="2" t="s">
        <v>2108</v>
      </c>
      <c r="R771" s="3" t="s">
        <v>35</v>
      </c>
      <c r="S771" s="2" t="s">
        <v>22</v>
      </c>
      <c r="T771" s="2" t="s">
        <v>36</v>
      </c>
    </row>
    <row r="772" spans="1:20" x14ac:dyDescent="0.2">
      <c r="A772" s="2">
        <v>4106</v>
      </c>
      <c r="B772" s="2" t="s">
        <v>104</v>
      </c>
      <c r="C772" s="2" t="s">
        <v>1366</v>
      </c>
      <c r="D772" s="2" t="s">
        <v>69</v>
      </c>
      <c r="E772" s="2" t="s">
        <v>43</v>
      </c>
      <c r="F772" s="2">
        <v>2019</v>
      </c>
      <c r="G772" s="2">
        <v>2024</v>
      </c>
      <c r="H772" s="2">
        <f>'mpi_dataset_summary_2017-2024'!$G772-'mpi_dataset_summary_2017-2024'!$F772+1</f>
        <v>6</v>
      </c>
      <c r="I772" s="2" t="s">
        <v>2110</v>
      </c>
      <c r="J772" s="2" t="s">
        <v>2110</v>
      </c>
      <c r="K772" s="2">
        <f>IF('mpi_dataset_summary_2017-2024'!$G772=2024,1,0)</f>
        <v>1</v>
      </c>
      <c r="L772" s="2">
        <f t="shared" si="24"/>
        <v>1</v>
      </c>
      <c r="M772" s="2">
        <v>81</v>
      </c>
      <c r="N772" s="2">
        <f t="shared" si="25"/>
        <v>0.311</v>
      </c>
      <c r="O772" s="2">
        <v>49.27422</v>
      </c>
      <c r="P772" s="2">
        <v>-123.12560499999999</v>
      </c>
      <c r="Q772" s="2" t="s">
        <v>2108</v>
      </c>
      <c r="R772" s="3" t="s">
        <v>24</v>
      </c>
      <c r="S772" s="2" t="s">
        <v>25</v>
      </c>
      <c r="T772" s="2" t="s">
        <v>26</v>
      </c>
    </row>
    <row r="773" spans="1:20" x14ac:dyDescent="0.2">
      <c r="A773" s="2">
        <v>4107</v>
      </c>
      <c r="B773" s="2" t="s">
        <v>104</v>
      </c>
      <c r="C773" s="2" t="s">
        <v>1367</v>
      </c>
      <c r="D773" s="2" t="s">
        <v>69</v>
      </c>
      <c r="E773" s="2" t="s">
        <v>43</v>
      </c>
      <c r="F773" s="2">
        <v>2019</v>
      </c>
      <c r="G773" s="2">
        <v>2022</v>
      </c>
      <c r="H773" s="2">
        <f>'mpi_dataset_summary_2017-2024'!$G773-'mpi_dataset_summary_2017-2024'!$F773+1</f>
        <v>4</v>
      </c>
      <c r="I773" s="2" t="s">
        <v>2113</v>
      </c>
      <c r="J773" s="2" t="s">
        <v>2110</v>
      </c>
      <c r="K773" s="2">
        <f>IF('mpi_dataset_summary_2017-2024'!$G773=2024,1,0)</f>
        <v>0</v>
      </c>
      <c r="L773" s="2">
        <f t="shared" si="24"/>
        <v>1</v>
      </c>
      <c r="M773" s="2">
        <v>82</v>
      </c>
      <c r="N773" s="2">
        <f t="shared" si="25"/>
        <v>0.313</v>
      </c>
      <c r="O773" s="2">
        <v>51.001441999999997</v>
      </c>
      <c r="P773" s="2">
        <v>-118.19374000000001</v>
      </c>
      <c r="Q773" s="2" t="s">
        <v>2108</v>
      </c>
      <c r="R773" s="3" t="s">
        <v>24</v>
      </c>
      <c r="S773" s="2" t="s">
        <v>25</v>
      </c>
      <c r="T773" s="2" t="s">
        <v>26</v>
      </c>
    </row>
    <row r="774" spans="1:20" x14ac:dyDescent="0.2">
      <c r="A774" s="2">
        <v>4108</v>
      </c>
      <c r="B774" s="2" t="s">
        <v>1368</v>
      </c>
      <c r="C774" s="2" t="s">
        <v>1369</v>
      </c>
      <c r="D774" s="2" t="s">
        <v>69</v>
      </c>
      <c r="E774" s="2" t="s">
        <v>43</v>
      </c>
      <c r="F774" s="2">
        <v>2019</v>
      </c>
      <c r="G774" s="2">
        <v>2024</v>
      </c>
      <c r="H774" s="2">
        <f>'mpi_dataset_summary_2017-2024'!$G774-'mpi_dataset_summary_2017-2024'!$F774+1</f>
        <v>6</v>
      </c>
      <c r="I774" s="2" t="s">
        <v>2110</v>
      </c>
      <c r="J774" s="2" t="s">
        <v>2110</v>
      </c>
      <c r="K774" s="2">
        <f>IF('mpi_dataset_summary_2017-2024'!$G774=2024,1,0)</f>
        <v>1</v>
      </c>
      <c r="L774" s="2">
        <f t="shared" si="24"/>
        <v>1</v>
      </c>
      <c r="M774" s="2">
        <v>82</v>
      </c>
      <c r="N774" s="2">
        <f t="shared" si="25"/>
        <v>0.313</v>
      </c>
      <c r="O774" s="2">
        <v>54.061535999999997</v>
      </c>
      <c r="P774" s="2">
        <v>-128.63388699999999</v>
      </c>
      <c r="Q774" s="2" t="s">
        <v>2108</v>
      </c>
      <c r="R774" s="3" t="s">
        <v>35</v>
      </c>
      <c r="S774" s="2" t="s">
        <v>22</v>
      </c>
      <c r="T774" s="2" t="s">
        <v>36</v>
      </c>
    </row>
    <row r="775" spans="1:20" x14ac:dyDescent="0.2">
      <c r="A775" s="2">
        <v>4109</v>
      </c>
      <c r="B775" s="2" t="s">
        <v>104</v>
      </c>
      <c r="C775" s="2" t="s">
        <v>1370</v>
      </c>
      <c r="D775" s="2" t="s">
        <v>69</v>
      </c>
      <c r="E775" s="2" t="s">
        <v>43</v>
      </c>
      <c r="F775" s="2">
        <v>2019</v>
      </c>
      <c r="G775" s="2">
        <v>2019</v>
      </c>
      <c r="H775" s="2">
        <f>'mpi_dataset_summary_2017-2024'!$G775-'mpi_dataset_summary_2017-2024'!$F775+1</f>
        <v>1</v>
      </c>
      <c r="I775" s="2" t="s">
        <v>2112</v>
      </c>
      <c r="J775" s="2" t="s">
        <v>2112</v>
      </c>
      <c r="K775" s="2">
        <f>IF('mpi_dataset_summary_2017-2024'!$G775=2024,1,0)</f>
        <v>0</v>
      </c>
      <c r="L775" s="2">
        <f t="shared" si="24"/>
        <v>0</v>
      </c>
      <c r="M775" s="2">
        <v>86</v>
      </c>
      <c r="N775" s="2">
        <f t="shared" si="25"/>
        <v>0.32200000000000001</v>
      </c>
      <c r="O775" s="2">
        <v>50.685977000000001</v>
      </c>
      <c r="P775" s="2">
        <v>-121.936464</v>
      </c>
      <c r="Q775" s="2" t="s">
        <v>2108</v>
      </c>
      <c r="R775" s="3" t="s">
        <v>41</v>
      </c>
      <c r="S775" s="2" t="s">
        <v>25</v>
      </c>
      <c r="T775" s="2" t="s">
        <v>46</v>
      </c>
    </row>
    <row r="776" spans="1:20" x14ac:dyDescent="0.2">
      <c r="A776" s="2">
        <v>4111</v>
      </c>
      <c r="B776" s="2" t="s">
        <v>1371</v>
      </c>
      <c r="C776" s="2" t="s">
        <v>1372</v>
      </c>
      <c r="D776" s="2" t="s">
        <v>69</v>
      </c>
      <c r="E776" s="2" t="s">
        <v>20</v>
      </c>
      <c r="F776" s="2">
        <v>2019</v>
      </c>
      <c r="G776" s="2">
        <v>2024</v>
      </c>
      <c r="H776" s="2">
        <f>'mpi_dataset_summary_2017-2024'!$G776-'mpi_dataset_summary_2017-2024'!$F776+1</f>
        <v>6</v>
      </c>
      <c r="I776" s="2" t="s">
        <v>2111</v>
      </c>
      <c r="J776" s="2" t="s">
        <v>2112</v>
      </c>
      <c r="K776" s="2">
        <f>IF('mpi_dataset_summary_2017-2024'!$G776=2024,1,0)</f>
        <v>1</v>
      </c>
      <c r="L776" s="2">
        <f t="shared" si="24"/>
        <v>0</v>
      </c>
      <c r="M776" s="2">
        <v>120</v>
      </c>
      <c r="N776" s="2">
        <f t="shared" si="25"/>
        <v>0.38900000000000001</v>
      </c>
      <c r="O776" s="2">
        <v>52.830615999999999</v>
      </c>
      <c r="P776" s="2">
        <v>-119.265917</v>
      </c>
      <c r="Q776" s="2" t="s">
        <v>2108</v>
      </c>
      <c r="R776" s="3" t="s">
        <v>24</v>
      </c>
      <c r="S776" s="2" t="s">
        <v>25</v>
      </c>
      <c r="T776" s="2" t="s">
        <v>26</v>
      </c>
    </row>
    <row r="777" spans="1:20" x14ac:dyDescent="0.2">
      <c r="A777" s="2">
        <v>4112</v>
      </c>
      <c r="B777" s="2" t="s">
        <v>1373</v>
      </c>
      <c r="C777" s="2" t="s">
        <v>1374</v>
      </c>
      <c r="D777" s="2" t="s">
        <v>69</v>
      </c>
      <c r="E777" s="2" t="s">
        <v>20</v>
      </c>
      <c r="F777" s="2">
        <v>2019</v>
      </c>
      <c r="G777" s="2">
        <v>2019</v>
      </c>
      <c r="H777" s="2">
        <f>'mpi_dataset_summary_2017-2024'!$G777-'mpi_dataset_summary_2017-2024'!$F777+1</f>
        <v>1</v>
      </c>
      <c r="I777" s="2" t="s">
        <v>2112</v>
      </c>
      <c r="J777" s="2" t="s">
        <v>2112</v>
      </c>
      <c r="K777" s="2">
        <f>IF('mpi_dataset_summary_2017-2024'!$G777=2024,1,0)</f>
        <v>0</v>
      </c>
      <c r="L777" s="2">
        <f t="shared" si="24"/>
        <v>0</v>
      </c>
      <c r="M777" s="2">
        <v>140</v>
      </c>
      <c r="N777" s="2">
        <f t="shared" si="25"/>
        <v>0.42599999999999999</v>
      </c>
      <c r="O777" s="2">
        <v>54.232283000000002</v>
      </c>
      <c r="P777" s="2">
        <v>-125.76662</v>
      </c>
      <c r="Q777" s="2" t="s">
        <v>2108</v>
      </c>
      <c r="R777" s="3" t="s">
        <v>24</v>
      </c>
      <c r="S777" s="2" t="s">
        <v>25</v>
      </c>
      <c r="T777" s="2" t="s">
        <v>26</v>
      </c>
    </row>
    <row r="778" spans="1:20" x14ac:dyDescent="0.2">
      <c r="A778" s="2">
        <v>4114</v>
      </c>
      <c r="B778" s="2" t="s">
        <v>175</v>
      </c>
      <c r="C778" s="2" t="s">
        <v>176</v>
      </c>
      <c r="D778" s="2" t="s">
        <v>69</v>
      </c>
      <c r="E778" s="2" t="s">
        <v>20</v>
      </c>
      <c r="F778" s="2">
        <v>2019</v>
      </c>
      <c r="G778" s="2">
        <v>2022</v>
      </c>
      <c r="H778" s="2">
        <f>'mpi_dataset_summary_2017-2024'!$G778-'mpi_dataset_summary_2017-2024'!$F778+1</f>
        <v>4</v>
      </c>
      <c r="I778" s="2" t="s">
        <v>2110</v>
      </c>
      <c r="J778" s="2" t="s">
        <v>2113</v>
      </c>
      <c r="K778" s="2">
        <f>IF('mpi_dataset_summary_2017-2024'!$G778=2024,1,0)</f>
        <v>0</v>
      </c>
      <c r="L778" s="2">
        <f t="shared" si="24"/>
        <v>0</v>
      </c>
      <c r="M778" s="2">
        <v>250</v>
      </c>
      <c r="N778" s="2">
        <f t="shared" si="25"/>
        <v>0.53500000000000003</v>
      </c>
      <c r="O778" s="2">
        <v>57.833078</v>
      </c>
      <c r="P778" s="2">
        <v>-129.98287999999999</v>
      </c>
      <c r="Q778" s="2" t="s">
        <v>2108</v>
      </c>
      <c r="R778" s="3" t="s">
        <v>24</v>
      </c>
      <c r="S778" s="2" t="s">
        <v>25</v>
      </c>
      <c r="T778" s="2" t="s">
        <v>26</v>
      </c>
    </row>
    <row r="779" spans="1:20" x14ac:dyDescent="0.2">
      <c r="A779" s="2">
        <v>4115</v>
      </c>
      <c r="B779" s="2" t="s">
        <v>531</v>
      </c>
      <c r="C779" s="2" t="s">
        <v>1375</v>
      </c>
      <c r="D779" s="2" t="s">
        <v>69</v>
      </c>
      <c r="E779" s="2" t="s">
        <v>20</v>
      </c>
      <c r="F779" s="2">
        <v>2019</v>
      </c>
      <c r="G779" s="2">
        <v>2022</v>
      </c>
      <c r="H779" s="2">
        <f>'mpi_dataset_summary_2017-2024'!$G779-'mpi_dataset_summary_2017-2024'!$F779+1</f>
        <v>4</v>
      </c>
      <c r="I779" s="2" t="s">
        <v>2111</v>
      </c>
      <c r="J779" s="2" t="s">
        <v>2111</v>
      </c>
      <c r="K779" s="2">
        <f>IF('mpi_dataset_summary_2017-2024'!$G779=2024,1,0)</f>
        <v>0</v>
      </c>
      <c r="L779" s="2">
        <f t="shared" si="24"/>
        <v>0</v>
      </c>
      <c r="M779" s="2">
        <v>260</v>
      </c>
      <c r="N779" s="2">
        <f t="shared" si="25"/>
        <v>0.55300000000000005</v>
      </c>
      <c r="O779" s="2">
        <v>50.931690000000003</v>
      </c>
      <c r="P779" s="2">
        <v>-126.818821</v>
      </c>
      <c r="Q779" s="2" t="s">
        <v>2108</v>
      </c>
      <c r="R779" s="3" t="s">
        <v>37</v>
      </c>
      <c r="S779" s="2" t="s">
        <v>22</v>
      </c>
      <c r="T779" s="2" t="s">
        <v>38</v>
      </c>
    </row>
    <row r="780" spans="1:20" x14ac:dyDescent="0.2">
      <c r="A780" s="2">
        <v>4116</v>
      </c>
      <c r="B780" s="2" t="s">
        <v>1376</v>
      </c>
      <c r="C780" s="2" t="s">
        <v>1377</v>
      </c>
      <c r="D780" s="2" t="s">
        <v>69</v>
      </c>
      <c r="E780" s="2" t="s">
        <v>43</v>
      </c>
      <c r="F780" s="2">
        <v>2020</v>
      </c>
      <c r="G780" s="2">
        <v>2024</v>
      </c>
      <c r="H780" s="2">
        <f>'mpi_dataset_summary_2017-2024'!$G780-'mpi_dataset_summary_2017-2024'!$F780+1</f>
        <v>5</v>
      </c>
      <c r="I780" s="2" t="s">
        <v>2111</v>
      </c>
      <c r="J780" s="2" t="s">
        <v>2111</v>
      </c>
      <c r="K780" s="2">
        <f>IF('mpi_dataset_summary_2017-2024'!$G780=2024,1,0)</f>
        <v>1</v>
      </c>
      <c r="L780" s="2">
        <f t="shared" si="24"/>
        <v>0</v>
      </c>
      <c r="M780" s="2">
        <v>275</v>
      </c>
      <c r="N780" s="2">
        <f t="shared" si="25"/>
        <v>0.56299999999999994</v>
      </c>
      <c r="O780" s="2">
        <v>53.566667000000002</v>
      </c>
      <c r="P780" s="2">
        <v>-124.95</v>
      </c>
      <c r="Q780" s="2" t="s">
        <v>2108</v>
      </c>
      <c r="R780" s="3" t="s">
        <v>24</v>
      </c>
      <c r="S780" s="2" t="s">
        <v>25</v>
      </c>
      <c r="T780" s="2" t="s">
        <v>26</v>
      </c>
    </row>
    <row r="781" spans="1:20" x14ac:dyDescent="0.2">
      <c r="A781" s="2">
        <v>4117</v>
      </c>
      <c r="B781" s="2" t="s">
        <v>104</v>
      </c>
      <c r="C781" s="2" t="s">
        <v>1378</v>
      </c>
      <c r="D781" s="2" t="s">
        <v>69</v>
      </c>
      <c r="E781" s="2" t="s">
        <v>43</v>
      </c>
      <c r="F781" s="2">
        <v>2019</v>
      </c>
      <c r="G781" s="2">
        <v>2022</v>
      </c>
      <c r="H781" s="2">
        <f>'mpi_dataset_summary_2017-2024'!$G781-'mpi_dataset_summary_2017-2024'!$F781+1</f>
        <v>4</v>
      </c>
      <c r="I781" s="2" t="s">
        <v>2110</v>
      </c>
      <c r="J781" s="2" t="s">
        <v>2110</v>
      </c>
      <c r="K781" s="2">
        <f>IF('mpi_dataset_summary_2017-2024'!$G781=2024,1,0)</f>
        <v>0</v>
      </c>
      <c r="L781" s="2">
        <f t="shared" si="24"/>
        <v>1</v>
      </c>
      <c r="M781" s="2">
        <v>285</v>
      </c>
      <c r="N781" s="2">
        <f t="shared" si="25"/>
        <v>0.56799999999999995</v>
      </c>
      <c r="O781" s="2">
        <v>56.250411999999997</v>
      </c>
      <c r="P781" s="2">
        <v>-120.845861</v>
      </c>
      <c r="Q781" s="2" t="s">
        <v>2108</v>
      </c>
      <c r="R781" s="3" t="s">
        <v>24</v>
      </c>
      <c r="S781" s="2" t="s">
        <v>25</v>
      </c>
      <c r="T781" s="2" t="s">
        <v>26</v>
      </c>
    </row>
    <row r="782" spans="1:20" x14ac:dyDescent="0.2">
      <c r="A782" s="2">
        <v>4119</v>
      </c>
      <c r="B782" s="2" t="s">
        <v>1379</v>
      </c>
      <c r="C782" s="2" t="s">
        <v>1380</v>
      </c>
      <c r="D782" s="2" t="s">
        <v>69</v>
      </c>
      <c r="E782" s="2" t="s">
        <v>20</v>
      </c>
      <c r="F782" s="2">
        <v>2019</v>
      </c>
      <c r="G782" s="2">
        <v>2024</v>
      </c>
      <c r="H782" s="2">
        <f>'mpi_dataset_summary_2017-2024'!$G782-'mpi_dataset_summary_2017-2024'!$F782+1</f>
        <v>6</v>
      </c>
      <c r="I782" s="2" t="s">
        <v>2112</v>
      </c>
      <c r="J782" s="2" t="s">
        <v>2112</v>
      </c>
      <c r="K782" s="2">
        <f>IF('mpi_dataset_summary_2017-2024'!$G782=2024,1,0)</f>
        <v>1</v>
      </c>
      <c r="L782" s="2">
        <f t="shared" si="24"/>
        <v>0</v>
      </c>
      <c r="M782" s="2">
        <v>750</v>
      </c>
      <c r="N782" s="2">
        <f t="shared" si="25"/>
        <v>0.75700000000000001</v>
      </c>
      <c r="O782" s="2">
        <v>54.314188000000001</v>
      </c>
      <c r="P782" s="2">
        <v>-130.322183</v>
      </c>
      <c r="Q782" s="2" t="s">
        <v>2108</v>
      </c>
      <c r="R782" s="3" t="s">
        <v>49</v>
      </c>
      <c r="S782" s="2" t="s">
        <v>25</v>
      </c>
      <c r="T782" s="2" t="s">
        <v>50</v>
      </c>
    </row>
    <row r="783" spans="1:20" x14ac:dyDescent="0.2">
      <c r="A783" s="2">
        <v>4122</v>
      </c>
      <c r="B783" s="2" t="s">
        <v>1381</v>
      </c>
      <c r="C783" s="2" t="s">
        <v>1382</v>
      </c>
      <c r="D783" s="2" t="s">
        <v>69</v>
      </c>
      <c r="E783" s="2" t="s">
        <v>20</v>
      </c>
      <c r="F783" s="2">
        <v>2020</v>
      </c>
      <c r="G783" s="2">
        <v>2023</v>
      </c>
      <c r="H783" s="2">
        <f>'mpi_dataset_summary_2017-2024'!$G783-'mpi_dataset_summary_2017-2024'!$F783+1</f>
        <v>4</v>
      </c>
      <c r="I783" s="2" t="s">
        <v>2112</v>
      </c>
      <c r="J783" s="2" t="s">
        <v>2111</v>
      </c>
      <c r="K783" s="2">
        <f>IF('mpi_dataset_summary_2017-2024'!$G783=2024,1,0)</f>
        <v>0</v>
      </c>
      <c r="L783" s="2">
        <f t="shared" si="24"/>
        <v>0</v>
      </c>
      <c r="M783" s="2">
        <v>216</v>
      </c>
      <c r="N783" s="2">
        <f t="shared" si="25"/>
        <v>0.51500000000000001</v>
      </c>
      <c r="O783" s="2">
        <v>57.666666999999997</v>
      </c>
      <c r="P783" s="2">
        <v>-130.25</v>
      </c>
      <c r="Q783" s="2" t="s">
        <v>2107</v>
      </c>
      <c r="R783" s="3" t="s">
        <v>29</v>
      </c>
      <c r="S783" s="2" t="s">
        <v>22</v>
      </c>
      <c r="T783" s="2" t="s">
        <v>30</v>
      </c>
    </row>
    <row r="784" spans="1:20" x14ac:dyDescent="0.2">
      <c r="A784" s="2">
        <v>4123</v>
      </c>
      <c r="B784" s="2" t="s">
        <v>1383</v>
      </c>
      <c r="C784" s="2" t="s">
        <v>1384</v>
      </c>
      <c r="D784" s="2" t="s">
        <v>69</v>
      </c>
      <c r="E784" s="2" t="s">
        <v>20</v>
      </c>
      <c r="F784" s="2">
        <v>2020</v>
      </c>
      <c r="G784" s="2">
        <v>2022</v>
      </c>
      <c r="H784" s="2">
        <f>'mpi_dataset_summary_2017-2024'!$G784-'mpi_dataset_summary_2017-2024'!$F784+1</f>
        <v>3</v>
      </c>
      <c r="I784" s="2" t="s">
        <v>2111</v>
      </c>
      <c r="J784" s="2" t="s">
        <v>2111</v>
      </c>
      <c r="K784" s="2">
        <f>IF('mpi_dataset_summary_2017-2024'!$G784=2024,1,0)</f>
        <v>0</v>
      </c>
      <c r="L784" s="2">
        <f t="shared" si="24"/>
        <v>0</v>
      </c>
      <c r="M784" s="2">
        <v>0</v>
      </c>
      <c r="N784" s="2">
        <f t="shared" si="25"/>
        <v>0</v>
      </c>
      <c r="O784" s="2" t="s">
        <v>2114</v>
      </c>
      <c r="P784" s="2" t="s">
        <v>2114</v>
      </c>
      <c r="Q784" s="2" t="s">
        <v>2108</v>
      </c>
      <c r="R784" s="3" t="s">
        <v>24</v>
      </c>
      <c r="S784" s="2" t="s">
        <v>25</v>
      </c>
      <c r="T784" s="2" t="s">
        <v>26</v>
      </c>
    </row>
    <row r="785" spans="1:20" x14ac:dyDescent="0.2">
      <c r="A785" s="2">
        <v>4124</v>
      </c>
      <c r="B785" s="2" t="s">
        <v>1385</v>
      </c>
      <c r="C785" s="2" t="s">
        <v>1386</v>
      </c>
      <c r="D785" s="2" t="s">
        <v>69</v>
      </c>
      <c r="E785" s="2" t="s">
        <v>20</v>
      </c>
      <c r="F785" s="2">
        <v>2019</v>
      </c>
      <c r="G785" s="2">
        <v>2022</v>
      </c>
      <c r="H785" s="2">
        <f>'mpi_dataset_summary_2017-2024'!$G785-'mpi_dataset_summary_2017-2024'!$F785+1</f>
        <v>4</v>
      </c>
      <c r="I785" s="2" t="s">
        <v>2111</v>
      </c>
      <c r="J785" s="2" t="s">
        <v>2112</v>
      </c>
      <c r="K785" s="2">
        <f>IF('mpi_dataset_summary_2017-2024'!$G785=2024,1,0)</f>
        <v>0</v>
      </c>
      <c r="L785" s="2">
        <f t="shared" si="24"/>
        <v>0</v>
      </c>
      <c r="M785" s="2">
        <v>0</v>
      </c>
      <c r="N785" s="2">
        <f t="shared" si="25"/>
        <v>0</v>
      </c>
      <c r="O785" s="2">
        <v>49.255459999999999</v>
      </c>
      <c r="P785" s="2">
        <v>-125.67439</v>
      </c>
      <c r="Q785" s="2" t="s">
        <v>2107</v>
      </c>
      <c r="R785" s="3" t="s">
        <v>29</v>
      </c>
      <c r="S785" s="2" t="s">
        <v>22</v>
      </c>
      <c r="T785" s="2" t="s">
        <v>30</v>
      </c>
    </row>
    <row r="786" spans="1:20" x14ac:dyDescent="0.2">
      <c r="A786" s="2">
        <v>4125</v>
      </c>
      <c r="B786" s="2" t="s">
        <v>1387</v>
      </c>
      <c r="C786" s="2" t="s">
        <v>1388</v>
      </c>
      <c r="D786" s="2" t="s">
        <v>69</v>
      </c>
      <c r="E786" s="2" t="s">
        <v>20</v>
      </c>
      <c r="F786" s="2">
        <v>2019</v>
      </c>
      <c r="G786" s="2">
        <v>2024</v>
      </c>
      <c r="H786" s="2">
        <f>'mpi_dataset_summary_2017-2024'!$G786-'mpi_dataset_summary_2017-2024'!$F786+1</f>
        <v>6</v>
      </c>
      <c r="I786" s="2" t="s">
        <v>2111</v>
      </c>
      <c r="J786" s="2" t="s">
        <v>2111</v>
      </c>
      <c r="K786" s="2">
        <f>IF('mpi_dataset_summary_2017-2024'!$G786=2024,1,0)</f>
        <v>1</v>
      </c>
      <c r="L786" s="2">
        <f t="shared" si="24"/>
        <v>0</v>
      </c>
      <c r="M786" s="2">
        <v>10000</v>
      </c>
      <c r="N786" s="2">
        <f t="shared" si="25"/>
        <v>0.97599999999999998</v>
      </c>
      <c r="O786" s="2">
        <v>54.901569000000002</v>
      </c>
      <c r="P786" s="2">
        <v>-130.07260400000001</v>
      </c>
      <c r="Q786" s="2" t="s">
        <v>2108</v>
      </c>
      <c r="R786" s="3" t="s">
        <v>37</v>
      </c>
      <c r="S786" s="2" t="s">
        <v>22</v>
      </c>
      <c r="T786" s="2" t="s">
        <v>38</v>
      </c>
    </row>
    <row r="787" spans="1:20" x14ac:dyDescent="0.2">
      <c r="A787" s="2">
        <v>4126</v>
      </c>
      <c r="B787" s="2" t="s">
        <v>1389</v>
      </c>
      <c r="C787" s="2" t="s">
        <v>1390</v>
      </c>
      <c r="D787" s="2" t="s">
        <v>66</v>
      </c>
      <c r="E787" s="2" t="s">
        <v>20</v>
      </c>
      <c r="F787" s="2">
        <v>2019</v>
      </c>
      <c r="G787" s="2">
        <v>2024</v>
      </c>
      <c r="H787" s="2">
        <f>'mpi_dataset_summary_2017-2024'!$G787-'mpi_dataset_summary_2017-2024'!$F787+1</f>
        <v>6</v>
      </c>
      <c r="I787" s="2" t="s">
        <v>2111</v>
      </c>
      <c r="J787" s="2" t="s">
        <v>2111</v>
      </c>
      <c r="K787" s="2">
        <f>IF('mpi_dataset_summary_2017-2024'!$G787=2024,1,0)</f>
        <v>1</v>
      </c>
      <c r="L787" s="2">
        <f t="shared" si="24"/>
        <v>0</v>
      </c>
      <c r="M787" s="2">
        <v>1900</v>
      </c>
      <c r="N787" s="2">
        <f t="shared" si="25"/>
        <v>0.89100000000000001</v>
      </c>
      <c r="O787" s="2">
        <v>55.599404999999997</v>
      </c>
      <c r="P787" s="2">
        <v>-110.995766</v>
      </c>
      <c r="Q787" s="2" t="s">
        <v>2108</v>
      </c>
      <c r="R787" s="3" t="s">
        <v>24</v>
      </c>
      <c r="S787" s="2" t="s">
        <v>25</v>
      </c>
      <c r="T787" s="2" t="s">
        <v>26</v>
      </c>
    </row>
    <row r="788" spans="1:20" x14ac:dyDescent="0.2">
      <c r="A788" s="2">
        <v>4128</v>
      </c>
      <c r="B788" s="2" t="s">
        <v>533</v>
      </c>
      <c r="C788" s="2" t="s">
        <v>1391</v>
      </c>
      <c r="D788" s="2" t="s">
        <v>66</v>
      </c>
      <c r="E788" s="2" t="s">
        <v>20</v>
      </c>
      <c r="F788" s="2">
        <v>2019</v>
      </c>
      <c r="G788" s="2">
        <v>2021</v>
      </c>
      <c r="H788" s="2">
        <f>'mpi_dataset_summary_2017-2024'!$G788-'mpi_dataset_summary_2017-2024'!$F788+1</f>
        <v>3</v>
      </c>
      <c r="I788" s="2" t="s">
        <v>2110</v>
      </c>
      <c r="J788" s="2" t="s">
        <v>2110</v>
      </c>
      <c r="K788" s="2">
        <f>IF('mpi_dataset_summary_2017-2024'!$G788=2024,1,0)</f>
        <v>0</v>
      </c>
      <c r="L788" s="2">
        <f t="shared" si="24"/>
        <v>1</v>
      </c>
      <c r="M788" s="2">
        <v>950</v>
      </c>
      <c r="N788" s="2">
        <f t="shared" si="25"/>
        <v>0.80100000000000005</v>
      </c>
      <c r="O788" s="2">
        <v>52.669877</v>
      </c>
      <c r="P788" s="2">
        <v>-111.311671</v>
      </c>
      <c r="Q788" s="2" t="s">
        <v>2108</v>
      </c>
      <c r="R788" s="3" t="s">
        <v>37</v>
      </c>
      <c r="S788" s="2" t="s">
        <v>22</v>
      </c>
      <c r="T788" s="2" t="s">
        <v>38</v>
      </c>
    </row>
    <row r="789" spans="1:20" x14ac:dyDescent="0.2">
      <c r="A789" s="2">
        <v>4129</v>
      </c>
      <c r="B789" s="2" t="s">
        <v>1213</v>
      </c>
      <c r="C789" s="2" t="s">
        <v>1214</v>
      </c>
      <c r="D789" s="2" t="s">
        <v>66</v>
      </c>
      <c r="E789" s="2" t="s">
        <v>20</v>
      </c>
      <c r="F789" s="2">
        <v>2019</v>
      </c>
      <c r="G789" s="2">
        <v>2022</v>
      </c>
      <c r="H789" s="2">
        <f>'mpi_dataset_summary_2017-2024'!$G789-'mpi_dataset_summary_2017-2024'!$F789+1</f>
        <v>4</v>
      </c>
      <c r="I789" s="2" t="s">
        <v>2110</v>
      </c>
      <c r="J789" s="2" t="s">
        <v>2110</v>
      </c>
      <c r="K789" s="2">
        <f>IF('mpi_dataset_summary_2017-2024'!$G789=2024,1,0)</f>
        <v>0</v>
      </c>
      <c r="L789" s="2">
        <f t="shared" si="24"/>
        <v>1</v>
      </c>
      <c r="M789" s="2">
        <v>950</v>
      </c>
      <c r="N789" s="2">
        <f t="shared" si="25"/>
        <v>0.80100000000000005</v>
      </c>
      <c r="O789" s="2">
        <v>55.404986999999998</v>
      </c>
      <c r="P789" s="2">
        <v>-119.154484</v>
      </c>
      <c r="Q789" s="2" t="s">
        <v>2108</v>
      </c>
      <c r="R789" s="3" t="s">
        <v>35</v>
      </c>
      <c r="S789" s="2" t="s">
        <v>22</v>
      </c>
      <c r="T789" s="2" t="s">
        <v>36</v>
      </c>
    </row>
    <row r="790" spans="1:20" x14ac:dyDescent="0.2">
      <c r="A790" s="2">
        <v>4130</v>
      </c>
      <c r="B790" s="2" t="s">
        <v>1213</v>
      </c>
      <c r="C790" s="2" t="s">
        <v>1214</v>
      </c>
      <c r="D790" s="2" t="s">
        <v>66</v>
      </c>
      <c r="E790" s="2" t="s">
        <v>20</v>
      </c>
      <c r="F790" s="2">
        <v>2019</v>
      </c>
      <c r="G790" s="2">
        <v>2023</v>
      </c>
      <c r="H790" s="2">
        <f>'mpi_dataset_summary_2017-2024'!$G790-'mpi_dataset_summary_2017-2024'!$F790+1</f>
        <v>5</v>
      </c>
      <c r="I790" s="2" t="s">
        <v>2111</v>
      </c>
      <c r="J790" s="2" t="s">
        <v>2110</v>
      </c>
      <c r="K790" s="2">
        <f>IF('mpi_dataset_summary_2017-2024'!$G790=2024,1,0)</f>
        <v>0</v>
      </c>
      <c r="L790" s="2">
        <f t="shared" si="24"/>
        <v>1</v>
      </c>
      <c r="M790" s="2">
        <v>530</v>
      </c>
      <c r="N790" s="2">
        <f t="shared" si="25"/>
        <v>0.69799999999999995</v>
      </c>
      <c r="O790" s="2">
        <v>55.404986999999998</v>
      </c>
      <c r="P790" s="2">
        <v>-119.154484</v>
      </c>
      <c r="Q790" s="2" t="s">
        <v>2108</v>
      </c>
      <c r="R790" s="3" t="s">
        <v>35</v>
      </c>
      <c r="S790" s="2" t="s">
        <v>22</v>
      </c>
      <c r="T790" s="2" t="s">
        <v>36</v>
      </c>
    </row>
    <row r="791" spans="1:20" x14ac:dyDescent="0.2">
      <c r="A791" s="2">
        <v>4131</v>
      </c>
      <c r="B791" s="2" t="s">
        <v>1392</v>
      </c>
      <c r="C791" s="2" t="s">
        <v>1393</v>
      </c>
      <c r="D791" s="2" t="s">
        <v>66</v>
      </c>
      <c r="E791" s="2" t="s">
        <v>20</v>
      </c>
      <c r="F791" s="2">
        <v>2019</v>
      </c>
      <c r="G791" s="2">
        <v>2020</v>
      </c>
      <c r="H791" s="2">
        <f>'mpi_dataset_summary_2017-2024'!$G791-'mpi_dataset_summary_2017-2024'!$F791+1</f>
        <v>2</v>
      </c>
      <c r="I791" s="2" t="s">
        <v>2110</v>
      </c>
      <c r="J791" s="2" t="s">
        <v>2110</v>
      </c>
      <c r="K791" s="2">
        <f>IF('mpi_dataset_summary_2017-2024'!$G791=2024,1,0)</f>
        <v>0</v>
      </c>
      <c r="L791" s="2">
        <f t="shared" si="24"/>
        <v>1</v>
      </c>
      <c r="M791" s="2">
        <v>380</v>
      </c>
      <c r="N791" s="2">
        <f t="shared" si="25"/>
        <v>0.627</v>
      </c>
      <c r="O791" s="2">
        <v>53.947885999999997</v>
      </c>
      <c r="P791" s="2">
        <v>-113.11240599999999</v>
      </c>
      <c r="Q791" s="2" t="s">
        <v>2108</v>
      </c>
      <c r="R791" s="3" t="s">
        <v>24</v>
      </c>
      <c r="S791" s="2" t="s">
        <v>25</v>
      </c>
      <c r="T791" s="2" t="s">
        <v>26</v>
      </c>
    </row>
    <row r="792" spans="1:20" x14ac:dyDescent="0.2">
      <c r="A792" s="2">
        <v>4132</v>
      </c>
      <c r="B792" s="2" t="s">
        <v>1392</v>
      </c>
      <c r="C792" s="2" t="s">
        <v>1394</v>
      </c>
      <c r="D792" s="2" t="s">
        <v>66</v>
      </c>
      <c r="E792" s="2" t="s">
        <v>20</v>
      </c>
      <c r="F792" s="2">
        <v>2019</v>
      </c>
      <c r="G792" s="2">
        <v>2020</v>
      </c>
      <c r="H792" s="2">
        <f>'mpi_dataset_summary_2017-2024'!$G792-'mpi_dataset_summary_2017-2024'!$F792+1</f>
        <v>2</v>
      </c>
      <c r="I792" s="2" t="s">
        <v>2110</v>
      </c>
      <c r="J792" s="2" t="s">
        <v>2110</v>
      </c>
      <c r="K792" s="2">
        <f>IF('mpi_dataset_summary_2017-2024'!$G792=2024,1,0)</f>
        <v>0</v>
      </c>
      <c r="L792" s="2">
        <f t="shared" si="24"/>
        <v>1</v>
      </c>
      <c r="M792" s="2">
        <v>165</v>
      </c>
      <c r="N792" s="2">
        <f t="shared" si="25"/>
        <v>0.46</v>
      </c>
      <c r="O792" s="2">
        <v>53.771996000000001</v>
      </c>
      <c r="P792" s="2">
        <v>-111.68535300000001</v>
      </c>
      <c r="Q792" s="2" t="s">
        <v>2108</v>
      </c>
      <c r="R792" s="3" t="s">
        <v>24</v>
      </c>
      <c r="S792" s="2" t="s">
        <v>25</v>
      </c>
      <c r="T792" s="2" t="s">
        <v>26</v>
      </c>
    </row>
    <row r="793" spans="1:20" x14ac:dyDescent="0.2">
      <c r="A793" s="2">
        <v>4133</v>
      </c>
      <c r="B793" s="2" t="s">
        <v>1395</v>
      </c>
      <c r="C793" s="2" t="s">
        <v>1396</v>
      </c>
      <c r="D793" s="2" t="s">
        <v>66</v>
      </c>
      <c r="E793" s="2" t="s">
        <v>20</v>
      </c>
      <c r="F793" s="2">
        <v>2019</v>
      </c>
      <c r="G793" s="2">
        <v>2023</v>
      </c>
      <c r="H793" s="2">
        <f>'mpi_dataset_summary_2017-2024'!$G793-'mpi_dataset_summary_2017-2024'!$F793+1</f>
        <v>5</v>
      </c>
      <c r="I793" s="2" t="s">
        <v>2111</v>
      </c>
      <c r="J793" s="2" t="s">
        <v>2111</v>
      </c>
      <c r="K793" s="2">
        <f>IF('mpi_dataset_summary_2017-2024'!$G793=2024,1,0)</f>
        <v>0</v>
      </c>
      <c r="L793" s="2">
        <f t="shared" si="24"/>
        <v>0</v>
      </c>
      <c r="M793" s="2">
        <v>8500</v>
      </c>
      <c r="N793" s="2">
        <f t="shared" si="25"/>
        <v>0.97199999999999998</v>
      </c>
      <c r="O793" s="2">
        <v>53.737388000000003</v>
      </c>
      <c r="P793" s="2">
        <v>-112.476887</v>
      </c>
      <c r="Q793" s="2" t="s">
        <v>2108</v>
      </c>
      <c r="R793" s="3" t="s">
        <v>37</v>
      </c>
      <c r="S793" s="2" t="s">
        <v>22</v>
      </c>
      <c r="T793" s="2" t="s">
        <v>38</v>
      </c>
    </row>
    <row r="794" spans="1:20" x14ac:dyDescent="0.2">
      <c r="A794" s="2">
        <v>4134</v>
      </c>
      <c r="B794" s="2" t="s">
        <v>1397</v>
      </c>
      <c r="C794" s="2" t="s">
        <v>1398</v>
      </c>
      <c r="D794" s="2" t="s">
        <v>66</v>
      </c>
      <c r="E794" s="2" t="s">
        <v>20</v>
      </c>
      <c r="F794" s="2">
        <v>2019</v>
      </c>
      <c r="G794" s="2">
        <v>2022</v>
      </c>
      <c r="H794" s="2">
        <f>'mpi_dataset_summary_2017-2024'!$G794-'mpi_dataset_summary_2017-2024'!$F794+1</f>
        <v>4</v>
      </c>
      <c r="I794" s="2" t="s">
        <v>2111</v>
      </c>
      <c r="J794" s="2" t="s">
        <v>2111</v>
      </c>
      <c r="K794" s="2">
        <f>IF('mpi_dataset_summary_2017-2024'!$G794=2024,1,0)</f>
        <v>0</v>
      </c>
      <c r="L794" s="2">
        <f t="shared" si="24"/>
        <v>0</v>
      </c>
      <c r="M794" s="2">
        <v>4000</v>
      </c>
      <c r="N794" s="2">
        <f t="shared" si="25"/>
        <v>0.93600000000000005</v>
      </c>
      <c r="O794" s="2">
        <v>55.153706999999997</v>
      </c>
      <c r="P794" s="2">
        <v>-118.734061</v>
      </c>
      <c r="Q794" s="2" t="s">
        <v>2108</v>
      </c>
      <c r="R794" s="3" t="s">
        <v>44</v>
      </c>
      <c r="S794" s="2" t="s">
        <v>25</v>
      </c>
      <c r="T794" s="2" t="s">
        <v>45</v>
      </c>
    </row>
    <row r="795" spans="1:20" x14ac:dyDescent="0.2">
      <c r="A795" s="2">
        <v>4135</v>
      </c>
      <c r="B795" s="2" t="s">
        <v>1321</v>
      </c>
      <c r="C795" s="2" t="s">
        <v>1399</v>
      </c>
      <c r="D795" s="2" t="s">
        <v>66</v>
      </c>
      <c r="E795" s="2" t="s">
        <v>20</v>
      </c>
      <c r="F795" s="2">
        <v>2019</v>
      </c>
      <c r="G795" s="2">
        <v>2020</v>
      </c>
      <c r="H795" s="2">
        <f>'mpi_dataset_summary_2017-2024'!$G795-'mpi_dataset_summary_2017-2024'!$F795+1</f>
        <v>2</v>
      </c>
      <c r="I795" s="2" t="s">
        <v>2110</v>
      </c>
      <c r="J795" s="2" t="s">
        <v>2110</v>
      </c>
      <c r="K795" s="2">
        <f>IF('mpi_dataset_summary_2017-2024'!$G795=2024,1,0)</f>
        <v>0</v>
      </c>
      <c r="L795" s="2">
        <f t="shared" si="24"/>
        <v>1</v>
      </c>
      <c r="M795" s="2">
        <v>600</v>
      </c>
      <c r="N795" s="2">
        <f t="shared" si="25"/>
        <v>0.71399999999999997</v>
      </c>
      <c r="O795" s="2">
        <v>53.544524000000003</v>
      </c>
      <c r="P795" s="2">
        <v>-113.309361</v>
      </c>
      <c r="Q795" s="2" t="s">
        <v>2108</v>
      </c>
      <c r="R795" s="3" t="s">
        <v>37</v>
      </c>
      <c r="S795" s="2" t="s">
        <v>22</v>
      </c>
      <c r="T795" s="2" t="s">
        <v>38</v>
      </c>
    </row>
    <row r="796" spans="1:20" x14ac:dyDescent="0.2">
      <c r="A796" s="2">
        <v>4136</v>
      </c>
      <c r="B796" s="2" t="s">
        <v>1400</v>
      </c>
      <c r="C796" s="2" t="s">
        <v>1401</v>
      </c>
      <c r="D796" s="2" t="s">
        <v>66</v>
      </c>
      <c r="E796" s="2" t="s">
        <v>20</v>
      </c>
      <c r="F796" s="2">
        <v>2019</v>
      </c>
      <c r="G796" s="2">
        <v>2020</v>
      </c>
      <c r="H796" s="2">
        <f>'mpi_dataset_summary_2017-2024'!$G796-'mpi_dataset_summary_2017-2024'!$F796+1</f>
        <v>2</v>
      </c>
      <c r="I796" s="2" t="s">
        <v>2111</v>
      </c>
      <c r="J796" s="2" t="s">
        <v>2111</v>
      </c>
      <c r="K796" s="2">
        <f>IF('mpi_dataset_summary_2017-2024'!$G796=2024,1,0)</f>
        <v>0</v>
      </c>
      <c r="L796" s="2">
        <f t="shared" si="24"/>
        <v>0</v>
      </c>
      <c r="M796" s="2">
        <v>600</v>
      </c>
      <c r="N796" s="2">
        <f t="shared" si="25"/>
        <v>0.71399999999999997</v>
      </c>
      <c r="O796" s="2">
        <v>53.836613</v>
      </c>
      <c r="P796" s="2">
        <v>-113.067894</v>
      </c>
      <c r="Q796" s="2" t="s">
        <v>2108</v>
      </c>
      <c r="R796" s="3" t="s">
        <v>27</v>
      </c>
      <c r="S796" s="2" t="s">
        <v>25</v>
      </c>
      <c r="T796" s="2" t="s">
        <v>28</v>
      </c>
    </row>
    <row r="797" spans="1:20" x14ac:dyDescent="0.2">
      <c r="A797" s="2">
        <v>4137</v>
      </c>
      <c r="B797" s="2" t="s">
        <v>1402</v>
      </c>
      <c r="C797" s="2" t="s">
        <v>1403</v>
      </c>
      <c r="D797" s="2" t="s">
        <v>66</v>
      </c>
      <c r="E797" s="2" t="s">
        <v>20</v>
      </c>
      <c r="F797" s="2">
        <v>2019</v>
      </c>
      <c r="G797" s="2">
        <v>2023</v>
      </c>
      <c r="H797" s="2">
        <f>'mpi_dataset_summary_2017-2024'!$G797-'mpi_dataset_summary_2017-2024'!$F797+1</f>
        <v>5</v>
      </c>
      <c r="I797" s="2" t="s">
        <v>2111</v>
      </c>
      <c r="J797" s="2" t="s">
        <v>2111</v>
      </c>
      <c r="K797" s="2">
        <f>IF('mpi_dataset_summary_2017-2024'!$G797=2024,1,0)</f>
        <v>0</v>
      </c>
      <c r="L797" s="2">
        <f t="shared" si="24"/>
        <v>0</v>
      </c>
      <c r="M797" s="2">
        <v>50</v>
      </c>
      <c r="N797" s="2">
        <f t="shared" si="25"/>
        <v>0.214</v>
      </c>
      <c r="O797" s="2">
        <v>54.784671000000003</v>
      </c>
      <c r="P797" s="2">
        <v>-111.93391699999999</v>
      </c>
      <c r="Q797" s="2" t="s">
        <v>2108</v>
      </c>
      <c r="R797" s="3" t="s">
        <v>39</v>
      </c>
      <c r="S797" s="2" t="s">
        <v>22</v>
      </c>
      <c r="T797" s="2" t="s">
        <v>40</v>
      </c>
    </row>
    <row r="798" spans="1:20" x14ac:dyDescent="0.2">
      <c r="A798" s="2">
        <v>4138</v>
      </c>
      <c r="B798" s="2" t="s">
        <v>1404</v>
      </c>
      <c r="C798" s="2" t="s">
        <v>1405</v>
      </c>
      <c r="D798" s="2" t="s">
        <v>66</v>
      </c>
      <c r="E798" s="2" t="s">
        <v>20</v>
      </c>
      <c r="F798" s="2">
        <v>2019</v>
      </c>
      <c r="G798" s="2">
        <v>2022</v>
      </c>
      <c r="H798" s="2">
        <f>'mpi_dataset_summary_2017-2024'!$G798-'mpi_dataset_summary_2017-2024'!$F798+1</f>
        <v>4</v>
      </c>
      <c r="I798" s="2" t="s">
        <v>2111</v>
      </c>
      <c r="J798" s="2" t="s">
        <v>2110</v>
      </c>
      <c r="K798" s="2">
        <f>IF('mpi_dataset_summary_2017-2024'!$G798=2024,1,0)</f>
        <v>0</v>
      </c>
      <c r="L798" s="2">
        <f t="shared" si="24"/>
        <v>1</v>
      </c>
      <c r="M798" s="2">
        <v>50</v>
      </c>
      <c r="N798" s="2">
        <f t="shared" si="25"/>
        <v>0.214</v>
      </c>
      <c r="O798" s="2">
        <v>50.952488000000002</v>
      </c>
      <c r="P798" s="2">
        <v>-113.98302200000001</v>
      </c>
      <c r="Q798" s="2" t="s">
        <v>2108</v>
      </c>
      <c r="R798" s="3" t="s">
        <v>24</v>
      </c>
      <c r="S798" s="2" t="s">
        <v>25</v>
      </c>
      <c r="T798" s="2" t="s">
        <v>26</v>
      </c>
    </row>
    <row r="799" spans="1:20" x14ac:dyDescent="0.2">
      <c r="A799" s="2">
        <v>4143</v>
      </c>
      <c r="B799" s="2" t="s">
        <v>1406</v>
      </c>
      <c r="C799" s="2" t="s">
        <v>1407</v>
      </c>
      <c r="D799" s="2" t="s">
        <v>83</v>
      </c>
      <c r="E799" s="2" t="s">
        <v>20</v>
      </c>
      <c r="F799" s="2">
        <v>2019</v>
      </c>
      <c r="G799" s="2">
        <v>2024</v>
      </c>
      <c r="H799" s="2">
        <f>'mpi_dataset_summary_2017-2024'!$G799-'mpi_dataset_summary_2017-2024'!$F799+1</f>
        <v>6</v>
      </c>
      <c r="I799" s="2" t="s">
        <v>2112</v>
      </c>
      <c r="J799" s="2" t="s">
        <v>2110</v>
      </c>
      <c r="K799" s="2">
        <f>IF('mpi_dataset_summary_2017-2024'!$G799=2024,1,0)</f>
        <v>1</v>
      </c>
      <c r="L799" s="2">
        <f t="shared" si="24"/>
        <v>1</v>
      </c>
      <c r="M799" s="2">
        <v>534</v>
      </c>
      <c r="N799" s="2">
        <f t="shared" si="25"/>
        <v>0.7</v>
      </c>
      <c r="O799" s="2">
        <v>48.418199999999999</v>
      </c>
      <c r="P799" s="2">
        <v>-57.073599999999999</v>
      </c>
      <c r="Q799" s="2" t="s">
        <v>2107</v>
      </c>
      <c r="R799" s="3" t="s">
        <v>29</v>
      </c>
      <c r="S799" s="2" t="s">
        <v>22</v>
      </c>
      <c r="T799" s="2" t="s">
        <v>30</v>
      </c>
    </row>
    <row r="800" spans="1:20" x14ac:dyDescent="0.2">
      <c r="A800" s="2">
        <v>4146</v>
      </c>
      <c r="B800" s="2" t="s">
        <v>1408</v>
      </c>
      <c r="C800" s="2" t="s">
        <v>1409</v>
      </c>
      <c r="D800" s="2" t="s">
        <v>83</v>
      </c>
      <c r="E800" s="2" t="s">
        <v>43</v>
      </c>
      <c r="F800" s="2">
        <v>2019</v>
      </c>
      <c r="G800" s="2">
        <v>2021</v>
      </c>
      <c r="H800" s="2">
        <f>'mpi_dataset_summary_2017-2024'!$G800-'mpi_dataset_summary_2017-2024'!$F800+1</f>
        <v>3</v>
      </c>
      <c r="I800" s="2" t="s">
        <v>2112</v>
      </c>
      <c r="J800" s="2" t="s">
        <v>2112</v>
      </c>
      <c r="K800" s="2">
        <f>IF('mpi_dataset_summary_2017-2024'!$G800=2024,1,0)</f>
        <v>0</v>
      </c>
      <c r="L800" s="2">
        <f t="shared" si="24"/>
        <v>0</v>
      </c>
      <c r="M800" s="2">
        <v>0</v>
      </c>
      <c r="N800" s="2">
        <f t="shared" si="25"/>
        <v>0</v>
      </c>
      <c r="O800" s="2" t="s">
        <v>2114</v>
      </c>
      <c r="P800" s="2" t="s">
        <v>2114</v>
      </c>
      <c r="Q800" s="2" t="s">
        <v>2108</v>
      </c>
      <c r="R800" s="3" t="s">
        <v>39</v>
      </c>
      <c r="S800" s="2" t="s">
        <v>22</v>
      </c>
      <c r="T800" s="2" t="s">
        <v>40</v>
      </c>
    </row>
    <row r="801" spans="1:20" x14ac:dyDescent="0.2">
      <c r="A801" s="2">
        <v>4147</v>
      </c>
      <c r="B801" s="2" t="s">
        <v>1410</v>
      </c>
      <c r="C801" s="2" t="s">
        <v>1411</v>
      </c>
      <c r="D801" s="2" t="s">
        <v>161</v>
      </c>
      <c r="E801" s="2" t="s">
        <v>20</v>
      </c>
      <c r="F801" s="2">
        <v>2019</v>
      </c>
      <c r="G801" s="2">
        <v>2021</v>
      </c>
      <c r="H801" s="2">
        <f>'mpi_dataset_summary_2017-2024'!$G801-'mpi_dataset_summary_2017-2024'!$F801+1</f>
        <v>3</v>
      </c>
      <c r="I801" s="2" t="s">
        <v>2111</v>
      </c>
      <c r="J801" s="2" t="s">
        <v>2110</v>
      </c>
      <c r="K801" s="2">
        <f>IF('mpi_dataset_summary_2017-2024'!$G801=2024,1,0)</f>
        <v>0</v>
      </c>
      <c r="L801" s="2">
        <f t="shared" si="24"/>
        <v>1</v>
      </c>
      <c r="M801" s="2">
        <v>95.1</v>
      </c>
      <c r="N801" s="2">
        <f t="shared" si="25"/>
        <v>0.33700000000000002</v>
      </c>
      <c r="O801" s="2">
        <v>50.969320000000003</v>
      </c>
      <c r="P801" s="2">
        <v>-93.938469999999995</v>
      </c>
      <c r="Q801" s="2" t="s">
        <v>2107</v>
      </c>
      <c r="R801" s="3" t="s">
        <v>29</v>
      </c>
      <c r="S801" s="2" t="s">
        <v>22</v>
      </c>
      <c r="T801" s="2" t="s">
        <v>30</v>
      </c>
    </row>
    <row r="802" spans="1:20" x14ac:dyDescent="0.2">
      <c r="A802" s="2">
        <v>4148</v>
      </c>
      <c r="B802" s="2" t="s">
        <v>278</v>
      </c>
      <c r="C802" s="2" t="s">
        <v>1412</v>
      </c>
      <c r="D802" s="2" t="s">
        <v>161</v>
      </c>
      <c r="E802" s="2" t="s">
        <v>43</v>
      </c>
      <c r="F802" s="2">
        <v>2019</v>
      </c>
      <c r="G802" s="2">
        <v>2024</v>
      </c>
      <c r="H802" s="2">
        <f>'mpi_dataset_summary_2017-2024'!$G802-'mpi_dataset_summary_2017-2024'!$F802+1</f>
        <v>6</v>
      </c>
      <c r="I802" s="2" t="s">
        <v>2110</v>
      </c>
      <c r="J802" s="2" t="s">
        <v>2110</v>
      </c>
      <c r="K802" s="2">
        <f>IF('mpi_dataset_summary_2017-2024'!$G802=2024,1,0)</f>
        <v>1</v>
      </c>
      <c r="L802" s="2">
        <f t="shared" si="24"/>
        <v>1</v>
      </c>
      <c r="M802" s="2">
        <v>77</v>
      </c>
      <c r="N802" s="2">
        <f t="shared" si="25"/>
        <v>0.3</v>
      </c>
      <c r="O802" s="2">
        <v>44.291781</v>
      </c>
      <c r="P802" s="2">
        <v>-77.801181099999994</v>
      </c>
      <c r="Q802" s="2" t="s">
        <v>2108</v>
      </c>
      <c r="R802" s="3" t="s">
        <v>41</v>
      </c>
      <c r="S802" s="2" t="s">
        <v>25</v>
      </c>
      <c r="T802" s="2" t="s">
        <v>46</v>
      </c>
    </row>
    <row r="803" spans="1:20" x14ac:dyDescent="0.2">
      <c r="A803" s="2">
        <v>4151</v>
      </c>
      <c r="B803" s="2" t="s">
        <v>1413</v>
      </c>
      <c r="C803" s="2" t="s">
        <v>1414</v>
      </c>
      <c r="D803" s="2" t="s">
        <v>161</v>
      </c>
      <c r="E803" s="2" t="s">
        <v>20</v>
      </c>
      <c r="F803" s="2">
        <v>2019</v>
      </c>
      <c r="G803" s="2">
        <v>2019</v>
      </c>
      <c r="H803" s="2">
        <f>'mpi_dataset_summary_2017-2024'!$G803-'mpi_dataset_summary_2017-2024'!$F803+1</f>
        <v>1</v>
      </c>
      <c r="I803" s="2" t="s">
        <v>2110</v>
      </c>
      <c r="J803" s="2" t="s">
        <v>2110</v>
      </c>
      <c r="K803" s="2">
        <f>IF('mpi_dataset_summary_2017-2024'!$G803=2024,1,0)</f>
        <v>0</v>
      </c>
      <c r="L803" s="2">
        <f t="shared" si="24"/>
        <v>1</v>
      </c>
      <c r="M803" s="2">
        <v>110</v>
      </c>
      <c r="N803" s="2">
        <f t="shared" si="25"/>
        <v>0.372</v>
      </c>
      <c r="O803" s="2">
        <v>43.851391</v>
      </c>
      <c r="P803" s="2">
        <v>-79.527467000000001</v>
      </c>
      <c r="Q803" s="2" t="s">
        <v>2108</v>
      </c>
      <c r="R803" s="3" t="s">
        <v>41</v>
      </c>
      <c r="S803" s="2" t="s">
        <v>25</v>
      </c>
      <c r="T803" s="2" t="s">
        <v>46</v>
      </c>
    </row>
    <row r="804" spans="1:20" x14ac:dyDescent="0.2">
      <c r="A804" s="2">
        <v>4152</v>
      </c>
      <c r="B804" s="2" t="s">
        <v>1415</v>
      </c>
      <c r="C804" s="2" t="s">
        <v>1416</v>
      </c>
      <c r="D804" s="2" t="s">
        <v>89</v>
      </c>
      <c r="E804" s="2" t="s">
        <v>20</v>
      </c>
      <c r="F804" s="2">
        <v>2019</v>
      </c>
      <c r="G804" s="2">
        <v>2019</v>
      </c>
      <c r="H804" s="2">
        <f>'mpi_dataset_summary_2017-2024'!$G804-'mpi_dataset_summary_2017-2024'!$F804+1</f>
        <v>1</v>
      </c>
      <c r="I804" s="2" t="s">
        <v>2112</v>
      </c>
      <c r="J804" s="2" t="s">
        <v>2112</v>
      </c>
      <c r="K804" s="2">
        <f>IF('mpi_dataset_summary_2017-2024'!$G804=2024,1,0)</f>
        <v>0</v>
      </c>
      <c r="L804" s="2">
        <f t="shared" si="24"/>
        <v>0</v>
      </c>
      <c r="M804" s="2">
        <v>50.7</v>
      </c>
      <c r="N804" s="2">
        <f t="shared" si="25"/>
        <v>0.22900000000000001</v>
      </c>
      <c r="O804" s="2">
        <v>48.345610999999998</v>
      </c>
      <c r="P804" s="2">
        <v>-77.268867999999998</v>
      </c>
      <c r="Q804" s="2" t="s">
        <v>2107</v>
      </c>
      <c r="R804" s="3" t="s">
        <v>41</v>
      </c>
      <c r="S804" s="2" t="s">
        <v>22</v>
      </c>
      <c r="T804" s="2" t="s">
        <v>42</v>
      </c>
    </row>
    <row r="805" spans="1:20" x14ac:dyDescent="0.2">
      <c r="A805" s="2">
        <v>4153</v>
      </c>
      <c r="B805" s="2" t="s">
        <v>1417</v>
      </c>
      <c r="C805" s="2" t="s">
        <v>1418</v>
      </c>
      <c r="D805" s="2" t="s">
        <v>185</v>
      </c>
      <c r="E805" s="2" t="s">
        <v>20</v>
      </c>
      <c r="F805" s="2">
        <v>2019</v>
      </c>
      <c r="G805" s="2">
        <v>2024</v>
      </c>
      <c r="H805" s="2">
        <f>'mpi_dataset_summary_2017-2024'!$G805-'mpi_dataset_summary_2017-2024'!$F805+1</f>
        <v>6</v>
      </c>
      <c r="I805" s="2" t="s">
        <v>2113</v>
      </c>
      <c r="J805" s="2" t="s">
        <v>2113</v>
      </c>
      <c r="K805" s="2">
        <f>IF('mpi_dataset_summary_2017-2024'!$G805=2024,1,0)</f>
        <v>1</v>
      </c>
      <c r="L805" s="2">
        <f t="shared" si="24"/>
        <v>0</v>
      </c>
      <c r="M805" s="2">
        <v>117</v>
      </c>
      <c r="N805" s="2">
        <f t="shared" si="25"/>
        <v>0.38400000000000001</v>
      </c>
      <c r="O805" s="2">
        <v>45.367407999999998</v>
      </c>
      <c r="P805" s="2">
        <v>-63.705840000000002</v>
      </c>
      <c r="Q805" s="2" t="s">
        <v>2108</v>
      </c>
      <c r="R805" s="3" t="s">
        <v>24</v>
      </c>
      <c r="S805" s="2" t="s">
        <v>25</v>
      </c>
      <c r="T805" s="2" t="s">
        <v>26</v>
      </c>
    </row>
    <row r="806" spans="1:20" x14ac:dyDescent="0.2">
      <c r="A806" s="2">
        <v>4154</v>
      </c>
      <c r="B806" s="2" t="s">
        <v>1419</v>
      </c>
      <c r="C806" s="2" t="s">
        <v>1420</v>
      </c>
      <c r="D806" s="2" t="s">
        <v>185</v>
      </c>
      <c r="E806" s="2" t="s">
        <v>20</v>
      </c>
      <c r="F806" s="2">
        <v>2019</v>
      </c>
      <c r="G806" s="2">
        <v>2024</v>
      </c>
      <c r="H806" s="2">
        <f>'mpi_dataset_summary_2017-2024'!$G806-'mpi_dataset_summary_2017-2024'!$F806+1</f>
        <v>6</v>
      </c>
      <c r="I806" s="2" t="s">
        <v>2110</v>
      </c>
      <c r="J806" s="2" t="s">
        <v>2110</v>
      </c>
      <c r="K806" s="2">
        <f>IF('mpi_dataset_summary_2017-2024'!$G806=2024,1,0)</f>
        <v>1</v>
      </c>
      <c r="L806" s="2">
        <f t="shared" si="24"/>
        <v>1</v>
      </c>
      <c r="M806" s="2">
        <v>16</v>
      </c>
      <c r="N806" s="2">
        <f t="shared" si="25"/>
        <v>7.9000000000000001E-2</v>
      </c>
      <c r="O806" s="2">
        <v>44.718850000000003</v>
      </c>
      <c r="P806" s="2">
        <v>-64.239591000000004</v>
      </c>
      <c r="Q806" s="2" t="s">
        <v>2108</v>
      </c>
      <c r="R806" s="3" t="s">
        <v>41</v>
      </c>
      <c r="S806" s="2" t="s">
        <v>25</v>
      </c>
      <c r="T806" s="2" t="s">
        <v>46</v>
      </c>
    </row>
    <row r="807" spans="1:20" x14ac:dyDescent="0.2">
      <c r="A807" s="2">
        <v>4155</v>
      </c>
      <c r="B807" s="2" t="s">
        <v>1421</v>
      </c>
      <c r="C807" s="2" t="s">
        <v>1422</v>
      </c>
      <c r="D807" s="2" t="s">
        <v>380</v>
      </c>
      <c r="E807" s="2" t="s">
        <v>20</v>
      </c>
      <c r="F807" s="2">
        <v>2019</v>
      </c>
      <c r="G807" s="2">
        <v>2023</v>
      </c>
      <c r="H807" s="2">
        <f>'mpi_dataset_summary_2017-2024'!$G807-'mpi_dataset_summary_2017-2024'!$F807+1</f>
        <v>5</v>
      </c>
      <c r="I807" s="2" t="s">
        <v>2111</v>
      </c>
      <c r="J807" s="2" t="s">
        <v>2110</v>
      </c>
      <c r="K807" s="2">
        <f>IF('mpi_dataset_summary_2017-2024'!$G807=2024,1,0)</f>
        <v>0</v>
      </c>
      <c r="L807" s="2">
        <f t="shared" si="24"/>
        <v>1</v>
      </c>
      <c r="M807" s="2">
        <v>27</v>
      </c>
      <c r="N807" s="2">
        <f t="shared" si="25"/>
        <v>0.13800000000000001</v>
      </c>
      <c r="O807" s="2">
        <v>60.779237999999999</v>
      </c>
      <c r="P807" s="2">
        <v>-135.27311499999999</v>
      </c>
      <c r="Q807" s="2" t="s">
        <v>2108</v>
      </c>
      <c r="R807" s="3" t="s">
        <v>24</v>
      </c>
      <c r="S807" s="2" t="s">
        <v>25</v>
      </c>
      <c r="T807" s="2" t="s">
        <v>26</v>
      </c>
    </row>
    <row r="808" spans="1:20" x14ac:dyDescent="0.2">
      <c r="A808" s="2">
        <v>4156</v>
      </c>
      <c r="B808" s="2" t="s">
        <v>1060</v>
      </c>
      <c r="C808" s="2" t="s">
        <v>1423</v>
      </c>
      <c r="D808" s="2" t="s">
        <v>110</v>
      </c>
      <c r="E808" s="2" t="s">
        <v>43</v>
      </c>
      <c r="F808" s="2">
        <v>2019</v>
      </c>
      <c r="G808" s="2">
        <v>2019</v>
      </c>
      <c r="H808" s="2">
        <f>'mpi_dataset_summary_2017-2024'!$G808-'mpi_dataset_summary_2017-2024'!$F808+1</f>
        <v>1</v>
      </c>
      <c r="I808" s="2" t="s">
        <v>2111</v>
      </c>
      <c r="J808" s="2" t="s">
        <v>2111</v>
      </c>
      <c r="K808" s="2">
        <f>IF('mpi_dataset_summary_2017-2024'!$G808=2024,1,0)</f>
        <v>0</v>
      </c>
      <c r="L808" s="2">
        <f t="shared" si="24"/>
        <v>0</v>
      </c>
      <c r="M808" s="2">
        <v>0</v>
      </c>
      <c r="N808" s="2">
        <f t="shared" si="25"/>
        <v>0</v>
      </c>
      <c r="O808" s="2" t="s">
        <v>2114</v>
      </c>
      <c r="P808" s="2" t="s">
        <v>2114</v>
      </c>
      <c r="Q808" s="2" t="s">
        <v>2108</v>
      </c>
      <c r="R808" s="3" t="s">
        <v>35</v>
      </c>
      <c r="S808" s="2" t="s">
        <v>22</v>
      </c>
      <c r="T808" s="2" t="s">
        <v>36</v>
      </c>
    </row>
    <row r="809" spans="1:20" x14ac:dyDescent="0.2">
      <c r="A809" s="2">
        <v>4157</v>
      </c>
      <c r="B809" s="2" t="s">
        <v>1060</v>
      </c>
      <c r="C809" s="2" t="s">
        <v>1424</v>
      </c>
      <c r="D809" s="2" t="s">
        <v>110</v>
      </c>
      <c r="E809" s="2" t="s">
        <v>43</v>
      </c>
      <c r="F809" s="2">
        <v>2019</v>
      </c>
      <c r="G809" s="2">
        <v>2021</v>
      </c>
      <c r="H809" s="2">
        <f>'mpi_dataset_summary_2017-2024'!$G809-'mpi_dataset_summary_2017-2024'!$F809+1</f>
        <v>3</v>
      </c>
      <c r="I809" s="2" t="s">
        <v>2111</v>
      </c>
      <c r="J809" s="2" t="s">
        <v>2110</v>
      </c>
      <c r="K809" s="2">
        <f>IF('mpi_dataset_summary_2017-2024'!$G809=2024,1,0)</f>
        <v>0</v>
      </c>
      <c r="L809" s="2">
        <f t="shared" si="24"/>
        <v>1</v>
      </c>
      <c r="M809" s="2">
        <v>325</v>
      </c>
      <c r="N809" s="2">
        <f t="shared" si="25"/>
        <v>0.59099999999999997</v>
      </c>
      <c r="O809" s="2" t="s">
        <v>2114</v>
      </c>
      <c r="P809" s="2" t="s">
        <v>2114</v>
      </c>
      <c r="Q809" s="2" t="s">
        <v>2108</v>
      </c>
      <c r="R809" s="3" t="s">
        <v>24</v>
      </c>
      <c r="S809" s="2" t="s">
        <v>25</v>
      </c>
      <c r="T809" s="2" t="s">
        <v>26</v>
      </c>
    </row>
    <row r="810" spans="1:20" x14ac:dyDescent="0.2">
      <c r="A810" s="2">
        <v>4158</v>
      </c>
      <c r="B810" s="2" t="s">
        <v>1425</v>
      </c>
      <c r="C810" s="2" t="s">
        <v>1426</v>
      </c>
      <c r="D810" s="2" t="s">
        <v>66</v>
      </c>
      <c r="E810" s="2" t="s">
        <v>20</v>
      </c>
      <c r="F810" s="2">
        <v>2019</v>
      </c>
      <c r="G810" s="2">
        <v>2023</v>
      </c>
      <c r="H810" s="2">
        <f>'mpi_dataset_summary_2017-2024'!$G810-'mpi_dataset_summary_2017-2024'!$F810+1</f>
        <v>5</v>
      </c>
      <c r="I810" s="2" t="s">
        <v>2111</v>
      </c>
      <c r="J810" s="2" t="s">
        <v>2110</v>
      </c>
      <c r="K810" s="2">
        <f>IF('mpi_dataset_summary_2017-2024'!$G810=2024,1,0)</f>
        <v>0</v>
      </c>
      <c r="L810" s="2">
        <f t="shared" si="24"/>
        <v>1</v>
      </c>
      <c r="M810" s="2">
        <v>510</v>
      </c>
      <c r="N810" s="2">
        <f t="shared" si="25"/>
        <v>0.69299999999999995</v>
      </c>
      <c r="O810" s="2">
        <v>51.359586999999998</v>
      </c>
      <c r="P810" s="2">
        <v>-110.488489</v>
      </c>
      <c r="Q810" s="2" t="s">
        <v>2108</v>
      </c>
      <c r="R810" s="3" t="s">
        <v>24</v>
      </c>
      <c r="S810" s="2" t="s">
        <v>25</v>
      </c>
      <c r="T810" s="2" t="s">
        <v>26</v>
      </c>
    </row>
    <row r="811" spans="1:20" x14ac:dyDescent="0.2">
      <c r="A811" s="2">
        <v>4159</v>
      </c>
      <c r="B811" s="2" t="s">
        <v>1427</v>
      </c>
      <c r="C811" s="2" t="s">
        <v>1428</v>
      </c>
      <c r="D811" s="2" t="s">
        <v>161</v>
      </c>
      <c r="E811" s="2" t="s">
        <v>20</v>
      </c>
      <c r="F811" s="2">
        <v>2019</v>
      </c>
      <c r="G811" s="2">
        <v>2022</v>
      </c>
      <c r="H811" s="2">
        <f>'mpi_dataset_summary_2017-2024'!$G811-'mpi_dataset_summary_2017-2024'!$F811+1</f>
        <v>4</v>
      </c>
      <c r="I811" s="2" t="s">
        <v>2111</v>
      </c>
      <c r="J811" s="2" t="s">
        <v>2111</v>
      </c>
      <c r="K811" s="2">
        <f>IF('mpi_dataset_summary_2017-2024'!$G811=2024,1,0)</f>
        <v>0</v>
      </c>
      <c r="L811" s="2">
        <f t="shared" si="24"/>
        <v>0</v>
      </c>
      <c r="M811" s="2">
        <v>1100</v>
      </c>
      <c r="N811" s="2">
        <f t="shared" si="25"/>
        <v>0.82199999999999995</v>
      </c>
      <c r="O811" s="2">
        <v>46.512756000000003</v>
      </c>
      <c r="P811" s="2">
        <v>-84.399697000000003</v>
      </c>
      <c r="Q811" s="2" t="s">
        <v>2107</v>
      </c>
      <c r="R811" s="3" t="s">
        <v>41</v>
      </c>
      <c r="S811" s="2" t="s">
        <v>22</v>
      </c>
      <c r="T811" s="2" t="s">
        <v>42</v>
      </c>
    </row>
    <row r="812" spans="1:20" x14ac:dyDescent="0.2">
      <c r="A812" s="2">
        <v>4160</v>
      </c>
      <c r="B812" s="2" t="s">
        <v>536</v>
      </c>
      <c r="C812" s="2" t="s">
        <v>1429</v>
      </c>
      <c r="D812" s="2" t="s">
        <v>89</v>
      </c>
      <c r="E812" s="2" t="s">
        <v>20</v>
      </c>
      <c r="F812" s="2">
        <v>2020</v>
      </c>
      <c r="G812" s="2">
        <v>2022</v>
      </c>
      <c r="H812" s="2">
        <f>'mpi_dataset_summary_2017-2024'!$G812-'mpi_dataset_summary_2017-2024'!$F812+1</f>
        <v>3</v>
      </c>
      <c r="I812" s="2" t="s">
        <v>2111</v>
      </c>
      <c r="J812" s="2" t="s">
        <v>2111</v>
      </c>
      <c r="K812" s="2">
        <f>IF('mpi_dataset_summary_2017-2024'!$G812=2024,1,0)</f>
        <v>0</v>
      </c>
      <c r="L812" s="2">
        <f t="shared" si="24"/>
        <v>0</v>
      </c>
      <c r="M812" s="2">
        <v>38</v>
      </c>
      <c r="N812" s="2">
        <f t="shared" si="25"/>
        <v>0.17399999999999999</v>
      </c>
      <c r="O812" s="2">
        <v>48.425209199999998</v>
      </c>
      <c r="P812" s="2">
        <v>-71.247102699999999</v>
      </c>
      <c r="Q812" s="2" t="s">
        <v>2109</v>
      </c>
      <c r="R812" s="3" t="s">
        <v>41</v>
      </c>
      <c r="S812" s="2" t="s">
        <v>25</v>
      </c>
      <c r="T812" s="2" t="s">
        <v>57</v>
      </c>
    </row>
    <row r="813" spans="1:20" x14ac:dyDescent="0.2">
      <c r="A813" s="2">
        <v>4161</v>
      </c>
      <c r="B813" s="2" t="s">
        <v>1430</v>
      </c>
      <c r="C813" s="2" t="s">
        <v>1431</v>
      </c>
      <c r="D813" s="2" t="s">
        <v>66</v>
      </c>
      <c r="E813" s="2" t="s">
        <v>20</v>
      </c>
      <c r="F813" s="2">
        <v>2020</v>
      </c>
      <c r="G813" s="2">
        <v>2020</v>
      </c>
      <c r="H813" s="2">
        <f>'mpi_dataset_summary_2017-2024'!$G813-'mpi_dataset_summary_2017-2024'!$F813+1</f>
        <v>1</v>
      </c>
      <c r="I813" s="2" t="s">
        <v>2110</v>
      </c>
      <c r="J813" s="2" t="s">
        <v>2110</v>
      </c>
      <c r="K813" s="2">
        <f>IF('mpi_dataset_summary_2017-2024'!$G813=2024,1,0)</f>
        <v>0</v>
      </c>
      <c r="L813" s="2">
        <f t="shared" si="24"/>
        <v>1</v>
      </c>
      <c r="M813" s="2">
        <v>54</v>
      </c>
      <c r="N813" s="2">
        <f t="shared" si="25"/>
        <v>0.24099999999999999</v>
      </c>
      <c r="O813" s="2">
        <v>58.483555248144697</v>
      </c>
      <c r="P813" s="2">
        <v>-117.152624130249</v>
      </c>
      <c r="Q813" s="2" t="s">
        <v>2109</v>
      </c>
      <c r="R813" s="3" t="s">
        <v>41</v>
      </c>
      <c r="S813" s="2" t="s">
        <v>25</v>
      </c>
      <c r="T813" s="2" t="s">
        <v>57</v>
      </c>
    </row>
    <row r="814" spans="1:20" x14ac:dyDescent="0.2">
      <c r="A814" s="2">
        <v>4162</v>
      </c>
      <c r="B814" s="2" t="s">
        <v>1432</v>
      </c>
      <c r="C814" s="2" t="s">
        <v>1433</v>
      </c>
      <c r="D814" s="2" t="s">
        <v>161</v>
      </c>
      <c r="E814" s="2" t="s">
        <v>20</v>
      </c>
      <c r="F814" s="2">
        <v>2020</v>
      </c>
      <c r="G814" s="2">
        <v>2024</v>
      </c>
      <c r="H814" s="2">
        <f>'mpi_dataset_summary_2017-2024'!$G814-'mpi_dataset_summary_2017-2024'!$F814+1</f>
        <v>5</v>
      </c>
      <c r="I814" s="2" t="s">
        <v>2111</v>
      </c>
      <c r="J814" s="2" t="s">
        <v>2111</v>
      </c>
      <c r="K814" s="2">
        <f>IF('mpi_dataset_summary_2017-2024'!$G814=2024,1,0)</f>
        <v>1</v>
      </c>
      <c r="L814" s="2">
        <f t="shared" si="24"/>
        <v>0</v>
      </c>
      <c r="M814" s="2">
        <v>145.08459999999999</v>
      </c>
      <c r="N814" s="2">
        <f t="shared" si="25"/>
        <v>0.439</v>
      </c>
      <c r="O814" s="2">
        <v>49.011000000000003</v>
      </c>
      <c r="P814" s="2">
        <v>-87.41</v>
      </c>
      <c r="Q814" s="2" t="s">
        <v>2107</v>
      </c>
      <c r="R814" s="3" t="s">
        <v>41</v>
      </c>
      <c r="S814" s="2" t="s">
        <v>22</v>
      </c>
      <c r="T814" s="2" t="s">
        <v>42</v>
      </c>
    </row>
    <row r="815" spans="1:20" x14ac:dyDescent="0.2">
      <c r="A815" s="2">
        <v>4163</v>
      </c>
      <c r="B815" s="2" t="s">
        <v>1434</v>
      </c>
      <c r="C815" s="2" t="s">
        <v>1435</v>
      </c>
      <c r="D815" s="2" t="s">
        <v>86</v>
      </c>
      <c r="E815" s="2" t="s">
        <v>20</v>
      </c>
      <c r="F815" s="2">
        <v>2020</v>
      </c>
      <c r="G815" s="2">
        <v>2024</v>
      </c>
      <c r="H815" s="2">
        <f>'mpi_dataset_summary_2017-2024'!$G815-'mpi_dataset_summary_2017-2024'!$F815+1</f>
        <v>5</v>
      </c>
      <c r="I815" s="2" t="s">
        <v>2111</v>
      </c>
      <c r="J815" s="2" t="s">
        <v>2113</v>
      </c>
      <c r="K815" s="2">
        <f>IF('mpi_dataset_summary_2017-2024'!$G815=2024,1,0)</f>
        <v>1</v>
      </c>
      <c r="L815" s="2">
        <f t="shared" si="24"/>
        <v>0</v>
      </c>
      <c r="M815" s="2">
        <v>124</v>
      </c>
      <c r="N815" s="2">
        <f t="shared" si="25"/>
        <v>0.40100000000000002</v>
      </c>
      <c r="O815" s="2" t="s">
        <v>2114</v>
      </c>
      <c r="P815" s="2" t="s">
        <v>2114</v>
      </c>
      <c r="Q815" s="2" t="s">
        <v>2107</v>
      </c>
      <c r="R815" s="3" t="s">
        <v>41</v>
      </c>
      <c r="S815" s="2" t="s">
        <v>22</v>
      </c>
      <c r="T815" s="2" t="s">
        <v>42</v>
      </c>
    </row>
    <row r="816" spans="1:20" x14ac:dyDescent="0.2">
      <c r="A816" s="2">
        <v>4164</v>
      </c>
      <c r="B816" s="2" t="s">
        <v>1436</v>
      </c>
      <c r="C816" s="2" t="s">
        <v>1437</v>
      </c>
      <c r="D816" s="2" t="s">
        <v>69</v>
      </c>
      <c r="E816" s="2" t="s">
        <v>20</v>
      </c>
      <c r="F816" s="2">
        <v>2020</v>
      </c>
      <c r="G816" s="2">
        <v>2024</v>
      </c>
      <c r="H816" s="2">
        <f>'mpi_dataset_summary_2017-2024'!$G816-'mpi_dataset_summary_2017-2024'!$F816+1</f>
        <v>5</v>
      </c>
      <c r="I816" s="2" t="s">
        <v>2111</v>
      </c>
      <c r="J816" s="2" t="s">
        <v>2112</v>
      </c>
      <c r="K816" s="2">
        <f>IF('mpi_dataset_summary_2017-2024'!$G816=2024,1,0)</f>
        <v>1</v>
      </c>
      <c r="L816" s="2">
        <f t="shared" si="24"/>
        <v>0</v>
      </c>
      <c r="M816" s="2">
        <v>183</v>
      </c>
      <c r="N816" s="2">
        <f t="shared" si="25"/>
        <v>0.47899999999999998</v>
      </c>
      <c r="O816" s="2">
        <v>49.33</v>
      </c>
      <c r="P816" s="2">
        <v>-120.53</v>
      </c>
      <c r="Q816" s="2" t="s">
        <v>2107</v>
      </c>
      <c r="R816" s="3" t="s">
        <v>33</v>
      </c>
      <c r="S816" s="2" t="s">
        <v>25</v>
      </c>
      <c r="T816" s="2" t="s">
        <v>34</v>
      </c>
    </row>
    <row r="817" spans="1:20" x14ac:dyDescent="0.2">
      <c r="A817" s="2">
        <v>4166</v>
      </c>
      <c r="B817" s="2" t="s">
        <v>1438</v>
      </c>
      <c r="C817" s="2" t="s">
        <v>1439</v>
      </c>
      <c r="D817" s="2" t="s">
        <v>110</v>
      </c>
      <c r="E817" s="2" t="s">
        <v>20</v>
      </c>
      <c r="F817" s="2">
        <v>2020</v>
      </c>
      <c r="G817" s="2">
        <v>2024</v>
      </c>
      <c r="H817" s="2">
        <f>'mpi_dataset_summary_2017-2024'!$G817-'mpi_dataset_summary_2017-2024'!$F817+1</f>
        <v>5</v>
      </c>
      <c r="I817" s="2" t="s">
        <v>2111</v>
      </c>
      <c r="J817" s="2" t="s">
        <v>2113</v>
      </c>
      <c r="K817" s="2">
        <f>IF('mpi_dataset_summary_2017-2024'!$G817=2024,1,0)</f>
        <v>1</v>
      </c>
      <c r="L817" s="2">
        <f t="shared" si="24"/>
        <v>0</v>
      </c>
      <c r="M817" s="2">
        <v>368</v>
      </c>
      <c r="N817" s="2">
        <f t="shared" si="25"/>
        <v>0.623</v>
      </c>
      <c r="O817" s="2">
        <v>54.66</v>
      </c>
      <c r="P817" s="2">
        <v>-102.89</v>
      </c>
      <c r="Q817" s="2" t="s">
        <v>2107</v>
      </c>
      <c r="R817" s="3" t="s">
        <v>41</v>
      </c>
      <c r="S817" s="2" t="s">
        <v>22</v>
      </c>
      <c r="T817" s="2" t="s">
        <v>42</v>
      </c>
    </row>
    <row r="818" spans="1:20" x14ac:dyDescent="0.2">
      <c r="A818" s="2">
        <v>4167</v>
      </c>
      <c r="B818" s="2" t="s">
        <v>1440</v>
      </c>
      <c r="C818" s="2" t="s">
        <v>1441</v>
      </c>
      <c r="D818" s="2" t="s">
        <v>161</v>
      </c>
      <c r="E818" s="2" t="s">
        <v>20</v>
      </c>
      <c r="F818" s="2">
        <v>2020</v>
      </c>
      <c r="G818" s="2">
        <v>2024</v>
      </c>
      <c r="H818" s="2">
        <f>'mpi_dataset_summary_2017-2024'!$G818-'mpi_dataset_summary_2017-2024'!$F818+1</f>
        <v>5</v>
      </c>
      <c r="I818" s="2" t="s">
        <v>2110</v>
      </c>
      <c r="J818" s="2" t="s">
        <v>2110</v>
      </c>
      <c r="K818" s="2">
        <f>IF('mpi_dataset_summary_2017-2024'!$G818=2024,1,0)</f>
        <v>1</v>
      </c>
      <c r="L818" s="2">
        <f t="shared" si="24"/>
        <v>1</v>
      </c>
      <c r="M818" s="2">
        <v>155.69999999999999</v>
      </c>
      <c r="N818" s="2">
        <f t="shared" si="25"/>
        <v>0.45400000000000001</v>
      </c>
      <c r="O818" s="2">
        <v>47.406350000000003</v>
      </c>
      <c r="P818" s="2">
        <v>-79.622290000000007</v>
      </c>
      <c r="Q818" s="2" t="s">
        <v>2107</v>
      </c>
      <c r="R818" s="3" t="s">
        <v>33</v>
      </c>
      <c r="S818" s="2" t="s">
        <v>25</v>
      </c>
      <c r="T818" s="2" t="s">
        <v>34</v>
      </c>
    </row>
    <row r="819" spans="1:20" x14ac:dyDescent="0.2">
      <c r="A819" s="2">
        <v>4168</v>
      </c>
      <c r="B819" s="2" t="s">
        <v>1442</v>
      </c>
      <c r="C819" s="2" t="s">
        <v>1443</v>
      </c>
      <c r="D819" s="2" t="s">
        <v>89</v>
      </c>
      <c r="E819" s="2" t="s">
        <v>20</v>
      </c>
      <c r="F819" s="2">
        <v>2020</v>
      </c>
      <c r="G819" s="2">
        <v>2024</v>
      </c>
      <c r="H819" s="2">
        <f>'mpi_dataset_summary_2017-2024'!$G819-'mpi_dataset_summary_2017-2024'!$F819+1</f>
        <v>5</v>
      </c>
      <c r="I819" s="2" t="s">
        <v>2110</v>
      </c>
      <c r="J819" s="2" t="s">
        <v>2110</v>
      </c>
      <c r="K819" s="2">
        <f>IF('mpi_dataset_summary_2017-2024'!$G819=2024,1,0)</f>
        <v>1</v>
      </c>
      <c r="L819" s="2">
        <f t="shared" si="24"/>
        <v>1</v>
      </c>
      <c r="M819" s="2">
        <v>145</v>
      </c>
      <c r="N819" s="2">
        <f t="shared" si="25"/>
        <v>0.438</v>
      </c>
      <c r="O819" s="2">
        <v>45.760379</v>
      </c>
      <c r="P819" s="2">
        <v>-72.002255000000005</v>
      </c>
      <c r="Q819" s="2" t="s">
        <v>2107</v>
      </c>
      <c r="R819" s="3" t="s">
        <v>33</v>
      </c>
      <c r="S819" s="2" t="s">
        <v>25</v>
      </c>
      <c r="T819" s="2" t="s">
        <v>34</v>
      </c>
    </row>
    <row r="820" spans="1:20" x14ac:dyDescent="0.2">
      <c r="A820" s="2">
        <v>4169</v>
      </c>
      <c r="B820" s="2" t="s">
        <v>1444</v>
      </c>
      <c r="C820" s="2" t="s">
        <v>1445</v>
      </c>
      <c r="D820" s="2" t="s">
        <v>69</v>
      </c>
      <c r="E820" s="2" t="s">
        <v>20</v>
      </c>
      <c r="F820" s="2">
        <v>2020</v>
      </c>
      <c r="G820" s="2">
        <v>2024</v>
      </c>
      <c r="H820" s="2">
        <f>'mpi_dataset_summary_2017-2024'!$G820-'mpi_dataset_summary_2017-2024'!$F820+1</f>
        <v>5</v>
      </c>
      <c r="I820" s="2" t="s">
        <v>2111</v>
      </c>
      <c r="J820" s="2" t="s">
        <v>2111</v>
      </c>
      <c r="K820" s="2">
        <f>IF('mpi_dataset_summary_2017-2024'!$G820=2024,1,0)</f>
        <v>1</v>
      </c>
      <c r="L820" s="2">
        <f t="shared" si="24"/>
        <v>0</v>
      </c>
      <c r="M820" s="2">
        <v>73.215999999999994</v>
      </c>
      <c r="N820" s="2">
        <f t="shared" si="25"/>
        <v>0.28899999999999998</v>
      </c>
      <c r="O820" s="2" t="s">
        <v>2114</v>
      </c>
      <c r="P820" s="2" t="s">
        <v>2114</v>
      </c>
      <c r="Q820" s="2" t="s">
        <v>2107</v>
      </c>
      <c r="R820" s="3" t="s">
        <v>21</v>
      </c>
      <c r="S820" s="2" t="s">
        <v>22</v>
      </c>
      <c r="T820" s="2" t="s">
        <v>23</v>
      </c>
    </row>
    <row r="821" spans="1:20" x14ac:dyDescent="0.2">
      <c r="A821" s="2">
        <v>4170</v>
      </c>
      <c r="B821" s="2" t="s">
        <v>1446</v>
      </c>
      <c r="C821" s="2" t="s">
        <v>1447</v>
      </c>
      <c r="D821" s="2" t="s">
        <v>69</v>
      </c>
      <c r="E821" s="2" t="s">
        <v>20</v>
      </c>
      <c r="F821" s="2">
        <v>2020</v>
      </c>
      <c r="G821" s="2">
        <v>2022</v>
      </c>
      <c r="H821" s="2">
        <f>'mpi_dataset_summary_2017-2024'!$G821-'mpi_dataset_summary_2017-2024'!$F821+1</f>
        <v>3</v>
      </c>
      <c r="I821" s="2" t="s">
        <v>2111</v>
      </c>
      <c r="J821" s="2" t="s">
        <v>2111</v>
      </c>
      <c r="K821" s="2">
        <f>IF('mpi_dataset_summary_2017-2024'!$G821=2024,1,0)</f>
        <v>0</v>
      </c>
      <c r="L821" s="2">
        <f t="shared" si="24"/>
        <v>0</v>
      </c>
      <c r="M821" s="2">
        <v>0</v>
      </c>
      <c r="N821" s="2">
        <f t="shared" si="25"/>
        <v>0</v>
      </c>
      <c r="O821" s="2" t="s">
        <v>2114</v>
      </c>
      <c r="P821" s="2" t="s">
        <v>2114</v>
      </c>
      <c r="Q821" s="2" t="s">
        <v>2108</v>
      </c>
      <c r="R821" s="3" t="s">
        <v>37</v>
      </c>
      <c r="S821" s="2" t="s">
        <v>22</v>
      </c>
      <c r="T821" s="2" t="s">
        <v>38</v>
      </c>
    </row>
    <row r="822" spans="1:20" x14ac:dyDescent="0.2">
      <c r="A822" s="2">
        <v>4171</v>
      </c>
      <c r="B822" s="2" t="s">
        <v>1446</v>
      </c>
      <c r="C822" s="2" t="s">
        <v>1448</v>
      </c>
      <c r="D822" s="2" t="s">
        <v>69</v>
      </c>
      <c r="E822" s="2" t="s">
        <v>20</v>
      </c>
      <c r="F822" s="2">
        <v>2020</v>
      </c>
      <c r="G822" s="2">
        <v>2021</v>
      </c>
      <c r="H822" s="2">
        <f>'mpi_dataset_summary_2017-2024'!$G822-'mpi_dataset_summary_2017-2024'!$F822+1</f>
        <v>2</v>
      </c>
      <c r="I822" s="2" t="s">
        <v>2112</v>
      </c>
      <c r="J822" s="2" t="s">
        <v>2112</v>
      </c>
      <c r="K822" s="2">
        <f>IF('mpi_dataset_summary_2017-2024'!$G822=2024,1,0)</f>
        <v>0</v>
      </c>
      <c r="L822" s="2">
        <f t="shared" si="24"/>
        <v>0</v>
      </c>
      <c r="M822" s="2">
        <v>0</v>
      </c>
      <c r="N822" s="2">
        <f t="shared" si="25"/>
        <v>0</v>
      </c>
      <c r="O822" s="2" t="s">
        <v>2114</v>
      </c>
      <c r="P822" s="2" t="s">
        <v>2114</v>
      </c>
      <c r="Q822" s="2" t="s">
        <v>2108</v>
      </c>
      <c r="R822" s="3" t="s">
        <v>37</v>
      </c>
      <c r="S822" s="2" t="s">
        <v>22</v>
      </c>
      <c r="T822" s="2" t="s">
        <v>38</v>
      </c>
    </row>
    <row r="823" spans="1:20" x14ac:dyDescent="0.2">
      <c r="A823" s="2">
        <v>4172</v>
      </c>
      <c r="B823" s="2" t="s">
        <v>1289</v>
      </c>
      <c r="C823" s="2" t="s">
        <v>1449</v>
      </c>
      <c r="D823" s="2" t="s">
        <v>66</v>
      </c>
      <c r="E823" s="2" t="s">
        <v>20</v>
      </c>
      <c r="F823" s="2">
        <v>2020</v>
      </c>
      <c r="G823" s="2">
        <v>2023</v>
      </c>
      <c r="H823" s="2">
        <f>'mpi_dataset_summary_2017-2024'!$G823-'mpi_dataset_summary_2017-2024'!$F823+1</f>
        <v>4</v>
      </c>
      <c r="I823" s="2" t="s">
        <v>2111</v>
      </c>
      <c r="J823" s="2" t="s">
        <v>2110</v>
      </c>
      <c r="K823" s="2">
        <f>IF('mpi_dataset_summary_2017-2024'!$G823=2024,1,0)</f>
        <v>0</v>
      </c>
      <c r="L823" s="2">
        <f t="shared" si="24"/>
        <v>1</v>
      </c>
      <c r="M823" s="2">
        <v>1200</v>
      </c>
      <c r="N823" s="2">
        <f t="shared" si="25"/>
        <v>0.82899999999999996</v>
      </c>
      <c r="O823" s="2" t="s">
        <v>2114</v>
      </c>
      <c r="P823" s="2" t="s">
        <v>2114</v>
      </c>
      <c r="Q823" s="2" t="s">
        <v>2108</v>
      </c>
      <c r="R823" s="3" t="s">
        <v>41</v>
      </c>
      <c r="S823" s="2" t="s">
        <v>25</v>
      </c>
      <c r="T823" s="2" t="s">
        <v>46</v>
      </c>
    </row>
    <row r="824" spans="1:20" x14ac:dyDescent="0.2">
      <c r="A824" s="2">
        <v>4172.1000000000004</v>
      </c>
      <c r="B824" s="2" t="s">
        <v>566</v>
      </c>
      <c r="C824" s="2" t="s">
        <v>1450</v>
      </c>
      <c r="D824" s="2" t="s">
        <v>66</v>
      </c>
      <c r="E824" s="2" t="s">
        <v>20</v>
      </c>
      <c r="F824" s="2">
        <v>2022</v>
      </c>
      <c r="G824" s="2">
        <v>2022</v>
      </c>
      <c r="H824" s="2">
        <f>'mpi_dataset_summary_2017-2024'!$G824-'mpi_dataset_summary_2017-2024'!$F824+1</f>
        <v>1</v>
      </c>
      <c r="I824" s="2" t="s">
        <v>2112</v>
      </c>
      <c r="J824" s="2" t="s">
        <v>2112</v>
      </c>
      <c r="K824" s="2">
        <f>IF('mpi_dataset_summary_2017-2024'!$G824=2024,1,0)</f>
        <v>0</v>
      </c>
      <c r="L824" s="2">
        <f t="shared" si="24"/>
        <v>0</v>
      </c>
      <c r="M824" s="2">
        <v>355</v>
      </c>
      <c r="N824" s="2">
        <f t="shared" si="25"/>
        <v>0.61799999999999999</v>
      </c>
      <c r="O824" s="2">
        <v>49.620876860797097</v>
      </c>
      <c r="P824" s="2">
        <v>-114.365811811014</v>
      </c>
      <c r="Q824" s="2" t="s">
        <v>2108</v>
      </c>
      <c r="R824" s="3" t="s">
        <v>24</v>
      </c>
      <c r="S824" s="2" t="s">
        <v>25</v>
      </c>
      <c r="T824" s="2" t="s">
        <v>26</v>
      </c>
    </row>
    <row r="825" spans="1:20" x14ac:dyDescent="0.2">
      <c r="A825" s="2">
        <v>4173</v>
      </c>
      <c r="B825" s="2" t="s">
        <v>1451</v>
      </c>
      <c r="C825" s="2" t="s">
        <v>1452</v>
      </c>
      <c r="D825" s="2" t="s">
        <v>258</v>
      </c>
      <c r="E825" s="2" t="s">
        <v>20</v>
      </c>
      <c r="F825" s="2">
        <v>2020</v>
      </c>
      <c r="G825" s="2">
        <v>2023</v>
      </c>
      <c r="H825" s="2">
        <f>'mpi_dataset_summary_2017-2024'!$G825-'mpi_dataset_summary_2017-2024'!$F825+1</f>
        <v>4</v>
      </c>
      <c r="I825" s="2" t="s">
        <v>2112</v>
      </c>
      <c r="J825" s="2" t="s">
        <v>2113</v>
      </c>
      <c r="K825" s="2">
        <f>IF('mpi_dataset_summary_2017-2024'!$G825=2024,1,0)</f>
        <v>0</v>
      </c>
      <c r="L825" s="2">
        <f t="shared" si="24"/>
        <v>0</v>
      </c>
      <c r="M825" s="2">
        <v>60</v>
      </c>
      <c r="N825" s="2">
        <f t="shared" si="25"/>
        <v>0.254</v>
      </c>
      <c r="O825" s="2">
        <v>44.939686199999997</v>
      </c>
      <c r="P825" s="2">
        <v>-66.305937700000001</v>
      </c>
      <c r="Q825" s="2" t="s">
        <v>2108</v>
      </c>
      <c r="R825" s="3" t="s">
        <v>24</v>
      </c>
      <c r="S825" s="2" t="s">
        <v>25</v>
      </c>
      <c r="T825" s="2" t="s">
        <v>26</v>
      </c>
    </row>
    <row r="826" spans="1:20" x14ac:dyDescent="0.2">
      <c r="A826" s="2">
        <v>4174</v>
      </c>
      <c r="B826" s="2" t="s">
        <v>1453</v>
      </c>
      <c r="C826" s="2" t="s">
        <v>1454</v>
      </c>
      <c r="D826" s="2" t="s">
        <v>89</v>
      </c>
      <c r="E826" s="2" t="s">
        <v>20</v>
      </c>
      <c r="F826" s="2">
        <v>2020</v>
      </c>
      <c r="G826" s="2">
        <v>2023</v>
      </c>
      <c r="H826" s="2">
        <f>'mpi_dataset_summary_2017-2024'!$G826-'mpi_dataset_summary_2017-2024'!$F826+1</f>
        <v>4</v>
      </c>
      <c r="I826" s="2" t="s">
        <v>2113</v>
      </c>
      <c r="J826" s="2" t="s">
        <v>2110</v>
      </c>
      <c r="K826" s="2">
        <f>IF('mpi_dataset_summary_2017-2024'!$G826=2024,1,0)</f>
        <v>0</v>
      </c>
      <c r="L826" s="2">
        <f t="shared" si="24"/>
        <v>1</v>
      </c>
      <c r="M826" s="2">
        <v>73.3</v>
      </c>
      <c r="N826" s="2">
        <f t="shared" si="25"/>
        <v>0.28899999999999998</v>
      </c>
      <c r="O826" s="2">
        <v>45.215373200000002</v>
      </c>
      <c r="P826" s="2">
        <v>-73.620352999999994</v>
      </c>
      <c r="Q826" s="2" t="s">
        <v>2108</v>
      </c>
      <c r="R826" s="3" t="s">
        <v>41</v>
      </c>
      <c r="S826" s="2" t="s">
        <v>25</v>
      </c>
      <c r="T826" s="2" t="s">
        <v>46</v>
      </c>
    </row>
    <row r="827" spans="1:20" x14ac:dyDescent="0.2">
      <c r="A827" s="2">
        <v>4175</v>
      </c>
      <c r="B827" s="2" t="s">
        <v>1455</v>
      </c>
      <c r="C827" s="2" t="s">
        <v>1456</v>
      </c>
      <c r="D827" s="2" t="s">
        <v>89</v>
      </c>
      <c r="E827" s="2" t="s">
        <v>20</v>
      </c>
      <c r="F827" s="2">
        <v>2020</v>
      </c>
      <c r="G827" s="2">
        <v>2021</v>
      </c>
      <c r="H827" s="2">
        <f>'mpi_dataset_summary_2017-2024'!$G827-'mpi_dataset_summary_2017-2024'!$F827+1</f>
        <v>2</v>
      </c>
      <c r="I827" s="2" t="s">
        <v>2110</v>
      </c>
      <c r="J827" s="2" t="s">
        <v>2110</v>
      </c>
      <c r="K827" s="2">
        <f>IF('mpi_dataset_summary_2017-2024'!$G827=2024,1,0)</f>
        <v>0</v>
      </c>
      <c r="L827" s="2">
        <f t="shared" si="24"/>
        <v>1</v>
      </c>
      <c r="M827" s="2">
        <v>25</v>
      </c>
      <c r="N827" s="2">
        <f t="shared" si="25"/>
        <v>0.125</v>
      </c>
      <c r="O827" s="2">
        <v>47.569431000000002</v>
      </c>
      <c r="P827" s="2">
        <v>-61.632916999999999</v>
      </c>
      <c r="Q827" s="2" t="s">
        <v>2108</v>
      </c>
      <c r="R827" s="3" t="s">
        <v>41</v>
      </c>
      <c r="S827" s="2" t="s">
        <v>25</v>
      </c>
      <c r="T827" s="2" t="s">
        <v>46</v>
      </c>
    </row>
    <row r="828" spans="1:20" x14ac:dyDescent="0.2">
      <c r="A828" s="2">
        <v>4176</v>
      </c>
      <c r="B828" s="2" t="s">
        <v>1457</v>
      </c>
      <c r="C828" s="2" t="s">
        <v>1458</v>
      </c>
      <c r="D828" s="2" t="s">
        <v>89</v>
      </c>
      <c r="E828" s="2" t="s">
        <v>20</v>
      </c>
      <c r="F828" s="2">
        <v>2020</v>
      </c>
      <c r="G828" s="2">
        <v>2023</v>
      </c>
      <c r="H828" s="2">
        <f>'mpi_dataset_summary_2017-2024'!$G828-'mpi_dataset_summary_2017-2024'!$F828+1</f>
        <v>4</v>
      </c>
      <c r="I828" s="2" t="s">
        <v>2111</v>
      </c>
      <c r="J828" s="2" t="s">
        <v>2111</v>
      </c>
      <c r="K828" s="2">
        <f>IF('mpi_dataset_summary_2017-2024'!$G828=2024,1,0)</f>
        <v>0</v>
      </c>
      <c r="L828" s="2">
        <f t="shared" si="24"/>
        <v>0</v>
      </c>
      <c r="M828" s="2">
        <v>127</v>
      </c>
      <c r="N828" s="2">
        <f t="shared" si="25"/>
        <v>0.41</v>
      </c>
      <c r="O828" s="2">
        <v>58.452155099999999</v>
      </c>
      <c r="P828" s="2">
        <v>-78.097278500000002</v>
      </c>
      <c r="Q828" s="2" t="s">
        <v>2108</v>
      </c>
      <c r="R828" s="3" t="s">
        <v>24</v>
      </c>
      <c r="S828" s="2" t="s">
        <v>25</v>
      </c>
      <c r="T828" s="2" t="s">
        <v>26</v>
      </c>
    </row>
    <row r="829" spans="1:20" x14ac:dyDescent="0.2">
      <c r="A829" s="2">
        <v>4177</v>
      </c>
      <c r="B829" s="2" t="s">
        <v>1459</v>
      </c>
      <c r="C829" s="2" t="s">
        <v>1460</v>
      </c>
      <c r="D829" s="2" t="s">
        <v>66</v>
      </c>
      <c r="E829" s="2" t="s">
        <v>20</v>
      </c>
      <c r="F829" s="2">
        <v>2020</v>
      </c>
      <c r="G829" s="2">
        <v>2020</v>
      </c>
      <c r="H829" s="2">
        <f>'mpi_dataset_summary_2017-2024'!$G829-'mpi_dataset_summary_2017-2024'!$F829+1</f>
        <v>1</v>
      </c>
      <c r="I829" s="2" t="s">
        <v>2110</v>
      </c>
      <c r="J829" s="2" t="s">
        <v>2110</v>
      </c>
      <c r="K829" s="2">
        <f>IF('mpi_dataset_summary_2017-2024'!$G829=2024,1,0)</f>
        <v>0</v>
      </c>
      <c r="L829" s="2">
        <f t="shared" si="24"/>
        <v>1</v>
      </c>
      <c r="M829" s="2">
        <v>500</v>
      </c>
      <c r="N829" s="2">
        <f t="shared" si="25"/>
        <v>0.67800000000000005</v>
      </c>
      <c r="O829" s="2">
        <v>52.626396999999997</v>
      </c>
      <c r="P829" s="2">
        <v>-111.281796</v>
      </c>
      <c r="Q829" s="2" t="s">
        <v>2108</v>
      </c>
      <c r="R829" s="3" t="s">
        <v>24</v>
      </c>
      <c r="S829" s="2" t="s">
        <v>25</v>
      </c>
      <c r="T829" s="2" t="s">
        <v>26</v>
      </c>
    </row>
    <row r="830" spans="1:20" x14ac:dyDescent="0.2">
      <c r="A830" s="2">
        <v>4178</v>
      </c>
      <c r="B830" s="2" t="s">
        <v>342</v>
      </c>
      <c r="C830" s="2" t="s">
        <v>1461</v>
      </c>
      <c r="D830" s="2" t="s">
        <v>66</v>
      </c>
      <c r="E830" s="2" t="s">
        <v>20</v>
      </c>
      <c r="F830" s="2">
        <v>2020</v>
      </c>
      <c r="G830" s="2">
        <v>2024</v>
      </c>
      <c r="H830" s="2">
        <f>'mpi_dataset_summary_2017-2024'!$G830-'mpi_dataset_summary_2017-2024'!$F830+1</f>
        <v>5</v>
      </c>
      <c r="I830" s="2" t="s">
        <v>2111</v>
      </c>
      <c r="J830" s="2" t="s">
        <v>2110</v>
      </c>
      <c r="K830" s="2">
        <f>IF('mpi_dataset_summary_2017-2024'!$G830=2024,1,0)</f>
        <v>1</v>
      </c>
      <c r="L830" s="2">
        <f t="shared" si="24"/>
        <v>1</v>
      </c>
      <c r="M830" s="2">
        <v>1400</v>
      </c>
      <c r="N830" s="2">
        <f t="shared" si="25"/>
        <v>0.85699999999999998</v>
      </c>
      <c r="O830" s="2">
        <v>56.997184079056503</v>
      </c>
      <c r="P830" s="2">
        <v>-111.48050308227501</v>
      </c>
      <c r="Q830" s="2" t="s">
        <v>2108</v>
      </c>
      <c r="R830" s="3" t="s">
        <v>53</v>
      </c>
      <c r="S830" s="2" t="s">
        <v>22</v>
      </c>
      <c r="T830" s="2" t="s">
        <v>54</v>
      </c>
    </row>
    <row r="831" spans="1:20" x14ac:dyDescent="0.2">
      <c r="A831" s="2">
        <v>4179</v>
      </c>
      <c r="B831" s="2" t="s">
        <v>675</v>
      </c>
      <c r="C831" s="2" t="s">
        <v>1462</v>
      </c>
      <c r="D831" s="2" t="s">
        <v>66</v>
      </c>
      <c r="E831" s="2" t="s">
        <v>20</v>
      </c>
      <c r="F831" s="2">
        <v>2020</v>
      </c>
      <c r="G831" s="2">
        <v>2023</v>
      </c>
      <c r="H831" s="2">
        <f>'mpi_dataset_summary_2017-2024'!$G831-'mpi_dataset_summary_2017-2024'!$F831+1</f>
        <v>4</v>
      </c>
      <c r="I831" s="2" t="s">
        <v>2111</v>
      </c>
      <c r="J831" s="2" t="s">
        <v>2111</v>
      </c>
      <c r="K831" s="2">
        <f>IF('mpi_dataset_summary_2017-2024'!$G831=2024,1,0)</f>
        <v>0</v>
      </c>
      <c r="L831" s="2">
        <f t="shared" si="24"/>
        <v>0</v>
      </c>
      <c r="M831" s="2">
        <v>1300</v>
      </c>
      <c r="N831" s="2">
        <f t="shared" si="25"/>
        <v>0.84299999999999997</v>
      </c>
      <c r="O831" s="2">
        <v>55.5801549684085</v>
      </c>
      <c r="P831" s="2">
        <v>-110.88870048522899</v>
      </c>
      <c r="Q831" s="2" t="s">
        <v>2108</v>
      </c>
      <c r="R831" s="3" t="s">
        <v>41</v>
      </c>
      <c r="S831" s="2" t="s">
        <v>25</v>
      </c>
      <c r="T831" s="2" t="s">
        <v>46</v>
      </c>
    </row>
    <row r="832" spans="1:20" x14ac:dyDescent="0.2">
      <c r="A832" s="2">
        <v>4180</v>
      </c>
      <c r="B832" s="2" t="s">
        <v>1463</v>
      </c>
      <c r="C832" s="2" t="s">
        <v>1464</v>
      </c>
      <c r="D832" s="2" t="s">
        <v>66</v>
      </c>
      <c r="E832" s="2" t="s">
        <v>20</v>
      </c>
      <c r="F832" s="2">
        <v>2020</v>
      </c>
      <c r="G832" s="2">
        <v>2023</v>
      </c>
      <c r="H832" s="2">
        <f>'mpi_dataset_summary_2017-2024'!$G832-'mpi_dataset_summary_2017-2024'!$F832+1</f>
        <v>4</v>
      </c>
      <c r="I832" s="2" t="s">
        <v>2111</v>
      </c>
      <c r="J832" s="2" t="s">
        <v>2110</v>
      </c>
      <c r="K832" s="2">
        <f>IF('mpi_dataset_summary_2017-2024'!$G832=2024,1,0)</f>
        <v>0</v>
      </c>
      <c r="L832" s="2">
        <f t="shared" si="24"/>
        <v>1</v>
      </c>
      <c r="M832" s="2">
        <v>900</v>
      </c>
      <c r="N832" s="2">
        <f t="shared" si="25"/>
        <v>0.79400000000000004</v>
      </c>
      <c r="O832" s="2">
        <v>53.8531151534728</v>
      </c>
      <c r="P832" s="2">
        <v>-116.5869140625</v>
      </c>
      <c r="Q832" s="2" t="s">
        <v>2108</v>
      </c>
      <c r="R832" s="3" t="s">
        <v>41</v>
      </c>
      <c r="S832" s="2" t="s">
        <v>25</v>
      </c>
      <c r="T832" s="2" t="s">
        <v>46</v>
      </c>
    </row>
    <row r="833" spans="1:20" x14ac:dyDescent="0.2">
      <c r="A833" s="2">
        <v>4181</v>
      </c>
      <c r="B833" s="2" t="s">
        <v>1465</v>
      </c>
      <c r="C833" s="2" t="s">
        <v>1466</v>
      </c>
      <c r="D833" s="2" t="s">
        <v>66</v>
      </c>
      <c r="E833" s="2" t="s">
        <v>20</v>
      </c>
      <c r="F833" s="2">
        <v>2020</v>
      </c>
      <c r="G833" s="2">
        <v>2022</v>
      </c>
      <c r="H833" s="2">
        <f>'mpi_dataset_summary_2017-2024'!$G833-'mpi_dataset_summary_2017-2024'!$F833+1</f>
        <v>3</v>
      </c>
      <c r="I833" s="2" t="s">
        <v>2111</v>
      </c>
      <c r="J833" s="2" t="s">
        <v>2110</v>
      </c>
      <c r="K833" s="2">
        <f>IF('mpi_dataset_summary_2017-2024'!$G833=2024,1,0)</f>
        <v>0</v>
      </c>
      <c r="L833" s="2">
        <f t="shared" si="24"/>
        <v>1</v>
      </c>
      <c r="M833" s="2">
        <v>509</v>
      </c>
      <c r="N833" s="2">
        <f t="shared" si="25"/>
        <v>0.69199999999999995</v>
      </c>
      <c r="O833" s="2" t="s">
        <v>2114</v>
      </c>
      <c r="P833" s="2">
        <v>-116.295776367187</v>
      </c>
      <c r="Q833" s="2" t="s">
        <v>2108</v>
      </c>
      <c r="R833" s="3" t="s">
        <v>35</v>
      </c>
      <c r="S833" s="2" t="s">
        <v>22</v>
      </c>
      <c r="T833" s="2" t="s">
        <v>36</v>
      </c>
    </row>
    <row r="834" spans="1:20" x14ac:dyDescent="0.2">
      <c r="A834" s="2">
        <v>4182</v>
      </c>
      <c r="B834" s="2" t="s">
        <v>928</v>
      </c>
      <c r="C834" s="2" t="s">
        <v>1467</v>
      </c>
      <c r="D834" s="2" t="s">
        <v>66</v>
      </c>
      <c r="E834" s="2" t="s">
        <v>20</v>
      </c>
      <c r="F834" s="2">
        <v>2020</v>
      </c>
      <c r="G834" s="2">
        <v>2023</v>
      </c>
      <c r="H834" s="2">
        <f>'mpi_dataset_summary_2017-2024'!$G834-'mpi_dataset_summary_2017-2024'!$F834+1</f>
        <v>4</v>
      </c>
      <c r="I834" s="2" t="s">
        <v>2111</v>
      </c>
      <c r="J834" s="2" t="s">
        <v>2110</v>
      </c>
      <c r="K834" s="2">
        <f>IF('mpi_dataset_summary_2017-2024'!$G834=2024,1,0)</f>
        <v>0</v>
      </c>
      <c r="L834" s="2">
        <f t="shared" ref="L834:L897" si="26">IF(J834="Under Construction",1,0)</f>
        <v>1</v>
      </c>
      <c r="M834" s="2">
        <v>450</v>
      </c>
      <c r="N834" s="2">
        <f t="shared" ref="N834:N897" si="27">_xlfn.PERCENTRANK.INC($M$2:$M$4056,M834)</f>
        <v>0.65500000000000003</v>
      </c>
      <c r="O834" s="2">
        <v>54.753161200041497</v>
      </c>
      <c r="P834" s="2">
        <v>-110.468215942382</v>
      </c>
      <c r="Q834" s="2" t="s">
        <v>2108</v>
      </c>
      <c r="R834" s="3" t="s">
        <v>39</v>
      </c>
      <c r="S834" s="2" t="s">
        <v>22</v>
      </c>
      <c r="T834" s="2" t="s">
        <v>40</v>
      </c>
    </row>
    <row r="835" spans="1:20" x14ac:dyDescent="0.2">
      <c r="A835" s="2">
        <v>4183</v>
      </c>
      <c r="B835" s="2" t="s">
        <v>1463</v>
      </c>
      <c r="C835" s="2" t="s">
        <v>1468</v>
      </c>
      <c r="D835" s="2" t="s">
        <v>66</v>
      </c>
      <c r="E835" s="2" t="s">
        <v>20</v>
      </c>
      <c r="F835" s="2">
        <v>2020</v>
      </c>
      <c r="G835" s="2">
        <v>2022</v>
      </c>
      <c r="H835" s="2">
        <f>'mpi_dataset_summary_2017-2024'!$G835-'mpi_dataset_summary_2017-2024'!$F835+1</f>
        <v>3</v>
      </c>
      <c r="I835" s="2" t="s">
        <v>2111</v>
      </c>
      <c r="J835" s="2" t="s">
        <v>2110</v>
      </c>
      <c r="K835" s="2">
        <f>IF('mpi_dataset_summary_2017-2024'!$G835=2024,1,0)</f>
        <v>0</v>
      </c>
      <c r="L835" s="2">
        <f t="shared" si="26"/>
        <v>1</v>
      </c>
      <c r="M835" s="2">
        <v>300</v>
      </c>
      <c r="N835" s="2">
        <f t="shared" si="27"/>
        <v>0.57399999999999995</v>
      </c>
      <c r="O835" s="2">
        <v>54.537671521471196</v>
      </c>
      <c r="P835" s="2">
        <v>-117.103271484375</v>
      </c>
      <c r="Q835" s="2" t="s">
        <v>2108</v>
      </c>
      <c r="R835" s="3" t="s">
        <v>41</v>
      </c>
      <c r="S835" s="2" t="s">
        <v>25</v>
      </c>
      <c r="T835" s="2" t="s">
        <v>46</v>
      </c>
    </row>
    <row r="836" spans="1:20" x14ac:dyDescent="0.2">
      <c r="A836" s="2">
        <v>4184</v>
      </c>
      <c r="B836" s="2" t="s">
        <v>1168</v>
      </c>
      <c r="C836" s="2" t="s">
        <v>1469</v>
      </c>
      <c r="D836" s="2" t="s">
        <v>66</v>
      </c>
      <c r="E836" s="2" t="s">
        <v>20</v>
      </c>
      <c r="F836" s="2">
        <v>2020</v>
      </c>
      <c r="G836" s="2">
        <v>2020</v>
      </c>
      <c r="H836" s="2">
        <f>'mpi_dataset_summary_2017-2024'!$G836-'mpi_dataset_summary_2017-2024'!$F836+1</f>
        <v>1</v>
      </c>
      <c r="I836" s="2" t="s">
        <v>2111</v>
      </c>
      <c r="J836" s="2" t="s">
        <v>2111</v>
      </c>
      <c r="K836" s="2">
        <f>IF('mpi_dataset_summary_2017-2024'!$G836=2024,1,0)</f>
        <v>0</v>
      </c>
      <c r="L836" s="2">
        <f t="shared" si="26"/>
        <v>0</v>
      </c>
      <c r="M836" s="2">
        <v>298</v>
      </c>
      <c r="N836" s="2">
        <f t="shared" si="27"/>
        <v>0.57199999999999995</v>
      </c>
      <c r="O836" s="2">
        <v>53.739270631560501</v>
      </c>
      <c r="P836" s="2">
        <v>-113.16535949707</v>
      </c>
      <c r="Q836" s="2" t="s">
        <v>2108</v>
      </c>
      <c r="R836" s="3" t="s">
        <v>41</v>
      </c>
      <c r="S836" s="2" t="s">
        <v>25</v>
      </c>
      <c r="T836" s="2" t="s">
        <v>46</v>
      </c>
    </row>
    <row r="837" spans="1:20" x14ac:dyDescent="0.2">
      <c r="A837" s="2">
        <v>4185</v>
      </c>
      <c r="B837" s="2" t="s">
        <v>523</v>
      </c>
      <c r="C837" s="2" t="s">
        <v>1470</v>
      </c>
      <c r="D837" s="2" t="s">
        <v>66</v>
      </c>
      <c r="E837" s="2" t="s">
        <v>20</v>
      </c>
      <c r="F837" s="2">
        <v>2020</v>
      </c>
      <c r="G837" s="2">
        <v>2020</v>
      </c>
      <c r="H837" s="2">
        <f>'mpi_dataset_summary_2017-2024'!$G837-'mpi_dataset_summary_2017-2024'!$F837+1</f>
        <v>1</v>
      </c>
      <c r="I837" s="2" t="s">
        <v>2110</v>
      </c>
      <c r="J837" s="2" t="s">
        <v>2110</v>
      </c>
      <c r="K837" s="2">
        <f>IF('mpi_dataset_summary_2017-2024'!$G837=2024,1,0)</f>
        <v>0</v>
      </c>
      <c r="L837" s="2">
        <f t="shared" si="26"/>
        <v>1</v>
      </c>
      <c r="M837" s="2">
        <v>230</v>
      </c>
      <c r="N837" s="2">
        <f t="shared" si="27"/>
        <v>0.52400000000000002</v>
      </c>
      <c r="O837" s="2">
        <v>53.218368544732598</v>
      </c>
      <c r="P837" s="2">
        <v>-114.734001159667</v>
      </c>
      <c r="Q837" s="2" t="s">
        <v>2108</v>
      </c>
      <c r="R837" s="3" t="s">
        <v>35</v>
      </c>
      <c r="S837" s="2" t="s">
        <v>22</v>
      </c>
      <c r="T837" s="2" t="s">
        <v>36</v>
      </c>
    </row>
    <row r="838" spans="1:20" x14ac:dyDescent="0.2">
      <c r="A838" s="2">
        <v>4186</v>
      </c>
      <c r="B838" s="2" t="s">
        <v>1471</v>
      </c>
      <c r="C838" s="2" t="s">
        <v>1472</v>
      </c>
      <c r="D838" s="2" t="s">
        <v>66</v>
      </c>
      <c r="E838" s="2" t="s">
        <v>20</v>
      </c>
      <c r="F838" s="2">
        <v>2020</v>
      </c>
      <c r="G838" s="2">
        <v>2022</v>
      </c>
      <c r="H838" s="2">
        <f>'mpi_dataset_summary_2017-2024'!$G838-'mpi_dataset_summary_2017-2024'!$F838+1</f>
        <v>3</v>
      </c>
      <c r="I838" s="2" t="s">
        <v>2111</v>
      </c>
      <c r="J838" s="2" t="s">
        <v>2110</v>
      </c>
      <c r="K838" s="2">
        <f>IF('mpi_dataset_summary_2017-2024'!$G838=2024,1,0)</f>
        <v>0</v>
      </c>
      <c r="L838" s="2">
        <f t="shared" si="26"/>
        <v>1</v>
      </c>
      <c r="M838" s="2">
        <v>200</v>
      </c>
      <c r="N838" s="2">
        <f t="shared" si="27"/>
        <v>0.49099999999999999</v>
      </c>
      <c r="O838" s="2">
        <v>49.908952827097501</v>
      </c>
      <c r="P838" s="2">
        <v>-111.04774475097599</v>
      </c>
      <c r="Q838" s="2" t="s">
        <v>2108</v>
      </c>
      <c r="R838" s="3" t="s">
        <v>24</v>
      </c>
      <c r="S838" s="2" t="s">
        <v>25</v>
      </c>
      <c r="T838" s="2" t="s">
        <v>26</v>
      </c>
    </row>
    <row r="839" spans="1:20" x14ac:dyDescent="0.2">
      <c r="A839" s="2">
        <v>4188</v>
      </c>
      <c r="B839" s="2" t="s">
        <v>1473</v>
      </c>
      <c r="C839" s="2" t="s">
        <v>1474</v>
      </c>
      <c r="D839" s="2" t="s">
        <v>66</v>
      </c>
      <c r="E839" s="2" t="s">
        <v>20</v>
      </c>
      <c r="F839" s="2">
        <v>2020</v>
      </c>
      <c r="G839" s="2">
        <v>2024</v>
      </c>
      <c r="H839" s="2">
        <f>'mpi_dataset_summary_2017-2024'!$G839-'mpi_dataset_summary_2017-2024'!$F839+1</f>
        <v>5</v>
      </c>
      <c r="I839" s="2" t="s">
        <v>2111</v>
      </c>
      <c r="J839" s="2" t="s">
        <v>2111</v>
      </c>
      <c r="K839" s="2">
        <f>IF('mpi_dataset_summary_2017-2024'!$G839=2024,1,0)</f>
        <v>1</v>
      </c>
      <c r="L839" s="2">
        <f t="shared" si="26"/>
        <v>0</v>
      </c>
      <c r="M839" s="2">
        <v>169</v>
      </c>
      <c r="N839" s="2">
        <f t="shared" si="27"/>
        <v>0.46400000000000002</v>
      </c>
      <c r="O839" s="2">
        <v>53.291078624931899</v>
      </c>
      <c r="P839" s="2">
        <v>-113.593654632568</v>
      </c>
      <c r="Q839" s="2" t="s">
        <v>2108</v>
      </c>
      <c r="R839" s="3" t="s">
        <v>24</v>
      </c>
      <c r="S839" s="2" t="s">
        <v>25</v>
      </c>
      <c r="T839" s="2" t="s">
        <v>26</v>
      </c>
    </row>
    <row r="840" spans="1:20" x14ac:dyDescent="0.2">
      <c r="A840" s="2">
        <v>4189</v>
      </c>
      <c r="B840" s="2" t="s">
        <v>1228</v>
      </c>
      <c r="C840" s="2" t="s">
        <v>1475</v>
      </c>
      <c r="D840" s="2" t="s">
        <v>66</v>
      </c>
      <c r="E840" s="2" t="s">
        <v>20</v>
      </c>
      <c r="F840" s="2">
        <v>2020</v>
      </c>
      <c r="G840" s="2">
        <v>2021</v>
      </c>
      <c r="H840" s="2">
        <f>'mpi_dataset_summary_2017-2024'!$G840-'mpi_dataset_summary_2017-2024'!$F840+1</f>
        <v>2</v>
      </c>
      <c r="I840" s="2" t="s">
        <v>2111</v>
      </c>
      <c r="J840" s="2" t="s">
        <v>2110</v>
      </c>
      <c r="K840" s="2">
        <f>IF('mpi_dataset_summary_2017-2024'!$G840=2024,1,0)</f>
        <v>0</v>
      </c>
      <c r="L840" s="2">
        <f t="shared" si="26"/>
        <v>1</v>
      </c>
      <c r="M840" s="2">
        <v>165</v>
      </c>
      <c r="N840" s="2">
        <f t="shared" si="27"/>
        <v>0.46</v>
      </c>
      <c r="O840" s="2">
        <v>49.642734434299101</v>
      </c>
      <c r="P840" s="2">
        <v>-111.28944396972599</v>
      </c>
      <c r="Q840" s="2" t="s">
        <v>2108</v>
      </c>
      <c r="R840" s="3" t="s">
        <v>24</v>
      </c>
      <c r="S840" s="2" t="s">
        <v>25</v>
      </c>
      <c r="T840" s="2" t="s">
        <v>26</v>
      </c>
    </row>
    <row r="841" spans="1:20" x14ac:dyDescent="0.2">
      <c r="A841" s="2">
        <v>4190</v>
      </c>
      <c r="B841" s="2" t="s">
        <v>1476</v>
      </c>
      <c r="C841" s="2" t="s">
        <v>1477</v>
      </c>
      <c r="D841" s="2" t="s">
        <v>66</v>
      </c>
      <c r="E841" s="2" t="s">
        <v>20</v>
      </c>
      <c r="F841" s="2">
        <v>2020</v>
      </c>
      <c r="G841" s="2">
        <v>2021</v>
      </c>
      <c r="H841" s="2">
        <f>'mpi_dataset_summary_2017-2024'!$G841-'mpi_dataset_summary_2017-2024'!$F841+1</f>
        <v>2</v>
      </c>
      <c r="I841" s="2" t="s">
        <v>2111</v>
      </c>
      <c r="J841" s="2" t="s">
        <v>2110</v>
      </c>
      <c r="K841" s="2">
        <f>IF('mpi_dataset_summary_2017-2024'!$G841=2024,1,0)</f>
        <v>0</v>
      </c>
      <c r="L841" s="2">
        <f t="shared" si="26"/>
        <v>1</v>
      </c>
      <c r="M841" s="2">
        <v>120</v>
      </c>
      <c r="N841" s="2">
        <f t="shared" si="27"/>
        <v>0.38900000000000001</v>
      </c>
      <c r="O841" s="2">
        <v>50.676210245942002</v>
      </c>
      <c r="P841" s="2">
        <v>-110.024760961532</v>
      </c>
      <c r="Q841" s="2" t="s">
        <v>2108</v>
      </c>
      <c r="R841" s="3" t="s">
        <v>53</v>
      </c>
      <c r="S841" s="2" t="s">
        <v>22</v>
      </c>
      <c r="T841" s="2" t="s">
        <v>54</v>
      </c>
    </row>
    <row r="842" spans="1:20" x14ac:dyDescent="0.2">
      <c r="A842" s="2">
        <v>4192</v>
      </c>
      <c r="B842" s="2" t="s">
        <v>1478</v>
      </c>
      <c r="C842" s="2" t="s">
        <v>1479</v>
      </c>
      <c r="D842" s="2" t="s">
        <v>66</v>
      </c>
      <c r="E842" s="2" t="s">
        <v>20</v>
      </c>
      <c r="F842" s="2">
        <v>2020</v>
      </c>
      <c r="G842" s="2">
        <v>2021</v>
      </c>
      <c r="H842" s="2">
        <f>'mpi_dataset_summary_2017-2024'!$G842-'mpi_dataset_summary_2017-2024'!$F842+1</f>
        <v>2</v>
      </c>
      <c r="I842" s="2" t="s">
        <v>2110</v>
      </c>
      <c r="J842" s="2" t="s">
        <v>2110</v>
      </c>
      <c r="K842" s="2">
        <f>IF('mpi_dataset_summary_2017-2024'!$G842=2024,1,0)</f>
        <v>0</v>
      </c>
      <c r="L842" s="2">
        <f t="shared" si="26"/>
        <v>1</v>
      </c>
      <c r="M842" s="2">
        <v>105</v>
      </c>
      <c r="N842" s="2">
        <f t="shared" si="27"/>
        <v>0.36299999999999999</v>
      </c>
      <c r="O842" s="2">
        <v>54.391353290663602</v>
      </c>
      <c r="P842" s="2">
        <v>-116.83925628662099</v>
      </c>
      <c r="Q842" s="2" t="s">
        <v>2108</v>
      </c>
      <c r="R842" s="3" t="s">
        <v>53</v>
      </c>
      <c r="S842" s="2" t="s">
        <v>22</v>
      </c>
      <c r="T842" s="2" t="s">
        <v>54</v>
      </c>
    </row>
    <row r="843" spans="1:20" x14ac:dyDescent="0.2">
      <c r="A843" s="2">
        <v>4194</v>
      </c>
      <c r="B843" s="2" t="s">
        <v>1476</v>
      </c>
      <c r="C843" s="2" t="s">
        <v>1480</v>
      </c>
      <c r="D843" s="2" t="s">
        <v>66</v>
      </c>
      <c r="E843" s="2" t="s">
        <v>20</v>
      </c>
      <c r="F843" s="2">
        <v>2020</v>
      </c>
      <c r="G843" s="2">
        <v>2022</v>
      </c>
      <c r="H843" s="2">
        <f>'mpi_dataset_summary_2017-2024'!$G843-'mpi_dataset_summary_2017-2024'!$F843+1</f>
        <v>3</v>
      </c>
      <c r="I843" s="2" t="s">
        <v>2111</v>
      </c>
      <c r="J843" s="2" t="s">
        <v>2110</v>
      </c>
      <c r="K843" s="2">
        <f>IF('mpi_dataset_summary_2017-2024'!$G843=2024,1,0)</f>
        <v>0</v>
      </c>
      <c r="L843" s="2">
        <f t="shared" si="26"/>
        <v>1</v>
      </c>
      <c r="M843" s="2">
        <v>120</v>
      </c>
      <c r="N843" s="2">
        <f t="shared" si="27"/>
        <v>0.38900000000000001</v>
      </c>
      <c r="O843" s="2">
        <v>55.797162057056298</v>
      </c>
      <c r="P843" s="2">
        <v>-119.62926864624001</v>
      </c>
      <c r="Q843" s="2" t="s">
        <v>2108</v>
      </c>
      <c r="R843" s="3" t="s">
        <v>35</v>
      </c>
      <c r="S843" s="2" t="s">
        <v>22</v>
      </c>
      <c r="T843" s="2" t="s">
        <v>36</v>
      </c>
    </row>
    <row r="844" spans="1:20" x14ac:dyDescent="0.2">
      <c r="A844" s="2">
        <v>4195</v>
      </c>
      <c r="B844" s="2" t="s">
        <v>1228</v>
      </c>
      <c r="C844" s="2" t="s">
        <v>1481</v>
      </c>
      <c r="D844" s="2" t="s">
        <v>66</v>
      </c>
      <c r="E844" s="2" t="s">
        <v>20</v>
      </c>
      <c r="F844" s="2">
        <v>2020</v>
      </c>
      <c r="G844" s="2">
        <v>2021</v>
      </c>
      <c r="H844" s="2">
        <f>'mpi_dataset_summary_2017-2024'!$G844-'mpi_dataset_summary_2017-2024'!$F844+1</f>
        <v>2</v>
      </c>
      <c r="I844" s="2" t="s">
        <v>2111</v>
      </c>
      <c r="J844" s="2" t="s">
        <v>2110</v>
      </c>
      <c r="K844" s="2">
        <f>IF('mpi_dataset_summary_2017-2024'!$G844=2024,1,0)</f>
        <v>0</v>
      </c>
      <c r="L844" s="2">
        <f t="shared" si="26"/>
        <v>1</v>
      </c>
      <c r="M844" s="2">
        <v>92</v>
      </c>
      <c r="N844" s="2">
        <f t="shared" si="27"/>
        <v>0.33300000000000002</v>
      </c>
      <c r="O844" s="2">
        <v>49.636509097622699</v>
      </c>
      <c r="P844" s="2">
        <v>-111.227645874023</v>
      </c>
      <c r="Q844" s="2" t="s">
        <v>2108</v>
      </c>
      <c r="R844" s="3" t="s">
        <v>24</v>
      </c>
      <c r="S844" s="2" t="s">
        <v>25</v>
      </c>
      <c r="T844" s="2" t="s">
        <v>26</v>
      </c>
    </row>
    <row r="845" spans="1:20" x14ac:dyDescent="0.2">
      <c r="A845" s="2">
        <v>4197</v>
      </c>
      <c r="B845" s="2" t="s">
        <v>121</v>
      </c>
      <c r="C845" s="2" t="s">
        <v>1482</v>
      </c>
      <c r="D845" s="2" t="s">
        <v>66</v>
      </c>
      <c r="E845" s="2" t="s">
        <v>20</v>
      </c>
      <c r="F845" s="2">
        <v>2020</v>
      </c>
      <c r="G845" s="2">
        <v>2020</v>
      </c>
      <c r="H845" s="2">
        <f>'mpi_dataset_summary_2017-2024'!$G845-'mpi_dataset_summary_2017-2024'!$F845+1</f>
        <v>1</v>
      </c>
      <c r="I845" s="2" t="s">
        <v>2111</v>
      </c>
      <c r="J845" s="2" t="s">
        <v>2111</v>
      </c>
      <c r="K845" s="2">
        <f>IF('mpi_dataset_summary_2017-2024'!$G845=2024,1,0)</f>
        <v>0</v>
      </c>
      <c r="L845" s="2">
        <f t="shared" si="26"/>
        <v>0</v>
      </c>
      <c r="M845" s="2">
        <v>70</v>
      </c>
      <c r="N845" s="2">
        <f t="shared" si="27"/>
        <v>0.27600000000000002</v>
      </c>
      <c r="O845" s="2">
        <v>53.804503188487999</v>
      </c>
      <c r="P845" s="2">
        <v>-113.093175888061</v>
      </c>
      <c r="Q845" s="2" t="s">
        <v>2108</v>
      </c>
      <c r="R845" s="3" t="s">
        <v>37</v>
      </c>
      <c r="S845" s="2" t="s">
        <v>22</v>
      </c>
      <c r="T845" s="2" t="s">
        <v>38</v>
      </c>
    </row>
    <row r="846" spans="1:20" x14ac:dyDescent="0.2">
      <c r="A846" s="2">
        <v>4198</v>
      </c>
      <c r="B846" s="2" t="s">
        <v>1483</v>
      </c>
      <c r="C846" s="2" t="s">
        <v>1484</v>
      </c>
      <c r="D846" s="2" t="s">
        <v>66</v>
      </c>
      <c r="E846" s="2" t="s">
        <v>20</v>
      </c>
      <c r="F846" s="2">
        <v>2020</v>
      </c>
      <c r="G846" s="2">
        <v>2024</v>
      </c>
      <c r="H846" s="2">
        <f>'mpi_dataset_summary_2017-2024'!$G846-'mpi_dataset_summary_2017-2024'!$F846+1</f>
        <v>5</v>
      </c>
      <c r="I846" s="2" t="s">
        <v>2111</v>
      </c>
      <c r="J846" s="2" t="s">
        <v>2111</v>
      </c>
      <c r="K846" s="2">
        <f>IF('mpi_dataset_summary_2017-2024'!$G846=2024,1,0)</f>
        <v>1</v>
      </c>
      <c r="L846" s="2">
        <f t="shared" si="26"/>
        <v>0</v>
      </c>
      <c r="M846" s="2">
        <v>106</v>
      </c>
      <c r="N846" s="2">
        <f t="shared" si="27"/>
        <v>0.36599999999999999</v>
      </c>
      <c r="O846" s="2">
        <v>54.841826896550401</v>
      </c>
      <c r="P846" s="2">
        <v>-117.649841308593</v>
      </c>
      <c r="Q846" s="2" t="s">
        <v>2108</v>
      </c>
      <c r="R846" s="3" t="s">
        <v>24</v>
      </c>
      <c r="S846" s="2" t="s">
        <v>25</v>
      </c>
      <c r="T846" s="2" t="s">
        <v>26</v>
      </c>
    </row>
    <row r="847" spans="1:20" x14ac:dyDescent="0.2">
      <c r="A847" s="2">
        <v>4199</v>
      </c>
      <c r="B847" s="2" t="s">
        <v>1485</v>
      </c>
      <c r="C847" s="2" t="s">
        <v>1486</v>
      </c>
      <c r="D847" s="2" t="s">
        <v>66</v>
      </c>
      <c r="E847" s="2" t="s">
        <v>43</v>
      </c>
      <c r="F847" s="2">
        <v>2020</v>
      </c>
      <c r="G847" s="2">
        <v>2021</v>
      </c>
      <c r="H847" s="2">
        <f>'mpi_dataset_summary_2017-2024'!$G847-'mpi_dataset_summary_2017-2024'!$F847+1</f>
        <v>2</v>
      </c>
      <c r="I847" s="2" t="s">
        <v>2110</v>
      </c>
      <c r="J847" s="2" t="s">
        <v>2110</v>
      </c>
      <c r="K847" s="2">
        <f>IF('mpi_dataset_summary_2017-2024'!$G847=2024,1,0)</f>
        <v>0</v>
      </c>
      <c r="L847" s="2">
        <f t="shared" si="26"/>
        <v>1</v>
      </c>
      <c r="M847" s="2">
        <v>55.4</v>
      </c>
      <c r="N847" s="2">
        <f t="shared" si="27"/>
        <v>0.246</v>
      </c>
      <c r="O847" s="2">
        <v>51.012539664044702</v>
      </c>
      <c r="P847" s="2">
        <v>-114.023473262786</v>
      </c>
      <c r="Q847" s="2" t="s">
        <v>2108</v>
      </c>
      <c r="R847" s="3" t="s">
        <v>53</v>
      </c>
      <c r="S847" s="2" t="s">
        <v>22</v>
      </c>
      <c r="T847" s="2" t="s">
        <v>54</v>
      </c>
    </row>
    <row r="848" spans="1:20" x14ac:dyDescent="0.2">
      <c r="A848" s="2">
        <v>4200</v>
      </c>
      <c r="B848" s="2" t="s">
        <v>1487</v>
      </c>
      <c r="C848" s="2" t="s">
        <v>1488</v>
      </c>
      <c r="D848" s="2" t="s">
        <v>66</v>
      </c>
      <c r="E848" s="2" t="s">
        <v>20</v>
      </c>
      <c r="F848" s="2">
        <v>2020</v>
      </c>
      <c r="G848" s="2">
        <v>2021</v>
      </c>
      <c r="H848" s="2">
        <f>'mpi_dataset_summary_2017-2024'!$G848-'mpi_dataset_summary_2017-2024'!$F848+1</f>
        <v>2</v>
      </c>
      <c r="I848" s="2" t="s">
        <v>2111</v>
      </c>
      <c r="J848" s="2" t="s">
        <v>2110</v>
      </c>
      <c r="K848" s="2">
        <f>IF('mpi_dataset_summary_2017-2024'!$G848=2024,1,0)</f>
        <v>0</v>
      </c>
      <c r="L848" s="2">
        <f t="shared" si="26"/>
        <v>1</v>
      </c>
      <c r="M848" s="2">
        <v>50</v>
      </c>
      <c r="N848" s="2">
        <f t="shared" si="27"/>
        <v>0.214</v>
      </c>
      <c r="O848" s="2">
        <v>50.585280273940903</v>
      </c>
      <c r="P848" s="2">
        <v>-111.871998310089</v>
      </c>
      <c r="Q848" s="2" t="s">
        <v>2108</v>
      </c>
      <c r="R848" s="3" t="s">
        <v>24</v>
      </c>
      <c r="S848" s="2" t="s">
        <v>25</v>
      </c>
      <c r="T848" s="2" t="s">
        <v>26</v>
      </c>
    </row>
    <row r="849" spans="1:20" x14ac:dyDescent="0.2">
      <c r="A849" s="2">
        <v>4201</v>
      </c>
      <c r="B849" s="2" t="s">
        <v>235</v>
      </c>
      <c r="C849" s="2" t="s">
        <v>1489</v>
      </c>
      <c r="D849" s="2" t="s">
        <v>86</v>
      </c>
      <c r="E849" s="2" t="s">
        <v>43</v>
      </c>
      <c r="F849" s="2">
        <v>2020</v>
      </c>
      <c r="G849" s="2">
        <v>2024</v>
      </c>
      <c r="H849" s="2">
        <f>'mpi_dataset_summary_2017-2024'!$G849-'mpi_dataset_summary_2017-2024'!$F849+1</f>
        <v>5</v>
      </c>
      <c r="I849" s="2" t="s">
        <v>2111</v>
      </c>
      <c r="J849" s="2" t="s">
        <v>2110</v>
      </c>
      <c r="K849" s="2">
        <f>IF('mpi_dataset_summary_2017-2024'!$G849=2024,1,0)</f>
        <v>1</v>
      </c>
      <c r="L849" s="2">
        <f t="shared" si="26"/>
        <v>1</v>
      </c>
      <c r="M849" s="2">
        <v>162</v>
      </c>
      <c r="N849" s="2">
        <f t="shared" si="27"/>
        <v>0.46</v>
      </c>
      <c r="O849" s="2" t="s">
        <v>2114</v>
      </c>
      <c r="P849" s="2" t="s">
        <v>2114</v>
      </c>
      <c r="Q849" s="2" t="s">
        <v>2108</v>
      </c>
      <c r="R849" s="3" t="s">
        <v>41</v>
      </c>
      <c r="S849" s="2" t="s">
        <v>25</v>
      </c>
      <c r="T849" s="2" t="s">
        <v>46</v>
      </c>
    </row>
    <row r="850" spans="1:20" x14ac:dyDescent="0.2">
      <c r="A850" s="2">
        <v>4202</v>
      </c>
      <c r="B850" s="2" t="s">
        <v>1490</v>
      </c>
      <c r="C850" s="2" t="s">
        <v>1491</v>
      </c>
      <c r="D850" s="2" t="s">
        <v>185</v>
      </c>
      <c r="E850" s="2" t="s">
        <v>20</v>
      </c>
      <c r="F850" s="2">
        <v>2020</v>
      </c>
      <c r="G850" s="2">
        <v>2023</v>
      </c>
      <c r="H850" s="2">
        <f>'mpi_dataset_summary_2017-2024'!$G850-'mpi_dataset_summary_2017-2024'!$F850+1</f>
        <v>4</v>
      </c>
      <c r="I850" s="2" t="s">
        <v>2111</v>
      </c>
      <c r="J850" s="2" t="s">
        <v>2113</v>
      </c>
      <c r="K850" s="2">
        <f>IF('mpi_dataset_summary_2017-2024'!$G850=2024,1,0)</f>
        <v>0</v>
      </c>
      <c r="L850" s="2">
        <f t="shared" si="26"/>
        <v>0</v>
      </c>
      <c r="M850" s="2">
        <v>111</v>
      </c>
      <c r="N850" s="2">
        <f t="shared" si="27"/>
        <v>0.376</v>
      </c>
      <c r="O850" s="2">
        <v>45.364443999999999</v>
      </c>
      <c r="P850" s="2">
        <v>-64.414721999999998</v>
      </c>
      <c r="Q850" s="2" t="s">
        <v>2108</v>
      </c>
      <c r="R850" s="3" t="s">
        <v>24</v>
      </c>
      <c r="S850" s="2" t="s">
        <v>25</v>
      </c>
      <c r="T850" s="2" t="s">
        <v>26</v>
      </c>
    </row>
    <row r="851" spans="1:20" x14ac:dyDescent="0.2">
      <c r="A851" s="2">
        <v>4203</v>
      </c>
      <c r="B851" s="2" t="s">
        <v>1492</v>
      </c>
      <c r="C851" s="2" t="s">
        <v>1493</v>
      </c>
      <c r="D851" s="2" t="s">
        <v>185</v>
      </c>
      <c r="E851" s="2" t="s">
        <v>20</v>
      </c>
      <c r="F851" s="2">
        <v>2020</v>
      </c>
      <c r="G851" s="2">
        <v>2023</v>
      </c>
      <c r="H851" s="2">
        <f>'mpi_dataset_summary_2017-2024'!$G851-'mpi_dataset_summary_2017-2024'!$F851+1</f>
        <v>4</v>
      </c>
      <c r="I851" s="2" t="s">
        <v>2111</v>
      </c>
      <c r="J851" s="2" t="s">
        <v>2113</v>
      </c>
      <c r="K851" s="2">
        <f>IF('mpi_dataset_summary_2017-2024'!$G851=2024,1,0)</f>
        <v>0</v>
      </c>
      <c r="L851" s="2">
        <f t="shared" si="26"/>
        <v>0</v>
      </c>
      <c r="M851" s="2">
        <v>43.5</v>
      </c>
      <c r="N851" s="2">
        <f t="shared" si="27"/>
        <v>0.19</v>
      </c>
      <c r="O851" s="2">
        <v>45.327764999999999</v>
      </c>
      <c r="P851" s="2">
        <v>-64.415497000000002</v>
      </c>
      <c r="Q851" s="2" t="s">
        <v>2108</v>
      </c>
      <c r="R851" s="3" t="s">
        <v>24</v>
      </c>
      <c r="S851" s="2" t="s">
        <v>25</v>
      </c>
      <c r="T851" s="2" t="s">
        <v>26</v>
      </c>
    </row>
    <row r="852" spans="1:20" x14ac:dyDescent="0.2">
      <c r="A852" s="2">
        <v>4204</v>
      </c>
      <c r="B852" s="2" t="s">
        <v>1494</v>
      </c>
      <c r="C852" s="2" t="s">
        <v>1495</v>
      </c>
      <c r="D852" s="2" t="s">
        <v>185</v>
      </c>
      <c r="E852" s="2" t="s">
        <v>43</v>
      </c>
      <c r="F852" s="2">
        <v>2020</v>
      </c>
      <c r="G852" s="2">
        <v>2024</v>
      </c>
      <c r="H852" s="2">
        <f>'mpi_dataset_summary_2017-2024'!$G852-'mpi_dataset_summary_2017-2024'!$F852+1</f>
        <v>5</v>
      </c>
      <c r="I852" s="2" t="s">
        <v>2111</v>
      </c>
      <c r="J852" s="2" t="s">
        <v>2113</v>
      </c>
      <c r="K852" s="2">
        <f>IF('mpi_dataset_summary_2017-2024'!$G852=2024,1,0)</f>
        <v>1</v>
      </c>
      <c r="L852" s="2">
        <f t="shared" si="26"/>
        <v>0</v>
      </c>
      <c r="M852" s="2">
        <v>23.3</v>
      </c>
      <c r="N852" s="2">
        <f t="shared" si="27"/>
        <v>0.11899999999999999</v>
      </c>
      <c r="O852" s="2">
        <v>45.357404000000002</v>
      </c>
      <c r="P852" s="2">
        <v>-64.409666999999999</v>
      </c>
      <c r="Q852" s="2" t="s">
        <v>2108</v>
      </c>
      <c r="R852" s="3" t="s">
        <v>24</v>
      </c>
      <c r="S852" s="2" t="s">
        <v>25</v>
      </c>
      <c r="T852" s="2" t="s">
        <v>26</v>
      </c>
    </row>
    <row r="853" spans="1:20" x14ac:dyDescent="0.2">
      <c r="A853" s="2">
        <v>4205</v>
      </c>
      <c r="B853" s="2" t="s">
        <v>1496</v>
      </c>
      <c r="C853" s="2" t="s">
        <v>1497</v>
      </c>
      <c r="D853" s="2" t="s">
        <v>185</v>
      </c>
      <c r="E853" s="2" t="s">
        <v>20</v>
      </c>
      <c r="F853" s="2">
        <v>2020</v>
      </c>
      <c r="G853" s="2">
        <v>2024</v>
      </c>
      <c r="H853" s="2">
        <f>'mpi_dataset_summary_2017-2024'!$G853-'mpi_dataset_summary_2017-2024'!$F853+1</f>
        <v>5</v>
      </c>
      <c r="I853" s="2" t="s">
        <v>2111</v>
      </c>
      <c r="J853" s="2" t="s">
        <v>2110</v>
      </c>
      <c r="K853" s="2">
        <f>IF('mpi_dataset_summary_2017-2024'!$G853=2024,1,0)</f>
        <v>1</v>
      </c>
      <c r="L853" s="2">
        <f t="shared" si="26"/>
        <v>1</v>
      </c>
      <c r="M853" s="2">
        <v>22</v>
      </c>
      <c r="N853" s="2">
        <f t="shared" si="27"/>
        <v>0.109</v>
      </c>
      <c r="O853" s="2">
        <v>44.392336</v>
      </c>
      <c r="P853" s="2">
        <v>-66.206760000000003</v>
      </c>
      <c r="Q853" s="2" t="s">
        <v>2108</v>
      </c>
      <c r="R853" s="3" t="s">
        <v>24</v>
      </c>
      <c r="S853" s="2" t="s">
        <v>25</v>
      </c>
      <c r="T853" s="2" t="s">
        <v>26</v>
      </c>
    </row>
    <row r="854" spans="1:20" x14ac:dyDescent="0.2">
      <c r="A854" s="2">
        <v>4208</v>
      </c>
      <c r="B854" s="2" t="s">
        <v>1498</v>
      </c>
      <c r="C854" s="2">
        <v>0</v>
      </c>
      <c r="D854" s="2" t="s">
        <v>185</v>
      </c>
      <c r="E854" s="2" t="s">
        <v>20</v>
      </c>
      <c r="F854" s="2">
        <v>2020</v>
      </c>
      <c r="G854" s="2">
        <v>2021</v>
      </c>
      <c r="H854" s="2">
        <f>'mpi_dataset_summary_2017-2024'!$G854-'mpi_dataset_summary_2017-2024'!$F854+1</f>
        <v>2</v>
      </c>
      <c r="I854" s="2" t="s">
        <v>2113</v>
      </c>
      <c r="J854" s="2" t="s">
        <v>2113</v>
      </c>
      <c r="K854" s="2">
        <f>IF('mpi_dataset_summary_2017-2024'!$G854=2024,1,0)</f>
        <v>0</v>
      </c>
      <c r="L854" s="2">
        <f t="shared" si="26"/>
        <v>0</v>
      </c>
      <c r="M854" s="2">
        <v>0</v>
      </c>
      <c r="N854" s="2">
        <f t="shared" si="27"/>
        <v>0</v>
      </c>
      <c r="O854" s="2">
        <v>45.207672000000002</v>
      </c>
      <c r="P854" s="2">
        <v>-63.269593999999998</v>
      </c>
      <c r="Q854" s="2" t="s">
        <v>2108</v>
      </c>
      <c r="R854" s="3" t="s">
        <v>39</v>
      </c>
      <c r="S854" s="2" t="s">
        <v>22</v>
      </c>
      <c r="T854" s="2" t="s">
        <v>40</v>
      </c>
    </row>
    <row r="855" spans="1:20" x14ac:dyDescent="0.2">
      <c r="A855" s="2">
        <v>4209</v>
      </c>
      <c r="B855" s="2" t="s">
        <v>461</v>
      </c>
      <c r="C855" s="2" t="s">
        <v>1499</v>
      </c>
      <c r="D855" s="2" t="s">
        <v>161</v>
      </c>
      <c r="E855" s="2" t="s">
        <v>20</v>
      </c>
      <c r="F855" s="2">
        <v>2020</v>
      </c>
      <c r="G855" s="2">
        <v>2021</v>
      </c>
      <c r="H855" s="2">
        <f>'mpi_dataset_summary_2017-2024'!$G855-'mpi_dataset_summary_2017-2024'!$F855+1</f>
        <v>2</v>
      </c>
      <c r="I855" s="2" t="s">
        <v>2110</v>
      </c>
      <c r="J855" s="2" t="s">
        <v>2110</v>
      </c>
      <c r="K855" s="2">
        <f>IF('mpi_dataset_summary_2017-2024'!$G855=2024,1,0)</f>
        <v>0</v>
      </c>
      <c r="L855" s="2">
        <f t="shared" si="26"/>
        <v>1</v>
      </c>
      <c r="M855" s="2">
        <v>106.8</v>
      </c>
      <c r="N855" s="2">
        <f t="shared" si="27"/>
        <v>0.36699999999999999</v>
      </c>
      <c r="O855" s="2">
        <v>42.241327499999997</v>
      </c>
      <c r="P855" s="2">
        <v>-82.953436999999994</v>
      </c>
      <c r="Q855" s="2" t="s">
        <v>2108</v>
      </c>
      <c r="R855" s="3" t="s">
        <v>35</v>
      </c>
      <c r="S855" s="2" t="s">
        <v>22</v>
      </c>
      <c r="T855" s="2" t="s">
        <v>36</v>
      </c>
    </row>
    <row r="856" spans="1:20" x14ac:dyDescent="0.2">
      <c r="A856" s="2">
        <v>4210</v>
      </c>
      <c r="B856" s="2" t="s">
        <v>461</v>
      </c>
      <c r="C856" s="2" t="s">
        <v>1500</v>
      </c>
      <c r="D856" s="2" t="s">
        <v>161</v>
      </c>
      <c r="E856" s="2" t="s">
        <v>20</v>
      </c>
      <c r="F856" s="2">
        <v>2020</v>
      </c>
      <c r="G856" s="2">
        <v>2020</v>
      </c>
      <c r="H856" s="2">
        <f>'mpi_dataset_summary_2017-2024'!$G856-'mpi_dataset_summary_2017-2024'!$F856+1</f>
        <v>1</v>
      </c>
      <c r="I856" s="2" t="s">
        <v>2110</v>
      </c>
      <c r="J856" s="2" t="s">
        <v>2110</v>
      </c>
      <c r="K856" s="2">
        <f>IF('mpi_dataset_summary_2017-2024'!$G856=2024,1,0)</f>
        <v>0</v>
      </c>
      <c r="L856" s="2">
        <f t="shared" si="26"/>
        <v>1</v>
      </c>
      <c r="M856" s="2">
        <v>69</v>
      </c>
      <c r="N856" s="2">
        <f t="shared" si="27"/>
        <v>0.27100000000000002</v>
      </c>
      <c r="O856" s="2">
        <v>43.994103899999999</v>
      </c>
      <c r="P856" s="2">
        <v>-81.336640799999998</v>
      </c>
      <c r="Q856" s="2" t="s">
        <v>2108</v>
      </c>
      <c r="R856" s="3" t="s">
        <v>24</v>
      </c>
      <c r="S856" s="2" t="s">
        <v>25</v>
      </c>
      <c r="T856" s="2" t="s">
        <v>26</v>
      </c>
    </row>
    <row r="857" spans="1:20" x14ac:dyDescent="0.2">
      <c r="A857" s="2">
        <v>4211</v>
      </c>
      <c r="B857" s="2" t="s">
        <v>461</v>
      </c>
      <c r="C857" s="2" t="s">
        <v>1501</v>
      </c>
      <c r="D857" s="2" t="s">
        <v>161</v>
      </c>
      <c r="E857" s="2" t="s">
        <v>20</v>
      </c>
      <c r="F857" s="2">
        <v>2020</v>
      </c>
      <c r="G857" s="2">
        <v>2020</v>
      </c>
      <c r="H857" s="2">
        <f>'mpi_dataset_summary_2017-2024'!$G857-'mpi_dataset_summary_2017-2024'!$F857+1</f>
        <v>1</v>
      </c>
      <c r="I857" s="2" t="s">
        <v>2112</v>
      </c>
      <c r="J857" s="2" t="s">
        <v>2112</v>
      </c>
      <c r="K857" s="2">
        <f>IF('mpi_dataset_summary_2017-2024'!$G857=2024,1,0)</f>
        <v>0</v>
      </c>
      <c r="L857" s="2">
        <f t="shared" si="26"/>
        <v>0</v>
      </c>
      <c r="M857" s="2">
        <v>204</v>
      </c>
      <c r="N857" s="2">
        <f t="shared" si="27"/>
        <v>0.51100000000000001</v>
      </c>
      <c r="O857" s="2">
        <v>43.3053618</v>
      </c>
      <c r="P857" s="2">
        <v>-80.093277200000003</v>
      </c>
      <c r="Q857" s="2" t="s">
        <v>2108</v>
      </c>
      <c r="R857" s="3" t="s">
        <v>41</v>
      </c>
      <c r="S857" s="2" t="s">
        <v>25</v>
      </c>
      <c r="T857" s="2" t="s">
        <v>46</v>
      </c>
    </row>
    <row r="858" spans="1:20" x14ac:dyDescent="0.2">
      <c r="A858" s="2">
        <v>4212</v>
      </c>
      <c r="B858" s="2" t="s">
        <v>1502</v>
      </c>
      <c r="C858" s="2" t="s">
        <v>1503</v>
      </c>
      <c r="D858" s="2" t="s">
        <v>161</v>
      </c>
      <c r="E858" s="2" t="s">
        <v>20</v>
      </c>
      <c r="F858" s="2">
        <v>2020</v>
      </c>
      <c r="G858" s="2">
        <v>2021</v>
      </c>
      <c r="H858" s="2">
        <f>'mpi_dataset_summary_2017-2024'!$G858-'mpi_dataset_summary_2017-2024'!$F858+1</f>
        <v>2</v>
      </c>
      <c r="I858" s="2" t="s">
        <v>2112</v>
      </c>
      <c r="J858" s="2" t="s">
        <v>2112</v>
      </c>
      <c r="K858" s="2">
        <f>IF('mpi_dataset_summary_2017-2024'!$G858=2024,1,0)</f>
        <v>0</v>
      </c>
      <c r="L858" s="2">
        <f t="shared" si="26"/>
        <v>0</v>
      </c>
      <c r="M858" s="2">
        <v>95.6</v>
      </c>
      <c r="N858" s="2">
        <f t="shared" si="27"/>
        <v>0.33800000000000002</v>
      </c>
      <c r="O858" s="2">
        <v>49.013224100000002</v>
      </c>
      <c r="P858" s="2">
        <v>-88.2848501</v>
      </c>
      <c r="Q858" s="2" t="s">
        <v>2108</v>
      </c>
      <c r="R858" s="3" t="s">
        <v>37</v>
      </c>
      <c r="S858" s="2" t="s">
        <v>22</v>
      </c>
      <c r="T858" s="2" t="s">
        <v>38</v>
      </c>
    </row>
    <row r="859" spans="1:20" x14ac:dyDescent="0.2">
      <c r="A859" s="2">
        <v>4213</v>
      </c>
      <c r="B859" s="2" t="s">
        <v>1504</v>
      </c>
      <c r="C859" s="2" t="s">
        <v>1505</v>
      </c>
      <c r="D859" s="2" t="s">
        <v>161</v>
      </c>
      <c r="E859" s="2" t="s">
        <v>20</v>
      </c>
      <c r="F859" s="2">
        <v>2020</v>
      </c>
      <c r="G859" s="2">
        <v>2021</v>
      </c>
      <c r="H859" s="2">
        <f>'mpi_dataset_summary_2017-2024'!$G859-'mpi_dataset_summary_2017-2024'!$F859+1</f>
        <v>2</v>
      </c>
      <c r="I859" s="2" t="s">
        <v>2110</v>
      </c>
      <c r="J859" s="2" t="s">
        <v>2110</v>
      </c>
      <c r="K859" s="2">
        <f>IF('mpi_dataset_summary_2017-2024'!$G859=2024,1,0)</f>
        <v>0</v>
      </c>
      <c r="L859" s="2">
        <f t="shared" si="26"/>
        <v>1</v>
      </c>
      <c r="M859" s="2">
        <v>87</v>
      </c>
      <c r="N859" s="2">
        <f t="shared" si="27"/>
        <v>0.32500000000000001</v>
      </c>
      <c r="O859" s="2">
        <v>44.312018999999999</v>
      </c>
      <c r="P859" s="2">
        <v>-80.866074699999999</v>
      </c>
      <c r="Q859" s="2" t="s">
        <v>2108</v>
      </c>
      <c r="R859" s="3" t="s">
        <v>53</v>
      </c>
      <c r="S859" s="2" t="s">
        <v>22</v>
      </c>
      <c r="T859" s="2" t="s">
        <v>54</v>
      </c>
    </row>
    <row r="860" spans="1:20" x14ac:dyDescent="0.2">
      <c r="A860" s="2">
        <v>4214</v>
      </c>
      <c r="B860" s="2" t="s">
        <v>928</v>
      </c>
      <c r="C860" s="2" t="s">
        <v>1506</v>
      </c>
      <c r="D860" s="2" t="s">
        <v>161</v>
      </c>
      <c r="E860" s="2" t="s">
        <v>20</v>
      </c>
      <c r="F860" s="2">
        <v>2020</v>
      </c>
      <c r="G860" s="2">
        <v>2022</v>
      </c>
      <c r="H860" s="2">
        <f>'mpi_dataset_summary_2017-2024'!$G860-'mpi_dataset_summary_2017-2024'!$F860+1</f>
        <v>3</v>
      </c>
      <c r="I860" s="2" t="s">
        <v>2112</v>
      </c>
      <c r="J860" s="2" t="s">
        <v>2110</v>
      </c>
      <c r="K860" s="2">
        <f>IF('mpi_dataset_summary_2017-2024'!$G860=2024,1,0)</f>
        <v>0</v>
      </c>
      <c r="L860" s="2">
        <f t="shared" si="26"/>
        <v>1</v>
      </c>
      <c r="M860" s="2">
        <v>385</v>
      </c>
      <c r="N860" s="2">
        <f t="shared" si="27"/>
        <v>0.63</v>
      </c>
      <c r="O860" s="2">
        <v>43.330152400000003</v>
      </c>
      <c r="P860" s="2">
        <v>-79.910068899999999</v>
      </c>
      <c r="Q860" s="2" t="s">
        <v>2108</v>
      </c>
      <c r="R860" s="3" t="s">
        <v>39</v>
      </c>
      <c r="S860" s="2" t="s">
        <v>22</v>
      </c>
      <c r="T860" s="2" t="s">
        <v>40</v>
      </c>
    </row>
    <row r="861" spans="1:20" x14ac:dyDescent="0.2">
      <c r="A861" s="2">
        <v>4215</v>
      </c>
      <c r="B861" s="2" t="s">
        <v>1247</v>
      </c>
      <c r="C861" s="2" t="s">
        <v>1507</v>
      </c>
      <c r="D861" s="2" t="s">
        <v>161</v>
      </c>
      <c r="E861" s="2" t="s">
        <v>43</v>
      </c>
      <c r="F861" s="2">
        <v>2020</v>
      </c>
      <c r="G861" s="2">
        <v>2024</v>
      </c>
      <c r="H861" s="2">
        <f>'mpi_dataset_summary_2017-2024'!$G861-'mpi_dataset_summary_2017-2024'!$F861+1</f>
        <v>5</v>
      </c>
      <c r="I861" s="2" t="s">
        <v>2111</v>
      </c>
      <c r="J861" s="2" t="s">
        <v>2110</v>
      </c>
      <c r="K861" s="2">
        <f>IF('mpi_dataset_summary_2017-2024'!$G861=2024,1,0)</f>
        <v>1</v>
      </c>
      <c r="L861" s="2">
        <f t="shared" si="26"/>
        <v>1</v>
      </c>
      <c r="M861" s="2">
        <v>295</v>
      </c>
      <c r="N861" s="2">
        <f t="shared" si="27"/>
        <v>0.57099999999999995</v>
      </c>
      <c r="O861" s="2">
        <v>42.278536600000002</v>
      </c>
      <c r="P861" s="2">
        <v>-82.933839599999999</v>
      </c>
      <c r="Q861" s="2" t="s">
        <v>2108</v>
      </c>
      <c r="R861" s="3" t="s">
        <v>35</v>
      </c>
      <c r="S861" s="2" t="s">
        <v>22</v>
      </c>
      <c r="T861" s="2" t="s">
        <v>36</v>
      </c>
    </row>
    <row r="862" spans="1:20" x14ac:dyDescent="0.2">
      <c r="A862" s="2">
        <v>4216</v>
      </c>
      <c r="B862" s="2" t="s">
        <v>1508</v>
      </c>
      <c r="C862" s="2" t="s">
        <v>1509</v>
      </c>
      <c r="D862" s="2" t="s">
        <v>161</v>
      </c>
      <c r="E862" s="2" t="s">
        <v>20</v>
      </c>
      <c r="F862" s="2">
        <v>2020</v>
      </c>
      <c r="G862" s="2">
        <v>2024</v>
      </c>
      <c r="H862" s="2">
        <f>'mpi_dataset_summary_2017-2024'!$G862-'mpi_dataset_summary_2017-2024'!$F862+1</f>
        <v>5</v>
      </c>
      <c r="I862" s="2" t="s">
        <v>2111</v>
      </c>
      <c r="J862" s="2" t="s">
        <v>2113</v>
      </c>
      <c r="K862" s="2">
        <f>IF('mpi_dataset_summary_2017-2024'!$G862=2024,1,0)</f>
        <v>1</v>
      </c>
      <c r="L862" s="2">
        <f t="shared" si="26"/>
        <v>0</v>
      </c>
      <c r="M862" s="2">
        <v>800</v>
      </c>
      <c r="N862" s="2">
        <f t="shared" si="27"/>
        <v>0.77700000000000002</v>
      </c>
      <c r="O862" s="2" t="s">
        <v>2114</v>
      </c>
      <c r="P862" s="2" t="s">
        <v>2114</v>
      </c>
      <c r="Q862" s="2" t="s">
        <v>2108</v>
      </c>
      <c r="R862" s="3" t="s">
        <v>49</v>
      </c>
      <c r="S862" s="2" t="s">
        <v>25</v>
      </c>
      <c r="T862" s="2" t="s">
        <v>50</v>
      </c>
    </row>
    <row r="863" spans="1:20" x14ac:dyDescent="0.2">
      <c r="A863" s="2">
        <v>4217</v>
      </c>
      <c r="B863" s="2" t="s">
        <v>675</v>
      </c>
      <c r="C863" s="2" t="s">
        <v>1510</v>
      </c>
      <c r="D863" s="2" t="s">
        <v>110</v>
      </c>
      <c r="E863" s="2" t="s">
        <v>20</v>
      </c>
      <c r="F863" s="2">
        <v>2020</v>
      </c>
      <c r="G863" s="2">
        <v>2024</v>
      </c>
      <c r="H863" s="2">
        <f>'mpi_dataset_summary_2017-2024'!$G863-'mpi_dataset_summary_2017-2024'!$F863+1</f>
        <v>5</v>
      </c>
      <c r="I863" s="2" t="s">
        <v>2110</v>
      </c>
      <c r="J863" s="2" t="s">
        <v>2110</v>
      </c>
      <c r="K863" s="2">
        <f>IF('mpi_dataset_summary_2017-2024'!$G863=2024,1,0)</f>
        <v>1</v>
      </c>
      <c r="L863" s="2">
        <f t="shared" si="26"/>
        <v>1</v>
      </c>
      <c r="M863" s="2">
        <v>350</v>
      </c>
      <c r="N863" s="2">
        <f t="shared" si="27"/>
        <v>0.60299999999999998</v>
      </c>
      <c r="O863" s="2">
        <v>53.544446999999998</v>
      </c>
      <c r="P863" s="2">
        <v>-109.089619</v>
      </c>
      <c r="Q863" s="2" t="s">
        <v>2108</v>
      </c>
      <c r="R863" s="3" t="s">
        <v>24</v>
      </c>
      <c r="S863" s="2" t="s">
        <v>25</v>
      </c>
      <c r="T863" s="2" t="s">
        <v>26</v>
      </c>
    </row>
    <row r="864" spans="1:20" x14ac:dyDescent="0.2">
      <c r="A864" s="2">
        <v>4218</v>
      </c>
      <c r="B864" s="2" t="s">
        <v>1511</v>
      </c>
      <c r="C864" s="2" t="s">
        <v>1512</v>
      </c>
      <c r="D864" s="2" t="s">
        <v>110</v>
      </c>
      <c r="E864" s="2" t="s">
        <v>20</v>
      </c>
      <c r="F864" s="2">
        <v>2020</v>
      </c>
      <c r="G864" s="2">
        <v>2022</v>
      </c>
      <c r="H864" s="2">
        <f>'mpi_dataset_summary_2017-2024'!$G864-'mpi_dataset_summary_2017-2024'!$F864+1</f>
        <v>3</v>
      </c>
      <c r="I864" s="2" t="s">
        <v>2110</v>
      </c>
      <c r="J864" s="2" t="s">
        <v>2110</v>
      </c>
      <c r="K864" s="2">
        <f>IF('mpi_dataset_summary_2017-2024'!$G864=2024,1,0)</f>
        <v>0</v>
      </c>
      <c r="L864" s="2">
        <f t="shared" si="26"/>
        <v>1</v>
      </c>
      <c r="M864" s="2">
        <v>39</v>
      </c>
      <c r="N864" s="2">
        <f t="shared" si="27"/>
        <v>0.17699999999999999</v>
      </c>
      <c r="O864" s="2">
        <v>42.321199999999997</v>
      </c>
      <c r="P864" s="2">
        <v>85.179699999999997</v>
      </c>
      <c r="Q864" s="2" t="s">
        <v>2108</v>
      </c>
      <c r="R864" s="3" t="s">
        <v>41</v>
      </c>
      <c r="S864" s="2" t="s">
        <v>25</v>
      </c>
      <c r="T864" s="2" t="s">
        <v>46</v>
      </c>
    </row>
    <row r="865" spans="1:20" x14ac:dyDescent="0.2">
      <c r="A865" s="2">
        <v>4219</v>
      </c>
      <c r="B865" s="2" t="s">
        <v>1513</v>
      </c>
      <c r="C865" s="2" t="s">
        <v>1514</v>
      </c>
      <c r="D865" s="2" t="s">
        <v>380</v>
      </c>
      <c r="E865" s="2" t="s">
        <v>43</v>
      </c>
      <c r="F865" s="2">
        <v>2020</v>
      </c>
      <c r="G865" s="2">
        <v>2024</v>
      </c>
      <c r="H865" s="2">
        <f>'mpi_dataset_summary_2017-2024'!$G865-'mpi_dataset_summary_2017-2024'!$F865+1</f>
        <v>5</v>
      </c>
      <c r="I865" s="2" t="s">
        <v>2111</v>
      </c>
      <c r="J865" s="2" t="s">
        <v>2110</v>
      </c>
      <c r="K865" s="2">
        <f>IF('mpi_dataset_summary_2017-2024'!$G865=2024,1,0)</f>
        <v>1</v>
      </c>
      <c r="L865" s="2">
        <f t="shared" si="26"/>
        <v>1</v>
      </c>
      <c r="M865" s="2">
        <v>35</v>
      </c>
      <c r="N865" s="2">
        <f t="shared" si="27"/>
        <v>0.158</v>
      </c>
      <c r="O865" s="2">
        <v>60.779237999999999</v>
      </c>
      <c r="P865" s="2">
        <v>-135.27311499999999</v>
      </c>
      <c r="Q865" s="2" t="s">
        <v>2108</v>
      </c>
      <c r="R865" s="3" t="s">
        <v>49</v>
      </c>
      <c r="S865" s="2" t="s">
        <v>25</v>
      </c>
      <c r="T865" s="2" t="s">
        <v>50</v>
      </c>
    </row>
    <row r="866" spans="1:20" x14ac:dyDescent="0.2">
      <c r="A866" s="2">
        <v>4220</v>
      </c>
      <c r="B866" s="2" t="s">
        <v>1515</v>
      </c>
      <c r="C866" s="2" t="s">
        <v>1516</v>
      </c>
      <c r="D866" s="2" t="s">
        <v>185</v>
      </c>
      <c r="E866" s="2" t="s">
        <v>20</v>
      </c>
      <c r="F866" s="2">
        <v>2020</v>
      </c>
      <c r="G866" s="2">
        <v>2024</v>
      </c>
      <c r="H866" s="2">
        <f>'mpi_dataset_summary_2017-2024'!$G866-'mpi_dataset_summary_2017-2024'!$F866+1</f>
        <v>5</v>
      </c>
      <c r="I866" s="2" t="s">
        <v>2111</v>
      </c>
      <c r="J866" s="2" t="s">
        <v>2113</v>
      </c>
      <c r="K866" s="2">
        <f>IF('mpi_dataset_summary_2017-2024'!$G866=2024,1,0)</f>
        <v>1</v>
      </c>
      <c r="L866" s="2">
        <f t="shared" si="26"/>
        <v>0</v>
      </c>
      <c r="M866" s="2">
        <v>155</v>
      </c>
      <c r="N866" s="2">
        <f t="shared" si="27"/>
        <v>0.45200000000000001</v>
      </c>
      <c r="O866" s="2">
        <v>45.605694100000001</v>
      </c>
      <c r="P866" s="2">
        <v>-61.370926599999997</v>
      </c>
      <c r="Q866" s="2" t="s">
        <v>2108</v>
      </c>
      <c r="R866" s="3" t="s">
        <v>24</v>
      </c>
      <c r="S866" s="2" t="s">
        <v>25</v>
      </c>
      <c r="T866" s="2" t="s">
        <v>26</v>
      </c>
    </row>
    <row r="867" spans="1:20" x14ac:dyDescent="0.2">
      <c r="A867" s="2">
        <v>4221</v>
      </c>
      <c r="B867" s="2" t="s">
        <v>1517</v>
      </c>
      <c r="C867" s="2" t="s">
        <v>1518</v>
      </c>
      <c r="D867" s="2" t="s">
        <v>194</v>
      </c>
      <c r="E867" s="2" t="s">
        <v>43</v>
      </c>
      <c r="F867" s="2">
        <v>2020</v>
      </c>
      <c r="G867" s="2">
        <v>2023</v>
      </c>
      <c r="H867" s="2">
        <f>'mpi_dataset_summary_2017-2024'!$G867-'mpi_dataset_summary_2017-2024'!$F867+1</f>
        <v>4</v>
      </c>
      <c r="I867" s="2" t="s">
        <v>2111</v>
      </c>
      <c r="J867" s="2" t="s">
        <v>2110</v>
      </c>
      <c r="K867" s="2">
        <f>IF('mpi_dataset_summary_2017-2024'!$G867=2024,1,0)</f>
        <v>0</v>
      </c>
      <c r="L867" s="2">
        <f t="shared" si="26"/>
        <v>1</v>
      </c>
      <c r="M867" s="2">
        <v>69</v>
      </c>
      <c r="N867" s="2">
        <f t="shared" si="27"/>
        <v>0.27100000000000002</v>
      </c>
      <c r="O867" s="2">
        <v>46.3934</v>
      </c>
      <c r="P867" s="2">
        <v>-63.790199999999999</v>
      </c>
      <c r="Q867" s="2" t="s">
        <v>2108</v>
      </c>
      <c r="R867" s="3" t="s">
        <v>24</v>
      </c>
      <c r="S867" s="2" t="s">
        <v>25</v>
      </c>
      <c r="T867" s="2" t="s">
        <v>26</v>
      </c>
    </row>
    <row r="868" spans="1:20" x14ac:dyDescent="0.2">
      <c r="A868" s="2">
        <v>4222</v>
      </c>
      <c r="B868" s="2" t="s">
        <v>600</v>
      </c>
      <c r="C868" s="2" t="s">
        <v>1519</v>
      </c>
      <c r="D868" s="2" t="s">
        <v>66</v>
      </c>
      <c r="E868" s="2" t="s">
        <v>20</v>
      </c>
      <c r="F868" s="2">
        <v>2020</v>
      </c>
      <c r="G868" s="2">
        <v>2020</v>
      </c>
      <c r="H868" s="2">
        <f>'mpi_dataset_summary_2017-2024'!$G868-'mpi_dataset_summary_2017-2024'!$F868+1</f>
        <v>1</v>
      </c>
      <c r="I868" s="2" t="s">
        <v>2110</v>
      </c>
      <c r="J868" s="2" t="s">
        <v>2110</v>
      </c>
      <c r="K868" s="2">
        <f>IF('mpi_dataset_summary_2017-2024'!$G868=2024,1,0)</f>
        <v>0</v>
      </c>
      <c r="L868" s="2">
        <f t="shared" si="26"/>
        <v>1</v>
      </c>
      <c r="M868" s="2">
        <v>16</v>
      </c>
      <c r="N868" s="2">
        <f t="shared" si="27"/>
        <v>7.9000000000000001E-2</v>
      </c>
      <c r="O868" s="2">
        <v>49.503787000000003</v>
      </c>
      <c r="P868" s="2">
        <v>-114.6521474</v>
      </c>
      <c r="Q868" s="2" t="s">
        <v>2108</v>
      </c>
      <c r="R868" s="3" t="s">
        <v>49</v>
      </c>
      <c r="S868" s="2" t="s">
        <v>25</v>
      </c>
      <c r="T868" s="2" t="s">
        <v>50</v>
      </c>
    </row>
    <row r="869" spans="1:20" x14ac:dyDescent="0.2">
      <c r="A869" s="2">
        <v>4223</v>
      </c>
      <c r="B869" s="2" t="s">
        <v>1308</v>
      </c>
      <c r="C869" s="2" t="s">
        <v>1520</v>
      </c>
      <c r="D869" s="2" t="s">
        <v>66</v>
      </c>
      <c r="E869" s="2" t="s">
        <v>20</v>
      </c>
      <c r="F869" s="2">
        <v>2020</v>
      </c>
      <c r="G869" s="2">
        <v>2023</v>
      </c>
      <c r="H869" s="2">
        <f>'mpi_dataset_summary_2017-2024'!$G869-'mpi_dataset_summary_2017-2024'!$F869+1</f>
        <v>4</v>
      </c>
      <c r="I869" s="2" t="s">
        <v>2113</v>
      </c>
      <c r="J869" s="2" t="s">
        <v>2110</v>
      </c>
      <c r="K869" s="2">
        <f>IF('mpi_dataset_summary_2017-2024'!$G869=2024,1,0)</f>
        <v>0</v>
      </c>
      <c r="L869" s="2">
        <f t="shared" si="26"/>
        <v>1</v>
      </c>
      <c r="M869" s="2">
        <v>243</v>
      </c>
      <c r="N869" s="2">
        <f t="shared" si="27"/>
        <v>0.53400000000000003</v>
      </c>
      <c r="O869" s="2" t="s">
        <v>2114</v>
      </c>
      <c r="P869" s="2" t="s">
        <v>2114</v>
      </c>
      <c r="Q869" s="2" t="s">
        <v>2108</v>
      </c>
      <c r="R869" s="3" t="s">
        <v>24</v>
      </c>
      <c r="S869" s="2" t="s">
        <v>25</v>
      </c>
      <c r="T869" s="2" t="s">
        <v>26</v>
      </c>
    </row>
    <row r="870" spans="1:20" x14ac:dyDescent="0.2">
      <c r="A870" s="2">
        <v>4224</v>
      </c>
      <c r="B870" s="2" t="s">
        <v>1521</v>
      </c>
      <c r="C870" s="2" t="s">
        <v>1522</v>
      </c>
      <c r="D870" s="2" t="s">
        <v>66</v>
      </c>
      <c r="E870" s="2" t="s">
        <v>20</v>
      </c>
      <c r="F870" s="2">
        <v>2020</v>
      </c>
      <c r="G870" s="2">
        <v>2024</v>
      </c>
      <c r="H870" s="2">
        <f>'mpi_dataset_summary_2017-2024'!$G870-'mpi_dataset_summary_2017-2024'!$F870+1</f>
        <v>5</v>
      </c>
      <c r="I870" s="2" t="s">
        <v>2111</v>
      </c>
      <c r="J870" s="2" t="s">
        <v>2112</v>
      </c>
      <c r="K870" s="2">
        <f>IF('mpi_dataset_summary_2017-2024'!$G870=2024,1,0)</f>
        <v>1</v>
      </c>
      <c r="L870" s="2">
        <f t="shared" si="26"/>
        <v>0</v>
      </c>
      <c r="M870" s="2">
        <v>200</v>
      </c>
      <c r="N870" s="2">
        <f t="shared" si="27"/>
        <v>0.49099999999999999</v>
      </c>
      <c r="O870" s="2">
        <v>53.530105062697402</v>
      </c>
      <c r="P870" s="2">
        <v>-117.524528503417</v>
      </c>
      <c r="Q870" s="2" t="s">
        <v>2108</v>
      </c>
      <c r="R870" s="3" t="s">
        <v>24</v>
      </c>
      <c r="S870" s="2" t="s">
        <v>25</v>
      </c>
      <c r="T870" s="2" t="s">
        <v>26</v>
      </c>
    </row>
    <row r="871" spans="1:20" x14ac:dyDescent="0.2">
      <c r="A871" s="2">
        <v>4226</v>
      </c>
      <c r="B871" s="2" t="s">
        <v>1209</v>
      </c>
      <c r="C871" s="2" t="s">
        <v>1523</v>
      </c>
      <c r="D871" s="2" t="s">
        <v>66</v>
      </c>
      <c r="E871" s="2" t="s">
        <v>20</v>
      </c>
      <c r="F871" s="2">
        <v>2020</v>
      </c>
      <c r="G871" s="2">
        <v>2022</v>
      </c>
      <c r="H871" s="2">
        <f>'mpi_dataset_summary_2017-2024'!$G871-'mpi_dataset_summary_2017-2024'!$F871+1</f>
        <v>3</v>
      </c>
      <c r="I871" s="2" t="s">
        <v>2113</v>
      </c>
      <c r="J871" s="2" t="s">
        <v>2110</v>
      </c>
      <c r="K871" s="2">
        <f>IF('mpi_dataset_summary_2017-2024'!$G871=2024,1,0)</f>
        <v>0</v>
      </c>
      <c r="L871" s="2">
        <f t="shared" si="26"/>
        <v>1</v>
      </c>
      <c r="M871" s="2">
        <v>170</v>
      </c>
      <c r="N871" s="2">
        <f t="shared" si="27"/>
        <v>0.46500000000000002</v>
      </c>
      <c r="O871" s="2">
        <v>51.252246122516098</v>
      </c>
      <c r="P871" s="2">
        <v>-112.727966308593</v>
      </c>
      <c r="Q871" s="2" t="s">
        <v>2108</v>
      </c>
      <c r="R871" s="3" t="s">
        <v>24</v>
      </c>
      <c r="S871" s="2" t="s">
        <v>25</v>
      </c>
      <c r="T871" s="2" t="s">
        <v>26</v>
      </c>
    </row>
    <row r="872" spans="1:20" x14ac:dyDescent="0.2">
      <c r="A872" s="2">
        <v>4227</v>
      </c>
      <c r="B872" s="2" t="s">
        <v>1524</v>
      </c>
      <c r="C872" s="2" t="s">
        <v>1525</v>
      </c>
      <c r="D872" s="2" t="s">
        <v>161</v>
      </c>
      <c r="E872" s="2" t="s">
        <v>20</v>
      </c>
      <c r="F872" s="2">
        <v>2020</v>
      </c>
      <c r="G872" s="2">
        <v>2020</v>
      </c>
      <c r="H872" s="2">
        <f>'mpi_dataset_summary_2017-2024'!$G872-'mpi_dataset_summary_2017-2024'!$F872+1</f>
        <v>1</v>
      </c>
      <c r="I872" s="2" t="s">
        <v>2111</v>
      </c>
      <c r="J872" s="2" t="s">
        <v>2111</v>
      </c>
      <c r="K872" s="2">
        <f>IF('mpi_dataset_summary_2017-2024'!$G872=2024,1,0)</f>
        <v>0</v>
      </c>
      <c r="L872" s="2">
        <f t="shared" si="26"/>
        <v>0</v>
      </c>
      <c r="M872" s="2">
        <v>50</v>
      </c>
      <c r="N872" s="2">
        <f t="shared" si="27"/>
        <v>0.214</v>
      </c>
      <c r="O872" s="2" t="s">
        <v>2114</v>
      </c>
      <c r="P872" s="2" t="s">
        <v>2114</v>
      </c>
      <c r="Q872" s="2" t="s">
        <v>2109</v>
      </c>
      <c r="R872" s="3" t="s">
        <v>60</v>
      </c>
      <c r="S872" s="2" t="s">
        <v>25</v>
      </c>
      <c r="T872" s="2" t="s">
        <v>61</v>
      </c>
    </row>
    <row r="873" spans="1:20" x14ac:dyDescent="0.2">
      <c r="A873" s="2">
        <v>4230</v>
      </c>
      <c r="B873" s="2" t="s">
        <v>1526</v>
      </c>
      <c r="C873" s="2" t="s">
        <v>1527</v>
      </c>
      <c r="D873" s="2" t="s">
        <v>258</v>
      </c>
      <c r="E873" s="2" t="s">
        <v>20</v>
      </c>
      <c r="F873" s="2">
        <v>2020</v>
      </c>
      <c r="G873" s="2">
        <v>2024</v>
      </c>
      <c r="H873" s="2">
        <f>'mpi_dataset_summary_2017-2024'!$G873-'mpi_dataset_summary_2017-2024'!$F873+1</f>
        <v>5</v>
      </c>
      <c r="I873" s="2" t="s">
        <v>2111</v>
      </c>
      <c r="J873" s="2" t="s">
        <v>2110</v>
      </c>
      <c r="K873" s="2">
        <f>IF('mpi_dataset_summary_2017-2024'!$G873=2024,1,0)</f>
        <v>1</v>
      </c>
      <c r="L873" s="2">
        <f t="shared" si="26"/>
        <v>1</v>
      </c>
      <c r="M873" s="2">
        <v>35</v>
      </c>
      <c r="N873" s="2">
        <f t="shared" si="27"/>
        <v>0.158</v>
      </c>
      <c r="O873" s="2" t="s">
        <v>2114</v>
      </c>
      <c r="P873" s="2" t="s">
        <v>2114</v>
      </c>
      <c r="Q873" s="2" t="s">
        <v>2109</v>
      </c>
      <c r="R873" s="3" t="s">
        <v>58</v>
      </c>
      <c r="S873" s="2" t="s">
        <v>22</v>
      </c>
      <c r="T873" s="2" t="s">
        <v>59</v>
      </c>
    </row>
    <row r="874" spans="1:20" x14ac:dyDescent="0.2">
      <c r="A874" s="2">
        <v>4231</v>
      </c>
      <c r="B874" s="2" t="s">
        <v>1528</v>
      </c>
      <c r="C874" s="2" t="s">
        <v>1529</v>
      </c>
      <c r="D874" s="2" t="s">
        <v>69</v>
      </c>
      <c r="E874" s="2" t="s">
        <v>20</v>
      </c>
      <c r="F874" s="2">
        <v>2020</v>
      </c>
      <c r="G874" s="2">
        <v>2024</v>
      </c>
      <c r="H874" s="2">
        <f>'mpi_dataset_summary_2017-2024'!$G874-'mpi_dataset_summary_2017-2024'!$F874+1</f>
        <v>5</v>
      </c>
      <c r="I874" s="2" t="s">
        <v>2111</v>
      </c>
      <c r="J874" s="2" t="s">
        <v>2111</v>
      </c>
      <c r="K874" s="2">
        <f>IF('mpi_dataset_summary_2017-2024'!$G874=2024,1,0)</f>
        <v>1</v>
      </c>
      <c r="L874" s="2">
        <f t="shared" si="26"/>
        <v>0</v>
      </c>
      <c r="M874" s="2">
        <v>2500</v>
      </c>
      <c r="N874" s="2">
        <f t="shared" si="27"/>
        <v>0.91300000000000003</v>
      </c>
      <c r="O874" s="2">
        <v>55.712508999999997</v>
      </c>
      <c r="P874" s="2">
        <v>-121.66890650000001</v>
      </c>
      <c r="Q874" s="2" t="s">
        <v>2108</v>
      </c>
      <c r="R874" s="3" t="s">
        <v>35</v>
      </c>
      <c r="S874" s="2" t="s">
        <v>22</v>
      </c>
      <c r="T874" s="2" t="s">
        <v>36</v>
      </c>
    </row>
    <row r="875" spans="1:20" x14ac:dyDescent="0.2">
      <c r="A875" s="2">
        <v>4232</v>
      </c>
      <c r="B875" s="2" t="s">
        <v>1530</v>
      </c>
      <c r="C875" s="2" t="s">
        <v>1531</v>
      </c>
      <c r="D875" s="2" t="s">
        <v>69</v>
      </c>
      <c r="E875" s="2" t="s">
        <v>20</v>
      </c>
      <c r="F875" s="2">
        <v>2020</v>
      </c>
      <c r="G875" s="2">
        <v>2021</v>
      </c>
      <c r="H875" s="2">
        <f>'mpi_dataset_summary_2017-2024'!$G875-'mpi_dataset_summary_2017-2024'!$F875+1</f>
        <v>2</v>
      </c>
      <c r="I875" s="2" t="s">
        <v>2111</v>
      </c>
      <c r="J875" s="2" t="s">
        <v>2111</v>
      </c>
      <c r="K875" s="2">
        <f>IF('mpi_dataset_summary_2017-2024'!$G875=2024,1,0)</f>
        <v>0</v>
      </c>
      <c r="L875" s="2">
        <f t="shared" si="26"/>
        <v>0</v>
      </c>
      <c r="M875" s="2">
        <v>5200</v>
      </c>
      <c r="N875" s="2">
        <f t="shared" si="27"/>
        <v>0.95299999999999996</v>
      </c>
      <c r="O875" s="2">
        <v>53.926817</v>
      </c>
      <c r="P875" s="2">
        <v>-122.8925005</v>
      </c>
      <c r="Q875" s="2" t="s">
        <v>2108</v>
      </c>
      <c r="R875" s="3" t="s">
        <v>27</v>
      </c>
      <c r="S875" s="2" t="s">
        <v>25</v>
      </c>
      <c r="T875" s="2" t="s">
        <v>28</v>
      </c>
    </row>
    <row r="876" spans="1:20" x14ac:dyDescent="0.2">
      <c r="A876" s="2">
        <v>5000</v>
      </c>
      <c r="B876" s="2" t="s">
        <v>1532</v>
      </c>
      <c r="C876" s="2" t="s">
        <v>1533</v>
      </c>
      <c r="D876" s="2" t="s">
        <v>86</v>
      </c>
      <c r="E876" s="2" t="s">
        <v>20</v>
      </c>
      <c r="F876" s="2">
        <v>2021</v>
      </c>
      <c r="G876" s="2">
        <v>2022</v>
      </c>
      <c r="H876" s="2">
        <f>'mpi_dataset_summary_2017-2024'!$G876-'mpi_dataset_summary_2017-2024'!$F876+1</f>
        <v>2</v>
      </c>
      <c r="I876" s="2" t="s">
        <v>2112</v>
      </c>
      <c r="J876" s="2" t="s">
        <v>2112</v>
      </c>
      <c r="K876" s="2">
        <f>IF('mpi_dataset_summary_2017-2024'!$G876=2024,1,0)</f>
        <v>0</v>
      </c>
      <c r="L876" s="2">
        <f t="shared" si="26"/>
        <v>0</v>
      </c>
      <c r="M876" s="2">
        <v>0</v>
      </c>
      <c r="N876" s="2">
        <f t="shared" si="27"/>
        <v>0</v>
      </c>
      <c r="O876" s="2">
        <v>49.451287000000001</v>
      </c>
      <c r="P876" s="2" t="s">
        <v>2114</v>
      </c>
      <c r="Q876" s="2" t="s">
        <v>2107</v>
      </c>
      <c r="R876" s="3" t="s">
        <v>41</v>
      </c>
      <c r="S876" s="2" t="s">
        <v>22</v>
      </c>
      <c r="T876" s="2" t="s">
        <v>42</v>
      </c>
    </row>
    <row r="877" spans="1:20" x14ac:dyDescent="0.2">
      <c r="A877" s="2">
        <v>5001</v>
      </c>
      <c r="B877" s="2" t="s">
        <v>1532</v>
      </c>
      <c r="C877" s="2" t="s">
        <v>1534</v>
      </c>
      <c r="D877" s="2" t="s">
        <v>86</v>
      </c>
      <c r="E877" s="2" t="s">
        <v>20</v>
      </c>
      <c r="F877" s="2">
        <v>2021</v>
      </c>
      <c r="G877" s="2">
        <v>2022</v>
      </c>
      <c r="H877" s="2">
        <f>'mpi_dataset_summary_2017-2024'!$G877-'mpi_dataset_summary_2017-2024'!$F877+1</f>
        <v>2</v>
      </c>
      <c r="I877" s="2" t="s">
        <v>2111</v>
      </c>
      <c r="J877" s="2" t="s">
        <v>2113</v>
      </c>
      <c r="K877" s="2">
        <f>IF('mpi_dataset_summary_2017-2024'!$G877=2024,1,0)</f>
        <v>0</v>
      </c>
      <c r="L877" s="2">
        <f t="shared" si="26"/>
        <v>0</v>
      </c>
      <c r="M877" s="2">
        <v>0</v>
      </c>
      <c r="N877" s="2">
        <f t="shared" si="27"/>
        <v>0</v>
      </c>
      <c r="O877" s="2">
        <v>49.759169999999997</v>
      </c>
      <c r="P877" s="2">
        <v>96.468180000000004</v>
      </c>
      <c r="Q877" s="2" t="s">
        <v>2107</v>
      </c>
      <c r="R877" s="3" t="s">
        <v>41</v>
      </c>
      <c r="S877" s="2" t="s">
        <v>22</v>
      </c>
      <c r="T877" s="2" t="s">
        <v>42</v>
      </c>
    </row>
    <row r="878" spans="1:20" x14ac:dyDescent="0.2">
      <c r="A878" s="2">
        <v>5002</v>
      </c>
      <c r="B878" s="2" t="s">
        <v>1535</v>
      </c>
      <c r="C878" s="2" t="s">
        <v>1536</v>
      </c>
      <c r="D878" s="2" t="s">
        <v>126</v>
      </c>
      <c r="E878" s="2" t="s">
        <v>20</v>
      </c>
      <c r="F878" s="2">
        <v>2021</v>
      </c>
      <c r="G878" s="2">
        <v>2024</v>
      </c>
      <c r="H878" s="2">
        <f>'mpi_dataset_summary_2017-2024'!$G878-'mpi_dataset_summary_2017-2024'!$F878+1</f>
        <v>4</v>
      </c>
      <c r="I878" s="2" t="s">
        <v>2111</v>
      </c>
      <c r="J878" s="2" t="s">
        <v>2113</v>
      </c>
      <c r="K878" s="2">
        <f>IF('mpi_dataset_summary_2017-2024'!$G878=2024,1,0)</f>
        <v>1</v>
      </c>
      <c r="L878" s="2">
        <f t="shared" si="26"/>
        <v>0</v>
      </c>
      <c r="M878" s="2">
        <v>160</v>
      </c>
      <c r="N878" s="2">
        <f t="shared" si="27"/>
        <v>0.45600000000000002</v>
      </c>
      <c r="O878" s="2">
        <v>69.297388999999995</v>
      </c>
      <c r="P878" s="2">
        <v>-133.076278</v>
      </c>
      <c r="Q878" s="2" t="s">
        <v>2108</v>
      </c>
      <c r="R878" s="3" t="s">
        <v>24</v>
      </c>
      <c r="S878" s="2" t="s">
        <v>25</v>
      </c>
      <c r="T878" s="2" t="s">
        <v>26</v>
      </c>
    </row>
    <row r="879" spans="1:20" x14ac:dyDescent="0.2">
      <c r="A879" s="2">
        <v>5003</v>
      </c>
      <c r="B879" s="2" t="s">
        <v>714</v>
      </c>
      <c r="C879" s="2" t="s">
        <v>1537</v>
      </c>
      <c r="D879" s="2" t="s">
        <v>126</v>
      </c>
      <c r="E879" s="2" t="s">
        <v>20</v>
      </c>
      <c r="F879" s="2">
        <v>2021</v>
      </c>
      <c r="G879" s="2">
        <v>2021</v>
      </c>
      <c r="H879" s="2">
        <f>'mpi_dataset_summary_2017-2024'!$G879-'mpi_dataset_summary_2017-2024'!$F879+1</f>
        <v>1</v>
      </c>
      <c r="I879" s="2" t="s">
        <v>2112</v>
      </c>
      <c r="J879" s="2" t="s">
        <v>2112</v>
      </c>
      <c r="K879" s="2">
        <f>IF('mpi_dataset_summary_2017-2024'!$G879=2024,1,0)</f>
        <v>0</v>
      </c>
      <c r="L879" s="2">
        <f t="shared" si="26"/>
        <v>0</v>
      </c>
      <c r="M879" s="2">
        <v>0</v>
      </c>
      <c r="N879" s="2">
        <f t="shared" si="27"/>
        <v>0</v>
      </c>
      <c r="O879" s="2">
        <v>64.445237000000006</v>
      </c>
      <c r="P879" s="2">
        <v>-110.695595</v>
      </c>
      <c r="Q879" s="2" t="s">
        <v>2107</v>
      </c>
      <c r="R879" s="3" t="s">
        <v>29</v>
      </c>
      <c r="S879" s="2" t="s">
        <v>22</v>
      </c>
      <c r="T879" s="2" t="s">
        <v>30</v>
      </c>
    </row>
    <row r="880" spans="1:20" x14ac:dyDescent="0.2">
      <c r="A880" s="2">
        <v>5004</v>
      </c>
      <c r="B880" s="2" t="s">
        <v>1532</v>
      </c>
      <c r="C880" s="2" t="s">
        <v>1538</v>
      </c>
      <c r="D880" s="2" t="s">
        <v>86</v>
      </c>
      <c r="E880" s="2" t="s">
        <v>20</v>
      </c>
      <c r="F880" s="2">
        <v>2021</v>
      </c>
      <c r="G880" s="2">
        <v>2022</v>
      </c>
      <c r="H880" s="2">
        <f>'mpi_dataset_summary_2017-2024'!$G880-'mpi_dataset_summary_2017-2024'!$F880+1</f>
        <v>2</v>
      </c>
      <c r="I880" s="2" t="s">
        <v>2112</v>
      </c>
      <c r="J880" s="2" t="s">
        <v>2112</v>
      </c>
      <c r="K880" s="2">
        <f>IF('mpi_dataset_summary_2017-2024'!$G880=2024,1,0)</f>
        <v>0</v>
      </c>
      <c r="L880" s="2">
        <f t="shared" si="26"/>
        <v>0</v>
      </c>
      <c r="M880" s="2">
        <v>0</v>
      </c>
      <c r="N880" s="2">
        <f t="shared" si="27"/>
        <v>0</v>
      </c>
      <c r="O880" s="2">
        <v>49.759169999999997</v>
      </c>
      <c r="P880" s="2">
        <v>96.468180000000004</v>
      </c>
      <c r="Q880" s="2" t="s">
        <v>2107</v>
      </c>
      <c r="R880" s="3" t="s">
        <v>41</v>
      </c>
      <c r="S880" s="2" t="s">
        <v>22</v>
      </c>
      <c r="T880" s="2" t="s">
        <v>42</v>
      </c>
    </row>
    <row r="881" spans="1:20" x14ac:dyDescent="0.2">
      <c r="A881" s="2">
        <v>5006</v>
      </c>
      <c r="B881" s="2" t="s">
        <v>1539</v>
      </c>
      <c r="C881" s="2" t="s">
        <v>1540</v>
      </c>
      <c r="D881" s="2" t="s">
        <v>69</v>
      </c>
      <c r="E881" s="2" t="s">
        <v>20</v>
      </c>
      <c r="F881" s="2">
        <v>2021</v>
      </c>
      <c r="G881" s="2">
        <v>2024</v>
      </c>
      <c r="H881" s="2">
        <f>'mpi_dataset_summary_2017-2024'!$G881-'mpi_dataset_summary_2017-2024'!$F881+1</f>
        <v>4</v>
      </c>
      <c r="I881" s="2" t="s">
        <v>2111</v>
      </c>
      <c r="J881" s="2" t="s">
        <v>2110</v>
      </c>
      <c r="K881" s="2">
        <f>IF('mpi_dataset_summary_2017-2024'!$G881=2024,1,0)</f>
        <v>1</v>
      </c>
      <c r="L881" s="2">
        <f t="shared" si="26"/>
        <v>1</v>
      </c>
      <c r="M881" s="2">
        <v>30</v>
      </c>
      <c r="N881" s="2">
        <f t="shared" si="27"/>
        <v>0.14599999999999999</v>
      </c>
      <c r="O881" s="2" t="s">
        <v>2114</v>
      </c>
      <c r="P881" s="2" t="s">
        <v>2114</v>
      </c>
      <c r="Q881" s="2" t="s">
        <v>2108</v>
      </c>
      <c r="R881" s="3" t="s">
        <v>24</v>
      </c>
      <c r="S881" s="2" t="s">
        <v>25</v>
      </c>
      <c r="T881" s="2" t="s">
        <v>26</v>
      </c>
    </row>
    <row r="882" spans="1:20" x14ac:dyDescent="0.2">
      <c r="A882" s="2">
        <v>5007</v>
      </c>
      <c r="B882" s="2" t="s">
        <v>899</v>
      </c>
      <c r="C882" s="2" t="s">
        <v>1541</v>
      </c>
      <c r="D882" s="2" t="s">
        <v>126</v>
      </c>
      <c r="E882" s="2" t="s">
        <v>20</v>
      </c>
      <c r="F882" s="2">
        <v>2021</v>
      </c>
      <c r="G882" s="2">
        <v>2023</v>
      </c>
      <c r="H882" s="2">
        <f>'mpi_dataset_summary_2017-2024'!$G882-'mpi_dataset_summary_2017-2024'!$F882+1</f>
        <v>3</v>
      </c>
      <c r="I882" s="2" t="s">
        <v>2113</v>
      </c>
      <c r="J882" s="2" t="s">
        <v>2110</v>
      </c>
      <c r="K882" s="2">
        <f>IF('mpi_dataset_summary_2017-2024'!$G882=2024,1,0)</f>
        <v>0</v>
      </c>
      <c r="L882" s="2">
        <f t="shared" si="26"/>
        <v>1</v>
      </c>
      <c r="M882" s="2">
        <v>70</v>
      </c>
      <c r="N882" s="2">
        <f t="shared" si="27"/>
        <v>0.27600000000000002</v>
      </c>
      <c r="O882" s="2" t="s">
        <v>2114</v>
      </c>
      <c r="P882" s="2" t="s">
        <v>2114</v>
      </c>
      <c r="Q882" s="2" t="s">
        <v>2108</v>
      </c>
      <c r="R882" s="3" t="s">
        <v>24</v>
      </c>
      <c r="S882" s="2" t="s">
        <v>25</v>
      </c>
      <c r="T882" s="2" t="s">
        <v>26</v>
      </c>
    </row>
    <row r="883" spans="1:20" x14ac:dyDescent="0.2">
      <c r="A883" s="2">
        <v>5010</v>
      </c>
      <c r="B883" s="2" t="s">
        <v>1542</v>
      </c>
      <c r="C883" s="2" t="s">
        <v>1543</v>
      </c>
      <c r="D883" s="2" t="s">
        <v>69</v>
      </c>
      <c r="E883" s="2" t="s">
        <v>20</v>
      </c>
      <c r="F883" s="2">
        <v>2021</v>
      </c>
      <c r="G883" s="2">
        <v>2024</v>
      </c>
      <c r="H883" s="2">
        <f>'mpi_dataset_summary_2017-2024'!$G883-'mpi_dataset_summary_2017-2024'!$F883+1</f>
        <v>4</v>
      </c>
      <c r="I883" s="2" t="s">
        <v>2111</v>
      </c>
      <c r="J883" s="2" t="s">
        <v>2111</v>
      </c>
      <c r="K883" s="2">
        <f>IF('mpi_dataset_summary_2017-2024'!$G883=2024,1,0)</f>
        <v>1</v>
      </c>
      <c r="L883" s="2">
        <f t="shared" si="26"/>
        <v>0</v>
      </c>
      <c r="M883" s="2">
        <v>100</v>
      </c>
      <c r="N883" s="2">
        <f t="shared" si="27"/>
        <v>0.34300000000000003</v>
      </c>
      <c r="O883" s="2" t="s">
        <v>2114</v>
      </c>
      <c r="P883" s="2" t="s">
        <v>2114</v>
      </c>
      <c r="Q883" s="2" t="s">
        <v>2108</v>
      </c>
      <c r="R883" s="3" t="s">
        <v>24</v>
      </c>
      <c r="S883" s="2" t="s">
        <v>25</v>
      </c>
      <c r="T883" s="2" t="s">
        <v>26</v>
      </c>
    </row>
    <row r="884" spans="1:20" x14ac:dyDescent="0.2">
      <c r="A884" s="2">
        <v>5014</v>
      </c>
      <c r="B884" s="2" t="s">
        <v>1544</v>
      </c>
      <c r="C884" s="2" t="s">
        <v>867</v>
      </c>
      <c r="D884" s="2" t="s">
        <v>69</v>
      </c>
      <c r="E884" s="2" t="s">
        <v>20</v>
      </c>
      <c r="F884" s="2">
        <v>2021</v>
      </c>
      <c r="G884" s="2">
        <v>2024</v>
      </c>
      <c r="H884" s="2">
        <f>'mpi_dataset_summary_2017-2024'!$G884-'mpi_dataset_summary_2017-2024'!$F884+1</f>
        <v>4</v>
      </c>
      <c r="I884" s="2" t="s">
        <v>2111</v>
      </c>
      <c r="J884" s="2" t="s">
        <v>2111</v>
      </c>
      <c r="K884" s="2">
        <f>IF('mpi_dataset_summary_2017-2024'!$G884=2024,1,0)</f>
        <v>1</v>
      </c>
      <c r="L884" s="2">
        <f t="shared" si="26"/>
        <v>0</v>
      </c>
      <c r="M884" s="2">
        <v>10000</v>
      </c>
      <c r="N884" s="2">
        <f t="shared" si="27"/>
        <v>0.97599999999999998</v>
      </c>
      <c r="O884" s="2" t="s">
        <v>2114</v>
      </c>
      <c r="P884" s="2" t="s">
        <v>2114</v>
      </c>
      <c r="Q884" s="2" t="s">
        <v>2108</v>
      </c>
      <c r="R884" s="3" t="s">
        <v>37</v>
      </c>
      <c r="S884" s="2" t="s">
        <v>22</v>
      </c>
      <c r="T884" s="2" t="s">
        <v>38</v>
      </c>
    </row>
    <row r="885" spans="1:20" x14ac:dyDescent="0.2">
      <c r="A885" s="2">
        <v>5015</v>
      </c>
      <c r="B885" s="2" t="s">
        <v>1545</v>
      </c>
      <c r="C885" s="2" t="s">
        <v>1546</v>
      </c>
      <c r="D885" s="2" t="s">
        <v>66</v>
      </c>
      <c r="E885" s="2" t="s">
        <v>20</v>
      </c>
      <c r="F885" s="2">
        <v>2021</v>
      </c>
      <c r="G885" s="2">
        <v>2022</v>
      </c>
      <c r="H885" s="2">
        <f>'mpi_dataset_summary_2017-2024'!$G885-'mpi_dataset_summary_2017-2024'!$F885+1</f>
        <v>2</v>
      </c>
      <c r="I885" s="2" t="s">
        <v>2111</v>
      </c>
      <c r="J885" s="2" t="s">
        <v>2113</v>
      </c>
      <c r="K885" s="2">
        <f>IF('mpi_dataset_summary_2017-2024'!$G885=2024,1,0)</f>
        <v>0</v>
      </c>
      <c r="L885" s="2">
        <f t="shared" si="26"/>
        <v>0</v>
      </c>
      <c r="M885" s="2">
        <v>12.3</v>
      </c>
      <c r="N885" s="2">
        <f t="shared" si="27"/>
        <v>7.0000000000000007E-2</v>
      </c>
      <c r="O885" s="2" t="s">
        <v>2114</v>
      </c>
      <c r="P885" s="2" t="s">
        <v>2114</v>
      </c>
      <c r="Q885" s="2" t="s">
        <v>2108</v>
      </c>
      <c r="R885" s="3" t="s">
        <v>24</v>
      </c>
      <c r="S885" s="2" t="s">
        <v>25</v>
      </c>
      <c r="T885" s="2" t="s">
        <v>26</v>
      </c>
    </row>
    <row r="886" spans="1:20" x14ac:dyDescent="0.2">
      <c r="A886" s="2">
        <v>5016</v>
      </c>
      <c r="B886" s="2" t="s">
        <v>1545</v>
      </c>
      <c r="C886" s="2" t="s">
        <v>1547</v>
      </c>
      <c r="D886" s="2" t="s">
        <v>66</v>
      </c>
      <c r="E886" s="2" t="s">
        <v>20</v>
      </c>
      <c r="F886" s="2">
        <v>2021</v>
      </c>
      <c r="G886" s="2">
        <v>2024</v>
      </c>
      <c r="H886" s="2">
        <f>'mpi_dataset_summary_2017-2024'!$G886-'mpi_dataset_summary_2017-2024'!$F886+1</f>
        <v>4</v>
      </c>
      <c r="I886" s="2" t="s">
        <v>2111</v>
      </c>
      <c r="J886" s="2" t="s">
        <v>2111</v>
      </c>
      <c r="K886" s="2">
        <f>IF('mpi_dataset_summary_2017-2024'!$G886=2024,1,0)</f>
        <v>1</v>
      </c>
      <c r="L886" s="2">
        <f t="shared" si="26"/>
        <v>0</v>
      </c>
      <c r="M886" s="2">
        <v>17</v>
      </c>
      <c r="N886" s="2">
        <f t="shared" si="27"/>
        <v>8.2000000000000003E-2</v>
      </c>
      <c r="O886" s="2" t="s">
        <v>2114</v>
      </c>
      <c r="P886" s="2" t="s">
        <v>2114</v>
      </c>
      <c r="Q886" s="2" t="s">
        <v>2108</v>
      </c>
      <c r="R886" s="3" t="s">
        <v>24</v>
      </c>
      <c r="S886" s="2" t="s">
        <v>25</v>
      </c>
      <c r="T886" s="2" t="s">
        <v>26</v>
      </c>
    </row>
    <row r="887" spans="1:20" x14ac:dyDescent="0.2">
      <c r="A887" s="2">
        <v>5017</v>
      </c>
      <c r="B887" s="2" t="s">
        <v>1545</v>
      </c>
      <c r="C887" s="2" t="s">
        <v>1548</v>
      </c>
      <c r="D887" s="2" t="s">
        <v>66</v>
      </c>
      <c r="E887" s="2" t="s">
        <v>20</v>
      </c>
      <c r="F887" s="2">
        <v>2021</v>
      </c>
      <c r="G887" s="2">
        <v>2024</v>
      </c>
      <c r="H887" s="2">
        <f>'mpi_dataset_summary_2017-2024'!$G887-'mpi_dataset_summary_2017-2024'!$F887+1</f>
        <v>4</v>
      </c>
      <c r="I887" s="2" t="s">
        <v>2111</v>
      </c>
      <c r="J887" s="2" t="s">
        <v>2111</v>
      </c>
      <c r="K887" s="2">
        <f>IF('mpi_dataset_summary_2017-2024'!$G887=2024,1,0)</f>
        <v>1</v>
      </c>
      <c r="L887" s="2">
        <f t="shared" si="26"/>
        <v>0</v>
      </c>
      <c r="M887" s="2">
        <v>17.2</v>
      </c>
      <c r="N887" s="2">
        <f t="shared" si="27"/>
        <v>8.3000000000000004E-2</v>
      </c>
      <c r="O887" s="2" t="s">
        <v>2114</v>
      </c>
      <c r="P887" s="2" t="s">
        <v>2114</v>
      </c>
      <c r="Q887" s="2" t="s">
        <v>2108</v>
      </c>
      <c r="R887" s="3" t="s">
        <v>24</v>
      </c>
      <c r="S887" s="2" t="s">
        <v>25</v>
      </c>
      <c r="T887" s="2" t="s">
        <v>26</v>
      </c>
    </row>
    <row r="888" spans="1:20" x14ac:dyDescent="0.2">
      <c r="A888" s="2">
        <v>5018</v>
      </c>
      <c r="B888" s="2" t="s">
        <v>1549</v>
      </c>
      <c r="C888" s="2" t="s">
        <v>1550</v>
      </c>
      <c r="D888" s="2" t="s">
        <v>69</v>
      </c>
      <c r="E888" s="2" t="s">
        <v>20</v>
      </c>
      <c r="F888" s="2">
        <v>2021</v>
      </c>
      <c r="G888" s="2">
        <v>2024</v>
      </c>
      <c r="H888" s="2">
        <f>'mpi_dataset_summary_2017-2024'!$G888-'mpi_dataset_summary_2017-2024'!$F888+1</f>
        <v>4</v>
      </c>
      <c r="I888" s="2" t="s">
        <v>2111</v>
      </c>
      <c r="J888" s="2" t="s">
        <v>2111</v>
      </c>
      <c r="K888" s="2">
        <f>IF('mpi_dataset_summary_2017-2024'!$G888=2024,1,0)</f>
        <v>1</v>
      </c>
      <c r="L888" s="2">
        <f t="shared" si="26"/>
        <v>0</v>
      </c>
      <c r="M888" s="2">
        <v>330</v>
      </c>
      <c r="N888" s="2">
        <f t="shared" si="27"/>
        <v>0.59499999999999997</v>
      </c>
      <c r="O888" s="2" t="s">
        <v>2114</v>
      </c>
      <c r="P888" s="2" t="s">
        <v>2114</v>
      </c>
      <c r="Q888" s="2" t="s">
        <v>2108</v>
      </c>
      <c r="R888" s="3" t="s">
        <v>24</v>
      </c>
      <c r="S888" s="2" t="s">
        <v>25</v>
      </c>
      <c r="T888" s="2" t="s">
        <v>26</v>
      </c>
    </row>
    <row r="889" spans="1:20" x14ac:dyDescent="0.2">
      <c r="A889" s="2">
        <v>5019</v>
      </c>
      <c r="B889" s="2" t="s">
        <v>1551</v>
      </c>
      <c r="C889" s="2" t="s">
        <v>1552</v>
      </c>
      <c r="D889" s="2" t="s">
        <v>126</v>
      </c>
      <c r="E889" s="2" t="s">
        <v>20</v>
      </c>
      <c r="F889" s="2">
        <v>2021</v>
      </c>
      <c r="G889" s="2">
        <v>2024</v>
      </c>
      <c r="H889" s="2">
        <f>'mpi_dataset_summary_2017-2024'!$G889-'mpi_dataset_summary_2017-2024'!$F889+1</f>
        <v>4</v>
      </c>
      <c r="I889" s="2" t="s">
        <v>2111</v>
      </c>
      <c r="J889" s="2" t="s">
        <v>2111</v>
      </c>
      <c r="K889" s="2">
        <f>IF('mpi_dataset_summary_2017-2024'!$G889=2024,1,0)</f>
        <v>1</v>
      </c>
      <c r="L889" s="2">
        <f t="shared" si="26"/>
        <v>0</v>
      </c>
      <c r="M889" s="2">
        <v>20</v>
      </c>
      <c r="N889" s="2">
        <f t="shared" si="27"/>
        <v>8.8999999999999996E-2</v>
      </c>
      <c r="O889" s="2">
        <v>60.443129999999996</v>
      </c>
      <c r="P889" s="2">
        <v>-116.34148</v>
      </c>
      <c r="Q889" s="2" t="s">
        <v>2109</v>
      </c>
      <c r="R889" s="3" t="s">
        <v>51</v>
      </c>
      <c r="S889" s="2" t="s">
        <v>22</v>
      </c>
      <c r="T889" s="2" t="s">
        <v>52</v>
      </c>
    </row>
    <row r="890" spans="1:20" x14ac:dyDescent="0.2">
      <c r="A890" s="2">
        <v>5021</v>
      </c>
      <c r="B890" s="2" t="s">
        <v>1553</v>
      </c>
      <c r="C890" s="2" t="s">
        <v>1554</v>
      </c>
      <c r="D890" s="2" t="s">
        <v>66</v>
      </c>
      <c r="E890" s="2" t="s">
        <v>20</v>
      </c>
      <c r="F890" s="2">
        <v>2021</v>
      </c>
      <c r="G890" s="2">
        <v>2022</v>
      </c>
      <c r="H890" s="2">
        <f>'mpi_dataset_summary_2017-2024'!$G890-'mpi_dataset_summary_2017-2024'!$F890+1</f>
        <v>2</v>
      </c>
      <c r="I890" s="2" t="s">
        <v>2111</v>
      </c>
      <c r="J890" s="2" t="s">
        <v>2111</v>
      </c>
      <c r="K890" s="2">
        <f>IF('mpi_dataset_summary_2017-2024'!$G890=2024,1,0)</f>
        <v>0</v>
      </c>
      <c r="L890" s="2">
        <f t="shared" si="26"/>
        <v>0</v>
      </c>
      <c r="M890" s="2">
        <v>20</v>
      </c>
      <c r="N890" s="2">
        <f t="shared" si="27"/>
        <v>8.8999999999999996E-2</v>
      </c>
      <c r="O890" s="2" t="s">
        <v>2114</v>
      </c>
      <c r="P890" s="2" t="s">
        <v>2114</v>
      </c>
      <c r="Q890" s="2" t="s">
        <v>2108</v>
      </c>
      <c r="R890" s="3" t="s">
        <v>24</v>
      </c>
      <c r="S890" s="2" t="s">
        <v>25</v>
      </c>
      <c r="T890" s="2" t="s">
        <v>26</v>
      </c>
    </row>
    <row r="891" spans="1:20" x14ac:dyDescent="0.2">
      <c r="A891" s="2">
        <v>5022</v>
      </c>
      <c r="B891" s="2" t="s">
        <v>1553</v>
      </c>
      <c r="C891" s="2" t="s">
        <v>1555</v>
      </c>
      <c r="D891" s="2" t="s">
        <v>66</v>
      </c>
      <c r="E891" s="2" t="s">
        <v>20</v>
      </c>
      <c r="F891" s="2">
        <v>2021</v>
      </c>
      <c r="G891" s="2">
        <v>2022</v>
      </c>
      <c r="H891" s="2">
        <f>'mpi_dataset_summary_2017-2024'!$G891-'mpi_dataset_summary_2017-2024'!$F891+1</f>
        <v>2</v>
      </c>
      <c r="I891" s="2" t="s">
        <v>2111</v>
      </c>
      <c r="J891" s="2" t="s">
        <v>2111</v>
      </c>
      <c r="K891" s="2">
        <f>IF('mpi_dataset_summary_2017-2024'!$G891=2024,1,0)</f>
        <v>0</v>
      </c>
      <c r="L891" s="2">
        <f t="shared" si="26"/>
        <v>0</v>
      </c>
      <c r="M891" s="2">
        <v>20</v>
      </c>
      <c r="N891" s="2">
        <f t="shared" si="27"/>
        <v>8.8999999999999996E-2</v>
      </c>
      <c r="O891" s="2" t="s">
        <v>2114</v>
      </c>
      <c r="P891" s="2" t="s">
        <v>2114</v>
      </c>
      <c r="Q891" s="2" t="s">
        <v>2108</v>
      </c>
      <c r="R891" s="3" t="s">
        <v>24</v>
      </c>
      <c r="S891" s="2" t="s">
        <v>25</v>
      </c>
      <c r="T891" s="2" t="s">
        <v>26</v>
      </c>
    </row>
    <row r="892" spans="1:20" x14ac:dyDescent="0.2">
      <c r="A892" s="2">
        <v>5024</v>
      </c>
      <c r="B892" s="2" t="s">
        <v>1487</v>
      </c>
      <c r="C892" s="2" t="s">
        <v>1556</v>
      </c>
      <c r="D892" s="2" t="s">
        <v>66</v>
      </c>
      <c r="E892" s="2" t="s">
        <v>20</v>
      </c>
      <c r="F892" s="2">
        <v>2021</v>
      </c>
      <c r="G892" s="2">
        <v>2021</v>
      </c>
      <c r="H892" s="2">
        <f>'mpi_dataset_summary_2017-2024'!$G892-'mpi_dataset_summary_2017-2024'!$F892+1</f>
        <v>1</v>
      </c>
      <c r="I892" s="2" t="s">
        <v>2110</v>
      </c>
      <c r="J892" s="2" t="s">
        <v>2110</v>
      </c>
      <c r="K892" s="2">
        <f>IF('mpi_dataset_summary_2017-2024'!$G892=2024,1,0)</f>
        <v>0</v>
      </c>
      <c r="L892" s="2">
        <f t="shared" si="26"/>
        <v>1</v>
      </c>
      <c r="M892" s="2">
        <v>30</v>
      </c>
      <c r="N892" s="2">
        <f t="shared" si="27"/>
        <v>0.14599999999999999</v>
      </c>
      <c r="O892" s="2" t="s">
        <v>2114</v>
      </c>
      <c r="P892" s="2" t="s">
        <v>2114</v>
      </c>
      <c r="Q892" s="2" t="s">
        <v>2108</v>
      </c>
      <c r="R892" s="3" t="s">
        <v>24</v>
      </c>
      <c r="S892" s="2" t="s">
        <v>25</v>
      </c>
      <c r="T892" s="2" t="s">
        <v>26</v>
      </c>
    </row>
    <row r="893" spans="1:20" x14ac:dyDescent="0.2">
      <c r="A893" s="2">
        <v>5025</v>
      </c>
      <c r="B893" s="2" t="s">
        <v>745</v>
      </c>
      <c r="C893" s="2" t="s">
        <v>1557</v>
      </c>
      <c r="D893" s="2" t="s">
        <v>69</v>
      </c>
      <c r="E893" s="2" t="s">
        <v>20</v>
      </c>
      <c r="F893" s="2">
        <v>2021</v>
      </c>
      <c r="G893" s="2">
        <v>2024</v>
      </c>
      <c r="H893" s="2">
        <f>'mpi_dataset_summary_2017-2024'!$G893-'mpi_dataset_summary_2017-2024'!$F893+1</f>
        <v>4</v>
      </c>
      <c r="I893" s="2" t="s">
        <v>2111</v>
      </c>
      <c r="J893" s="2" t="s">
        <v>2111</v>
      </c>
      <c r="K893" s="2">
        <f>IF('mpi_dataset_summary_2017-2024'!$G893=2024,1,0)</f>
        <v>1</v>
      </c>
      <c r="L893" s="2">
        <f t="shared" si="26"/>
        <v>0</v>
      </c>
      <c r="M893" s="2">
        <v>35</v>
      </c>
      <c r="N893" s="2">
        <f t="shared" si="27"/>
        <v>0.158</v>
      </c>
      <c r="O893" s="2">
        <v>49.335625</v>
      </c>
      <c r="P893" s="2">
        <v>-117.737002</v>
      </c>
      <c r="Q893" s="2" t="s">
        <v>2109</v>
      </c>
      <c r="R893" s="3" t="s">
        <v>58</v>
      </c>
      <c r="S893" s="2" t="s">
        <v>22</v>
      </c>
      <c r="T893" s="2" t="s">
        <v>59</v>
      </c>
    </row>
    <row r="894" spans="1:20" x14ac:dyDescent="0.2">
      <c r="A894" s="2">
        <v>5026</v>
      </c>
      <c r="B894" s="2" t="s">
        <v>1558</v>
      </c>
      <c r="C894" s="2" t="s">
        <v>1559</v>
      </c>
      <c r="D894" s="2" t="s">
        <v>66</v>
      </c>
      <c r="E894" s="2" t="s">
        <v>20</v>
      </c>
      <c r="F894" s="2">
        <v>2021</v>
      </c>
      <c r="G894" s="2">
        <v>2021</v>
      </c>
      <c r="H894" s="2">
        <f>'mpi_dataset_summary_2017-2024'!$G894-'mpi_dataset_summary_2017-2024'!$F894+1</f>
        <v>1</v>
      </c>
      <c r="I894" s="2" t="s">
        <v>2110</v>
      </c>
      <c r="J894" s="2" t="s">
        <v>2110</v>
      </c>
      <c r="K894" s="2">
        <f>IF('mpi_dataset_summary_2017-2024'!$G894=2024,1,0)</f>
        <v>0</v>
      </c>
      <c r="L894" s="2">
        <f t="shared" si="26"/>
        <v>1</v>
      </c>
      <c r="M894" s="2">
        <v>37</v>
      </c>
      <c r="N894" s="2">
        <f t="shared" si="27"/>
        <v>0.17199999999999999</v>
      </c>
      <c r="O894" s="2" t="s">
        <v>2114</v>
      </c>
      <c r="P894" s="2" t="s">
        <v>2114</v>
      </c>
      <c r="Q894" s="2" t="s">
        <v>2108</v>
      </c>
      <c r="R894" s="3" t="s">
        <v>44</v>
      </c>
      <c r="S894" s="2" t="s">
        <v>25</v>
      </c>
      <c r="T894" s="2" t="s">
        <v>45</v>
      </c>
    </row>
    <row r="895" spans="1:20" x14ac:dyDescent="0.2">
      <c r="A895" s="2">
        <v>5027</v>
      </c>
      <c r="B895" s="2" t="s">
        <v>1560</v>
      </c>
      <c r="C895" s="2" t="s">
        <v>1561</v>
      </c>
      <c r="D895" s="2" t="s">
        <v>69</v>
      </c>
      <c r="E895" s="2" t="s">
        <v>20</v>
      </c>
      <c r="F895" s="2">
        <v>2021</v>
      </c>
      <c r="G895" s="2">
        <v>2024</v>
      </c>
      <c r="H895" s="2">
        <f>'mpi_dataset_summary_2017-2024'!$G895-'mpi_dataset_summary_2017-2024'!$F895+1</f>
        <v>4</v>
      </c>
      <c r="I895" s="2" t="s">
        <v>2113</v>
      </c>
      <c r="J895" s="2" t="s">
        <v>2113</v>
      </c>
      <c r="K895" s="2">
        <f>IF('mpi_dataset_summary_2017-2024'!$G895=2024,1,0)</f>
        <v>1</v>
      </c>
      <c r="L895" s="2">
        <f t="shared" si="26"/>
        <v>0</v>
      </c>
      <c r="M895" s="2">
        <v>588</v>
      </c>
      <c r="N895" s="2">
        <f t="shared" si="27"/>
        <v>0.71199999999999997</v>
      </c>
      <c r="O895" s="2">
        <v>53.08972</v>
      </c>
      <c r="P895" s="2">
        <v>-121.56139</v>
      </c>
      <c r="Q895" s="2" t="s">
        <v>2107</v>
      </c>
      <c r="R895" s="3" t="s">
        <v>29</v>
      </c>
      <c r="S895" s="2" t="s">
        <v>22</v>
      </c>
      <c r="T895" s="2" t="s">
        <v>30</v>
      </c>
    </row>
    <row r="896" spans="1:20" x14ac:dyDescent="0.2">
      <c r="A896" s="2">
        <v>5028</v>
      </c>
      <c r="B896" s="2" t="s">
        <v>1203</v>
      </c>
      <c r="C896" s="2" t="s">
        <v>1562</v>
      </c>
      <c r="D896" s="2" t="s">
        <v>185</v>
      </c>
      <c r="E896" s="2" t="s">
        <v>20</v>
      </c>
      <c r="F896" s="2">
        <v>2021</v>
      </c>
      <c r="G896" s="2">
        <v>2024</v>
      </c>
      <c r="H896" s="2">
        <f>'mpi_dataset_summary_2017-2024'!$G896-'mpi_dataset_summary_2017-2024'!$F896+1</f>
        <v>4</v>
      </c>
      <c r="I896" s="2" t="s">
        <v>2112</v>
      </c>
      <c r="J896" s="2" t="s">
        <v>2112</v>
      </c>
      <c r="K896" s="2">
        <f>IF('mpi_dataset_summary_2017-2024'!$G896=2024,1,0)</f>
        <v>1</v>
      </c>
      <c r="L896" s="2">
        <f t="shared" si="26"/>
        <v>0</v>
      </c>
      <c r="M896" s="2">
        <v>182</v>
      </c>
      <c r="N896" s="2">
        <f t="shared" si="27"/>
        <v>0.47799999999999998</v>
      </c>
      <c r="O896" s="2">
        <v>45.140214</v>
      </c>
      <c r="P896" s="2">
        <v>-62.526080999999998</v>
      </c>
      <c r="Q896" s="2" t="s">
        <v>2107</v>
      </c>
      <c r="R896" s="3" t="s">
        <v>29</v>
      </c>
      <c r="S896" s="2" t="s">
        <v>22</v>
      </c>
      <c r="T896" s="2" t="s">
        <v>30</v>
      </c>
    </row>
    <row r="897" spans="1:20" x14ac:dyDescent="0.2">
      <c r="A897" s="2">
        <v>5029</v>
      </c>
      <c r="B897" s="2" t="s">
        <v>1086</v>
      </c>
      <c r="C897" s="2" t="s">
        <v>1563</v>
      </c>
      <c r="D897" s="2" t="s">
        <v>89</v>
      </c>
      <c r="E897" s="2" t="s">
        <v>20</v>
      </c>
      <c r="F897" s="2">
        <v>2021</v>
      </c>
      <c r="G897" s="2">
        <v>2024</v>
      </c>
      <c r="H897" s="2">
        <f>'mpi_dataset_summary_2017-2024'!$G897-'mpi_dataset_summary_2017-2024'!$F897+1</f>
        <v>4</v>
      </c>
      <c r="I897" s="2" t="s">
        <v>2111</v>
      </c>
      <c r="J897" s="2" t="s">
        <v>2110</v>
      </c>
      <c r="K897" s="2">
        <f>IF('mpi_dataset_summary_2017-2024'!$G897=2024,1,0)</f>
        <v>1</v>
      </c>
      <c r="L897" s="2">
        <f t="shared" si="26"/>
        <v>1</v>
      </c>
      <c r="M897" s="2">
        <v>397</v>
      </c>
      <c r="N897" s="2">
        <f t="shared" si="27"/>
        <v>0.63400000000000001</v>
      </c>
      <c r="O897" s="2">
        <v>45.483207999999998</v>
      </c>
      <c r="P897" s="2">
        <v>-71.950843000000006</v>
      </c>
      <c r="Q897" s="2" t="s">
        <v>2109</v>
      </c>
      <c r="R897" s="3" t="s">
        <v>58</v>
      </c>
      <c r="S897" s="2" t="s">
        <v>22</v>
      </c>
      <c r="T897" s="2" t="s">
        <v>59</v>
      </c>
    </row>
    <row r="898" spans="1:20" x14ac:dyDescent="0.2">
      <c r="A898" s="2">
        <v>5033</v>
      </c>
      <c r="B898" s="2" t="s">
        <v>1228</v>
      </c>
      <c r="C898" s="2" t="s">
        <v>1564</v>
      </c>
      <c r="D898" s="2" t="s">
        <v>66</v>
      </c>
      <c r="E898" s="2" t="s">
        <v>20</v>
      </c>
      <c r="F898" s="2">
        <v>2021</v>
      </c>
      <c r="G898" s="2">
        <v>2022</v>
      </c>
      <c r="H898" s="2">
        <f>'mpi_dataset_summary_2017-2024'!$G898-'mpi_dataset_summary_2017-2024'!$F898+1</f>
        <v>2</v>
      </c>
      <c r="I898" s="2" t="s">
        <v>2111</v>
      </c>
      <c r="J898" s="2" t="s">
        <v>2110</v>
      </c>
      <c r="K898" s="2">
        <f>IF('mpi_dataset_summary_2017-2024'!$G898=2024,1,0)</f>
        <v>0</v>
      </c>
      <c r="L898" s="2">
        <f t="shared" ref="L898:L961" si="28">IF(J898="Under Construction",1,0)</f>
        <v>1</v>
      </c>
      <c r="M898" s="2">
        <v>100</v>
      </c>
      <c r="N898" s="2">
        <f t="shared" ref="N898:N961" si="29">_xlfn.PERCENTRANK.INC($M$2:$M$4056,M898)</f>
        <v>0.34300000000000003</v>
      </c>
      <c r="O898" s="2" t="s">
        <v>2114</v>
      </c>
      <c r="P898" s="2" t="s">
        <v>2114</v>
      </c>
      <c r="Q898" s="2" t="s">
        <v>2108</v>
      </c>
      <c r="R898" s="3" t="s">
        <v>24</v>
      </c>
      <c r="S898" s="2" t="s">
        <v>25</v>
      </c>
      <c r="T898" s="2" t="s">
        <v>26</v>
      </c>
    </row>
    <row r="899" spans="1:20" x14ac:dyDescent="0.2">
      <c r="A899" s="2">
        <v>5034</v>
      </c>
      <c r="B899" s="2" t="s">
        <v>1209</v>
      </c>
      <c r="C899" s="2" t="s">
        <v>1565</v>
      </c>
      <c r="D899" s="2" t="s">
        <v>66</v>
      </c>
      <c r="E899" s="2" t="s">
        <v>20</v>
      </c>
      <c r="F899" s="2">
        <v>2021</v>
      </c>
      <c r="G899" s="2">
        <v>2024</v>
      </c>
      <c r="H899" s="2">
        <f>'mpi_dataset_summary_2017-2024'!$G899-'mpi_dataset_summary_2017-2024'!$F899+1</f>
        <v>4</v>
      </c>
      <c r="I899" s="2" t="s">
        <v>2111</v>
      </c>
      <c r="J899" s="2" t="s">
        <v>2113</v>
      </c>
      <c r="K899" s="2">
        <f>IF('mpi_dataset_summary_2017-2024'!$G899=2024,1,0)</f>
        <v>1</v>
      </c>
      <c r="L899" s="2">
        <f t="shared" si="28"/>
        <v>0</v>
      </c>
      <c r="M899" s="2">
        <v>170</v>
      </c>
      <c r="N899" s="2">
        <f t="shared" si="29"/>
        <v>0.46500000000000002</v>
      </c>
      <c r="O899" s="2" t="s">
        <v>2114</v>
      </c>
      <c r="P899" s="2" t="s">
        <v>2114</v>
      </c>
      <c r="Q899" s="2" t="s">
        <v>2108</v>
      </c>
      <c r="R899" s="3" t="s">
        <v>24</v>
      </c>
      <c r="S899" s="2" t="s">
        <v>25</v>
      </c>
      <c r="T899" s="2" t="s">
        <v>26</v>
      </c>
    </row>
    <row r="900" spans="1:20" x14ac:dyDescent="0.2">
      <c r="A900" s="2">
        <v>5035</v>
      </c>
      <c r="B900" s="2" t="s">
        <v>1545</v>
      </c>
      <c r="C900" s="2" t="s">
        <v>1566</v>
      </c>
      <c r="D900" s="2" t="s">
        <v>66</v>
      </c>
      <c r="E900" s="2" t="s">
        <v>20</v>
      </c>
      <c r="F900" s="2">
        <v>2021</v>
      </c>
      <c r="G900" s="2">
        <v>2023</v>
      </c>
      <c r="H900" s="2">
        <f>'mpi_dataset_summary_2017-2024'!$G900-'mpi_dataset_summary_2017-2024'!$F900+1</f>
        <v>3</v>
      </c>
      <c r="I900" s="2" t="s">
        <v>2111</v>
      </c>
      <c r="J900" s="2" t="s">
        <v>2110</v>
      </c>
      <c r="K900" s="2">
        <f>IF('mpi_dataset_summary_2017-2024'!$G900=2024,1,0)</f>
        <v>0</v>
      </c>
      <c r="L900" s="2">
        <f t="shared" si="28"/>
        <v>1</v>
      </c>
      <c r="M900" s="2">
        <v>65.3</v>
      </c>
      <c r="N900" s="2">
        <f t="shared" si="29"/>
        <v>0.26900000000000002</v>
      </c>
      <c r="O900" s="2" t="s">
        <v>2114</v>
      </c>
      <c r="P900" s="2" t="s">
        <v>2114</v>
      </c>
      <c r="Q900" s="2" t="s">
        <v>2108</v>
      </c>
      <c r="R900" s="3" t="s">
        <v>24</v>
      </c>
      <c r="S900" s="2" t="s">
        <v>25</v>
      </c>
      <c r="T900" s="2" t="s">
        <v>26</v>
      </c>
    </row>
    <row r="901" spans="1:20" x14ac:dyDescent="0.2">
      <c r="A901" s="2">
        <v>5036</v>
      </c>
      <c r="B901" s="2" t="s">
        <v>1463</v>
      </c>
      <c r="C901" s="2" t="s">
        <v>1567</v>
      </c>
      <c r="D901" s="2" t="s">
        <v>66</v>
      </c>
      <c r="E901" s="2" t="s">
        <v>20</v>
      </c>
      <c r="F901" s="2">
        <v>2021</v>
      </c>
      <c r="G901" s="2">
        <v>2024</v>
      </c>
      <c r="H901" s="2">
        <f>'mpi_dataset_summary_2017-2024'!$G901-'mpi_dataset_summary_2017-2024'!$F901+1</f>
        <v>4</v>
      </c>
      <c r="I901" s="2" t="s">
        <v>2111</v>
      </c>
      <c r="J901" s="2" t="s">
        <v>2110</v>
      </c>
      <c r="K901" s="2">
        <f>IF('mpi_dataset_summary_2017-2024'!$G901=2024,1,0)</f>
        <v>1</v>
      </c>
      <c r="L901" s="2">
        <f t="shared" si="28"/>
        <v>1</v>
      </c>
      <c r="M901" s="2">
        <v>150</v>
      </c>
      <c r="N901" s="2">
        <f t="shared" si="29"/>
        <v>0.442</v>
      </c>
      <c r="O901" s="2" t="s">
        <v>2114</v>
      </c>
      <c r="P901" s="2" t="s">
        <v>2114</v>
      </c>
      <c r="Q901" s="2" t="s">
        <v>2108</v>
      </c>
      <c r="R901" s="3" t="s">
        <v>49</v>
      </c>
      <c r="S901" s="2" t="s">
        <v>25</v>
      </c>
      <c r="T901" s="2" t="s">
        <v>50</v>
      </c>
    </row>
    <row r="902" spans="1:20" x14ac:dyDescent="0.2">
      <c r="A902" s="2">
        <v>5037</v>
      </c>
      <c r="B902" s="2" t="s">
        <v>1568</v>
      </c>
      <c r="C902" s="2" t="s">
        <v>1569</v>
      </c>
      <c r="D902" s="2" t="s">
        <v>66</v>
      </c>
      <c r="E902" s="2" t="s">
        <v>20</v>
      </c>
      <c r="F902" s="2">
        <v>2021</v>
      </c>
      <c r="G902" s="2">
        <v>2022</v>
      </c>
      <c r="H902" s="2">
        <f>'mpi_dataset_summary_2017-2024'!$G902-'mpi_dataset_summary_2017-2024'!$F902+1</f>
        <v>2</v>
      </c>
      <c r="I902" s="2" t="s">
        <v>2111</v>
      </c>
      <c r="J902" s="2" t="s">
        <v>2110</v>
      </c>
      <c r="K902" s="2">
        <f>IF('mpi_dataset_summary_2017-2024'!$G902=2024,1,0)</f>
        <v>0</v>
      </c>
      <c r="L902" s="2">
        <f t="shared" si="28"/>
        <v>1</v>
      </c>
      <c r="M902" s="2">
        <v>195</v>
      </c>
      <c r="N902" s="2">
        <f t="shared" si="29"/>
        <v>0.48699999999999999</v>
      </c>
      <c r="O902" s="2" t="s">
        <v>2114</v>
      </c>
      <c r="P902" s="2" t="s">
        <v>2114</v>
      </c>
      <c r="Q902" s="2" t="s">
        <v>2108</v>
      </c>
      <c r="R902" s="3" t="s">
        <v>24</v>
      </c>
      <c r="S902" s="2" t="s">
        <v>25</v>
      </c>
      <c r="T902" s="2" t="s">
        <v>26</v>
      </c>
    </row>
    <row r="903" spans="1:20" x14ac:dyDescent="0.2">
      <c r="A903" s="2">
        <v>5038</v>
      </c>
      <c r="B903" s="2" t="s">
        <v>1568</v>
      </c>
      <c r="C903" s="2" t="s">
        <v>1570</v>
      </c>
      <c r="D903" s="2" t="s">
        <v>66</v>
      </c>
      <c r="E903" s="2" t="s">
        <v>20</v>
      </c>
      <c r="F903" s="2">
        <v>2021</v>
      </c>
      <c r="G903" s="2">
        <v>2024</v>
      </c>
      <c r="H903" s="2">
        <f>'mpi_dataset_summary_2017-2024'!$G903-'mpi_dataset_summary_2017-2024'!$F903+1</f>
        <v>4</v>
      </c>
      <c r="I903" s="2" t="s">
        <v>2111</v>
      </c>
      <c r="J903" s="2" t="s">
        <v>2112</v>
      </c>
      <c r="K903" s="2">
        <f>IF('mpi_dataset_summary_2017-2024'!$G903=2024,1,0)</f>
        <v>1</v>
      </c>
      <c r="L903" s="2">
        <f t="shared" si="28"/>
        <v>0</v>
      </c>
      <c r="M903" s="2">
        <v>105</v>
      </c>
      <c r="N903" s="2">
        <f t="shared" si="29"/>
        <v>0.36299999999999999</v>
      </c>
      <c r="O903" s="2" t="s">
        <v>2114</v>
      </c>
      <c r="P903" s="2" t="s">
        <v>2114</v>
      </c>
      <c r="Q903" s="2" t="s">
        <v>2108</v>
      </c>
      <c r="R903" s="3" t="s">
        <v>24</v>
      </c>
      <c r="S903" s="2" t="s">
        <v>25</v>
      </c>
      <c r="T903" s="2" t="s">
        <v>26</v>
      </c>
    </row>
    <row r="904" spans="1:20" x14ac:dyDescent="0.2">
      <c r="A904" s="2">
        <v>5039</v>
      </c>
      <c r="B904" s="2" t="s">
        <v>1571</v>
      </c>
      <c r="C904" s="2" t="s">
        <v>1572</v>
      </c>
      <c r="D904" s="2" t="s">
        <v>66</v>
      </c>
      <c r="E904" s="2" t="s">
        <v>20</v>
      </c>
      <c r="F904" s="2">
        <v>2021</v>
      </c>
      <c r="G904" s="2">
        <v>2022</v>
      </c>
      <c r="H904" s="2">
        <f>'mpi_dataset_summary_2017-2024'!$G904-'mpi_dataset_summary_2017-2024'!$F904+1</f>
        <v>2</v>
      </c>
      <c r="I904" s="2" t="s">
        <v>2112</v>
      </c>
      <c r="J904" s="2" t="s">
        <v>2112</v>
      </c>
      <c r="K904" s="2">
        <f>IF('mpi_dataset_summary_2017-2024'!$G904=2024,1,0)</f>
        <v>0</v>
      </c>
      <c r="L904" s="2">
        <f t="shared" si="28"/>
        <v>0</v>
      </c>
      <c r="M904" s="2">
        <v>223.9</v>
      </c>
      <c r="N904" s="2">
        <f t="shared" si="29"/>
        <v>0.52200000000000002</v>
      </c>
      <c r="O904" s="2">
        <v>49.84</v>
      </c>
      <c r="P904" s="2">
        <v>-114.52500000000001</v>
      </c>
      <c r="Q904" s="2" t="s">
        <v>2107</v>
      </c>
      <c r="R904" s="3" t="s">
        <v>41</v>
      </c>
      <c r="S904" s="2" t="s">
        <v>22</v>
      </c>
      <c r="T904" s="2" t="s">
        <v>42</v>
      </c>
    </row>
    <row r="905" spans="1:20" x14ac:dyDescent="0.2">
      <c r="A905" s="2">
        <v>5040</v>
      </c>
      <c r="B905" s="2" t="s">
        <v>1573</v>
      </c>
      <c r="C905" s="2" t="s">
        <v>1574</v>
      </c>
      <c r="D905" s="2" t="s">
        <v>66</v>
      </c>
      <c r="E905" s="2" t="s">
        <v>20</v>
      </c>
      <c r="F905" s="2">
        <v>2021</v>
      </c>
      <c r="G905" s="2">
        <v>2024</v>
      </c>
      <c r="H905" s="2">
        <f>'mpi_dataset_summary_2017-2024'!$G905-'mpi_dataset_summary_2017-2024'!$F905+1</f>
        <v>4</v>
      </c>
      <c r="I905" s="2" t="s">
        <v>2112</v>
      </c>
      <c r="J905" s="2" t="s">
        <v>2112</v>
      </c>
      <c r="K905" s="2">
        <f>IF('mpi_dataset_summary_2017-2024'!$G905=2024,1,0)</f>
        <v>1</v>
      </c>
      <c r="L905" s="2">
        <f t="shared" si="28"/>
        <v>0</v>
      </c>
      <c r="M905" s="2">
        <v>220</v>
      </c>
      <c r="N905" s="2">
        <f t="shared" si="29"/>
        <v>0.51900000000000002</v>
      </c>
      <c r="O905" s="2" t="s">
        <v>2114</v>
      </c>
      <c r="P905" s="2" t="s">
        <v>2114</v>
      </c>
      <c r="Q905" s="2" t="s">
        <v>2108</v>
      </c>
      <c r="R905" s="3" t="s">
        <v>24</v>
      </c>
      <c r="S905" s="2" t="s">
        <v>25</v>
      </c>
      <c r="T905" s="2" t="s">
        <v>26</v>
      </c>
    </row>
    <row r="906" spans="1:20" x14ac:dyDescent="0.2">
      <c r="A906" s="2">
        <v>5041</v>
      </c>
      <c r="B906" s="2" t="s">
        <v>92</v>
      </c>
      <c r="C906" s="2" t="s">
        <v>1575</v>
      </c>
      <c r="D906" s="2" t="s">
        <v>66</v>
      </c>
      <c r="E906" s="2" t="s">
        <v>20</v>
      </c>
      <c r="F906" s="2">
        <v>2021</v>
      </c>
      <c r="G906" s="2">
        <v>2024</v>
      </c>
      <c r="H906" s="2">
        <f>'mpi_dataset_summary_2017-2024'!$G906-'mpi_dataset_summary_2017-2024'!$F906+1</f>
        <v>4</v>
      </c>
      <c r="I906" s="2" t="s">
        <v>2111</v>
      </c>
      <c r="J906" s="2" t="s">
        <v>2111</v>
      </c>
      <c r="K906" s="2">
        <f>IF('mpi_dataset_summary_2017-2024'!$G906=2024,1,0)</f>
        <v>1</v>
      </c>
      <c r="L906" s="2">
        <f t="shared" si="28"/>
        <v>0</v>
      </c>
      <c r="M906" s="2">
        <v>241</v>
      </c>
      <c r="N906" s="2">
        <f t="shared" si="29"/>
        <v>0.53300000000000003</v>
      </c>
      <c r="O906" s="2" t="s">
        <v>2114</v>
      </c>
      <c r="P906" s="2" t="s">
        <v>2114</v>
      </c>
      <c r="Q906" s="2" t="s">
        <v>2108</v>
      </c>
      <c r="R906" s="3" t="s">
        <v>35</v>
      </c>
      <c r="S906" s="2" t="s">
        <v>22</v>
      </c>
      <c r="T906" s="2" t="s">
        <v>36</v>
      </c>
    </row>
    <row r="907" spans="1:20" x14ac:dyDescent="0.2">
      <c r="A907" s="2">
        <v>5043</v>
      </c>
      <c r="B907" s="2" t="s">
        <v>1576</v>
      </c>
      <c r="C907" s="2" t="s">
        <v>1577</v>
      </c>
      <c r="D907" s="2" t="s">
        <v>66</v>
      </c>
      <c r="E907" s="2" t="s">
        <v>20</v>
      </c>
      <c r="F907" s="2">
        <v>2021</v>
      </c>
      <c r="G907" s="2">
        <v>2022</v>
      </c>
      <c r="H907" s="2">
        <f>'mpi_dataset_summary_2017-2024'!$G907-'mpi_dataset_summary_2017-2024'!$F907+1</f>
        <v>2</v>
      </c>
      <c r="I907" s="2" t="s">
        <v>2111</v>
      </c>
      <c r="J907" s="2" t="s">
        <v>2110</v>
      </c>
      <c r="K907" s="2">
        <f>IF('mpi_dataset_summary_2017-2024'!$G907=2024,1,0)</f>
        <v>0</v>
      </c>
      <c r="L907" s="2">
        <f t="shared" si="28"/>
        <v>1</v>
      </c>
      <c r="M907" s="2">
        <v>200</v>
      </c>
      <c r="N907" s="2">
        <f t="shared" si="29"/>
        <v>0.49099999999999999</v>
      </c>
      <c r="O907" s="2" t="s">
        <v>2114</v>
      </c>
      <c r="P907" s="2" t="s">
        <v>2114</v>
      </c>
      <c r="Q907" s="2" t="s">
        <v>2108</v>
      </c>
      <c r="R907" s="3" t="s">
        <v>24</v>
      </c>
      <c r="S907" s="2" t="s">
        <v>25</v>
      </c>
      <c r="T907" s="2" t="s">
        <v>26</v>
      </c>
    </row>
    <row r="908" spans="1:20" x14ac:dyDescent="0.2">
      <c r="A908" s="2">
        <v>5044</v>
      </c>
      <c r="B908" s="2" t="s">
        <v>1578</v>
      </c>
      <c r="C908" s="2" t="s">
        <v>1579</v>
      </c>
      <c r="D908" s="2" t="s">
        <v>66</v>
      </c>
      <c r="E908" s="2" t="s">
        <v>20</v>
      </c>
      <c r="F908" s="2">
        <v>2021</v>
      </c>
      <c r="G908" s="2">
        <v>2022</v>
      </c>
      <c r="H908" s="2">
        <f>'mpi_dataset_summary_2017-2024'!$G908-'mpi_dataset_summary_2017-2024'!$F908+1</f>
        <v>2</v>
      </c>
      <c r="I908" s="2" t="s">
        <v>2111</v>
      </c>
      <c r="J908" s="2" t="s">
        <v>2111</v>
      </c>
      <c r="K908" s="2">
        <f>IF('mpi_dataset_summary_2017-2024'!$G908=2024,1,0)</f>
        <v>0</v>
      </c>
      <c r="L908" s="2">
        <f t="shared" si="28"/>
        <v>0</v>
      </c>
      <c r="M908" s="2">
        <v>250</v>
      </c>
      <c r="N908" s="2">
        <f t="shared" si="29"/>
        <v>0.53500000000000003</v>
      </c>
      <c r="O908" s="2" t="s">
        <v>2114</v>
      </c>
      <c r="P908" s="2" t="s">
        <v>2114</v>
      </c>
      <c r="Q908" s="2" t="s">
        <v>2108</v>
      </c>
      <c r="R908" s="3" t="s">
        <v>24</v>
      </c>
      <c r="S908" s="2" t="s">
        <v>25</v>
      </c>
      <c r="T908" s="2" t="s">
        <v>26</v>
      </c>
    </row>
    <row r="909" spans="1:20" x14ac:dyDescent="0.2">
      <c r="A909" s="2">
        <v>5045</v>
      </c>
      <c r="B909" s="2" t="s">
        <v>1580</v>
      </c>
      <c r="C909" s="2" t="s">
        <v>1581</v>
      </c>
      <c r="D909" s="2" t="s">
        <v>66</v>
      </c>
      <c r="E909" s="2" t="s">
        <v>20</v>
      </c>
      <c r="F909" s="2">
        <v>2021</v>
      </c>
      <c r="G909" s="2">
        <v>2023</v>
      </c>
      <c r="H909" s="2">
        <f>'mpi_dataset_summary_2017-2024'!$G909-'mpi_dataset_summary_2017-2024'!$F909+1</f>
        <v>3</v>
      </c>
      <c r="I909" s="2" t="s">
        <v>2111</v>
      </c>
      <c r="J909" s="2" t="s">
        <v>2113</v>
      </c>
      <c r="K909" s="2">
        <f>IF('mpi_dataset_summary_2017-2024'!$G909=2024,1,0)</f>
        <v>0</v>
      </c>
      <c r="L909" s="2">
        <f t="shared" si="28"/>
        <v>0</v>
      </c>
      <c r="M909" s="2">
        <v>475</v>
      </c>
      <c r="N909" s="2">
        <f t="shared" si="29"/>
        <v>0.66900000000000004</v>
      </c>
      <c r="O909" s="2" t="s">
        <v>2114</v>
      </c>
      <c r="P909" s="2" t="s">
        <v>2114</v>
      </c>
      <c r="Q909" s="2" t="s">
        <v>2108</v>
      </c>
      <c r="R909" s="3" t="s">
        <v>44</v>
      </c>
      <c r="S909" s="2" t="s">
        <v>25</v>
      </c>
      <c r="T909" s="2" t="s">
        <v>45</v>
      </c>
    </row>
    <row r="910" spans="1:20" x14ac:dyDescent="0.2">
      <c r="A910" s="2">
        <v>5047</v>
      </c>
      <c r="B910" s="2" t="s">
        <v>1582</v>
      </c>
      <c r="C910" s="2" t="s">
        <v>1583</v>
      </c>
      <c r="D910" s="2" t="s">
        <v>66</v>
      </c>
      <c r="E910" s="2" t="s">
        <v>20</v>
      </c>
      <c r="F910" s="2">
        <v>2021</v>
      </c>
      <c r="G910" s="2">
        <v>2024</v>
      </c>
      <c r="H910" s="2">
        <f>'mpi_dataset_summary_2017-2024'!$G910-'mpi_dataset_summary_2017-2024'!$F910+1</f>
        <v>4</v>
      </c>
      <c r="I910" s="2" t="s">
        <v>2111</v>
      </c>
      <c r="J910" s="2" t="s">
        <v>2110</v>
      </c>
      <c r="K910" s="2">
        <f>IF('mpi_dataset_summary_2017-2024'!$G910=2024,1,0)</f>
        <v>1</v>
      </c>
      <c r="L910" s="2">
        <f t="shared" si="28"/>
        <v>1</v>
      </c>
      <c r="M910" s="2">
        <v>1600</v>
      </c>
      <c r="N910" s="2">
        <f t="shared" si="29"/>
        <v>0.873</v>
      </c>
      <c r="O910" s="2" t="s">
        <v>2114</v>
      </c>
      <c r="P910" s="2" t="s">
        <v>2114</v>
      </c>
      <c r="Q910" s="2" t="s">
        <v>2108</v>
      </c>
      <c r="R910" s="3" t="s">
        <v>24</v>
      </c>
      <c r="S910" s="2" t="s">
        <v>25</v>
      </c>
      <c r="T910" s="2" t="s">
        <v>26</v>
      </c>
    </row>
    <row r="911" spans="1:20" x14ac:dyDescent="0.2">
      <c r="A911" s="2">
        <v>5048</v>
      </c>
      <c r="B911" s="2" t="s">
        <v>1584</v>
      </c>
      <c r="C911" s="2" t="s">
        <v>1585</v>
      </c>
      <c r="D911" s="2" t="s">
        <v>66</v>
      </c>
      <c r="E911" s="2" t="s">
        <v>20</v>
      </c>
      <c r="F911" s="2">
        <v>2021</v>
      </c>
      <c r="G911" s="2">
        <v>2024</v>
      </c>
      <c r="H911" s="2">
        <f>'mpi_dataset_summary_2017-2024'!$G911-'mpi_dataset_summary_2017-2024'!$F911+1</f>
        <v>4</v>
      </c>
      <c r="I911" s="2" t="s">
        <v>2111</v>
      </c>
      <c r="J911" s="2" t="s">
        <v>2113</v>
      </c>
      <c r="K911" s="2">
        <f>IF('mpi_dataset_summary_2017-2024'!$G911=2024,1,0)</f>
        <v>1</v>
      </c>
      <c r="L911" s="2">
        <f t="shared" si="28"/>
        <v>0</v>
      </c>
      <c r="M911" s="2">
        <v>200</v>
      </c>
      <c r="N911" s="2">
        <f t="shared" si="29"/>
        <v>0.49099999999999999</v>
      </c>
      <c r="O911" s="2" t="s">
        <v>2114</v>
      </c>
      <c r="P911" s="2" t="s">
        <v>2114</v>
      </c>
      <c r="Q911" s="2" t="s">
        <v>2108</v>
      </c>
      <c r="R911" s="3" t="s">
        <v>24</v>
      </c>
      <c r="S911" s="2" t="s">
        <v>25</v>
      </c>
      <c r="T911" s="2" t="s">
        <v>26</v>
      </c>
    </row>
    <row r="912" spans="1:20" x14ac:dyDescent="0.2">
      <c r="A912" s="2">
        <v>5049</v>
      </c>
      <c r="B912" s="2" t="s">
        <v>1586</v>
      </c>
      <c r="C912" s="2" t="s">
        <v>1587</v>
      </c>
      <c r="D912" s="2" t="s">
        <v>66</v>
      </c>
      <c r="E912" s="2" t="s">
        <v>20</v>
      </c>
      <c r="F912" s="2">
        <v>2021</v>
      </c>
      <c r="G912" s="2">
        <v>2023</v>
      </c>
      <c r="H912" s="2">
        <f>'mpi_dataset_summary_2017-2024'!$G912-'mpi_dataset_summary_2017-2024'!$F912+1</f>
        <v>3</v>
      </c>
      <c r="I912" s="2" t="s">
        <v>2111</v>
      </c>
      <c r="J912" s="2" t="s">
        <v>2110</v>
      </c>
      <c r="K912" s="2">
        <f>IF('mpi_dataset_summary_2017-2024'!$G912=2024,1,0)</f>
        <v>0</v>
      </c>
      <c r="L912" s="2">
        <f t="shared" si="28"/>
        <v>1</v>
      </c>
      <c r="M912" s="2">
        <v>200</v>
      </c>
      <c r="N912" s="2">
        <f t="shared" si="29"/>
        <v>0.49099999999999999</v>
      </c>
      <c r="O912" s="2" t="s">
        <v>2114</v>
      </c>
      <c r="P912" s="2" t="s">
        <v>2114</v>
      </c>
      <c r="Q912" s="2" t="s">
        <v>2108</v>
      </c>
      <c r="R912" s="3" t="s">
        <v>24</v>
      </c>
      <c r="S912" s="2" t="s">
        <v>25</v>
      </c>
      <c r="T912" s="2" t="s">
        <v>26</v>
      </c>
    </row>
    <row r="913" spans="1:20" x14ac:dyDescent="0.2">
      <c r="A913" s="2">
        <v>5050</v>
      </c>
      <c r="B913" s="2" t="s">
        <v>1588</v>
      </c>
      <c r="C913" s="2" t="s">
        <v>1589</v>
      </c>
      <c r="D913" s="2" t="s">
        <v>66</v>
      </c>
      <c r="E913" s="2" t="s">
        <v>20</v>
      </c>
      <c r="F913" s="2">
        <v>2021</v>
      </c>
      <c r="G913" s="2">
        <v>2024</v>
      </c>
      <c r="H913" s="2">
        <f>'mpi_dataset_summary_2017-2024'!$G913-'mpi_dataset_summary_2017-2024'!$F913+1</f>
        <v>4</v>
      </c>
      <c r="I913" s="2" t="s">
        <v>2111</v>
      </c>
      <c r="J913" s="2" t="s">
        <v>2110</v>
      </c>
      <c r="K913" s="2">
        <f>IF('mpi_dataset_summary_2017-2024'!$G913=2024,1,0)</f>
        <v>1</v>
      </c>
      <c r="L913" s="2">
        <f t="shared" si="28"/>
        <v>1</v>
      </c>
      <c r="M913" s="2">
        <v>500</v>
      </c>
      <c r="N913" s="2">
        <f t="shared" si="29"/>
        <v>0.67800000000000005</v>
      </c>
      <c r="O913" s="2" t="s">
        <v>2114</v>
      </c>
      <c r="P913" s="2" t="s">
        <v>2114</v>
      </c>
      <c r="Q913" s="2" t="s">
        <v>2108</v>
      </c>
      <c r="R913" s="3" t="s">
        <v>24</v>
      </c>
      <c r="S913" s="2" t="s">
        <v>25</v>
      </c>
      <c r="T913" s="2" t="s">
        <v>26</v>
      </c>
    </row>
    <row r="914" spans="1:20" x14ac:dyDescent="0.2">
      <c r="A914" s="2">
        <v>5052</v>
      </c>
      <c r="B914" s="2" t="s">
        <v>1590</v>
      </c>
      <c r="C914" s="2" t="s">
        <v>1591</v>
      </c>
      <c r="D914" s="2" t="s">
        <v>69</v>
      </c>
      <c r="E914" s="2" t="s">
        <v>20</v>
      </c>
      <c r="F914" s="2">
        <v>2022</v>
      </c>
      <c r="G914" s="2">
        <v>2024</v>
      </c>
      <c r="H914" s="2">
        <f>'mpi_dataset_summary_2017-2024'!$G914-'mpi_dataset_summary_2017-2024'!$F914+1</f>
        <v>3</v>
      </c>
      <c r="I914" s="2" t="s">
        <v>2112</v>
      </c>
      <c r="J914" s="2" t="s">
        <v>2111</v>
      </c>
      <c r="K914" s="2">
        <f>IF('mpi_dataset_summary_2017-2024'!$G914=2024,1,0)</f>
        <v>1</v>
      </c>
      <c r="L914" s="2">
        <f t="shared" si="28"/>
        <v>0</v>
      </c>
      <c r="M914" s="2">
        <v>3500</v>
      </c>
      <c r="N914" s="2">
        <f t="shared" si="29"/>
        <v>0.93100000000000005</v>
      </c>
      <c r="O914" s="2">
        <v>49.141797599999997</v>
      </c>
      <c r="P914" s="2">
        <v>-123.023505</v>
      </c>
      <c r="Q914" s="2" t="s">
        <v>2108</v>
      </c>
      <c r="R914" s="3" t="s">
        <v>37</v>
      </c>
      <c r="S914" s="2" t="s">
        <v>22</v>
      </c>
      <c r="T914" s="2" t="s">
        <v>38</v>
      </c>
    </row>
    <row r="915" spans="1:20" x14ac:dyDescent="0.2">
      <c r="A915" s="2">
        <v>5053</v>
      </c>
      <c r="B915" s="2" t="s">
        <v>1592</v>
      </c>
      <c r="C915" s="2" t="s">
        <v>1593</v>
      </c>
      <c r="D915" s="2" t="s">
        <v>66</v>
      </c>
      <c r="E915" s="2" t="s">
        <v>20</v>
      </c>
      <c r="F915" s="2">
        <v>2021</v>
      </c>
      <c r="G915" s="2">
        <v>2024</v>
      </c>
      <c r="H915" s="2">
        <f>'mpi_dataset_summary_2017-2024'!$G915-'mpi_dataset_summary_2017-2024'!$F915+1</f>
        <v>4</v>
      </c>
      <c r="I915" s="2" t="s">
        <v>2111</v>
      </c>
      <c r="J915" s="2" t="s">
        <v>2111</v>
      </c>
      <c r="K915" s="2">
        <f>IF('mpi_dataset_summary_2017-2024'!$G915=2024,1,0)</f>
        <v>1</v>
      </c>
      <c r="L915" s="2">
        <f t="shared" si="28"/>
        <v>0</v>
      </c>
      <c r="M915" s="2">
        <v>790</v>
      </c>
      <c r="N915" s="2">
        <f t="shared" si="29"/>
        <v>0.77600000000000002</v>
      </c>
      <c r="O915" s="2" t="s">
        <v>2114</v>
      </c>
      <c r="P915" s="2" t="s">
        <v>2114</v>
      </c>
      <c r="Q915" s="2" t="s">
        <v>2108</v>
      </c>
      <c r="R915" s="3" t="s">
        <v>27</v>
      </c>
      <c r="S915" s="2" t="s">
        <v>25</v>
      </c>
      <c r="T915" s="2" t="s">
        <v>28</v>
      </c>
    </row>
    <row r="916" spans="1:20" x14ac:dyDescent="0.2">
      <c r="A916" s="2">
        <v>5054</v>
      </c>
      <c r="B916" s="2" t="s">
        <v>1594</v>
      </c>
      <c r="C916" s="2" t="s">
        <v>1595</v>
      </c>
      <c r="D916" s="2" t="s">
        <v>66</v>
      </c>
      <c r="E916" s="2" t="s">
        <v>20</v>
      </c>
      <c r="F916" s="2">
        <v>2021</v>
      </c>
      <c r="G916" s="2">
        <v>2022</v>
      </c>
      <c r="H916" s="2">
        <f>'mpi_dataset_summary_2017-2024'!$G916-'mpi_dataset_summary_2017-2024'!$F916+1</f>
        <v>2</v>
      </c>
      <c r="I916" s="2" t="s">
        <v>2111</v>
      </c>
      <c r="J916" s="2" t="s">
        <v>2110</v>
      </c>
      <c r="K916" s="2">
        <f>IF('mpi_dataset_summary_2017-2024'!$G916=2024,1,0)</f>
        <v>0</v>
      </c>
      <c r="L916" s="2">
        <f t="shared" si="28"/>
        <v>1</v>
      </c>
      <c r="M916" s="2">
        <v>45.6</v>
      </c>
      <c r="N916" s="2">
        <f t="shared" si="29"/>
        <v>0.20300000000000001</v>
      </c>
      <c r="O916" s="2" t="s">
        <v>2114</v>
      </c>
      <c r="P916" s="2" t="s">
        <v>2114</v>
      </c>
      <c r="Q916" s="2" t="s">
        <v>2108</v>
      </c>
      <c r="R916" s="3" t="s">
        <v>62</v>
      </c>
      <c r="S916" s="2" t="s">
        <v>25</v>
      </c>
      <c r="T916" s="2" t="s">
        <v>63</v>
      </c>
    </row>
    <row r="917" spans="1:20" x14ac:dyDescent="0.2">
      <c r="A917" s="2">
        <v>5055</v>
      </c>
      <c r="B917" s="2" t="s">
        <v>1596</v>
      </c>
      <c r="C917" s="2" t="s">
        <v>1597</v>
      </c>
      <c r="D917" s="2" t="s">
        <v>66</v>
      </c>
      <c r="E917" s="2" t="s">
        <v>20</v>
      </c>
      <c r="F917" s="2">
        <v>2021</v>
      </c>
      <c r="G917" s="2">
        <v>2022</v>
      </c>
      <c r="H917" s="2">
        <f>'mpi_dataset_summary_2017-2024'!$G917-'mpi_dataset_summary_2017-2024'!$F917+1</f>
        <v>2</v>
      </c>
      <c r="I917" s="2" t="s">
        <v>2111</v>
      </c>
      <c r="J917" s="2" t="s">
        <v>2111</v>
      </c>
      <c r="K917" s="2">
        <f>IF('mpi_dataset_summary_2017-2024'!$G917=2024,1,0)</f>
        <v>0</v>
      </c>
      <c r="L917" s="2">
        <f t="shared" si="28"/>
        <v>0</v>
      </c>
      <c r="M917" s="2">
        <v>0</v>
      </c>
      <c r="N917" s="2">
        <f t="shared" si="29"/>
        <v>0</v>
      </c>
      <c r="O917" s="2" t="s">
        <v>2114</v>
      </c>
      <c r="P917" s="2" t="s">
        <v>2114</v>
      </c>
      <c r="Q917" s="2" t="s">
        <v>2108</v>
      </c>
      <c r="R917" s="3" t="s">
        <v>44</v>
      </c>
      <c r="S917" s="2" t="s">
        <v>25</v>
      </c>
      <c r="T917" s="2" t="s">
        <v>45</v>
      </c>
    </row>
    <row r="918" spans="1:20" x14ac:dyDescent="0.2">
      <c r="A918" s="2">
        <v>5056</v>
      </c>
      <c r="B918" s="2" t="s">
        <v>1228</v>
      </c>
      <c r="C918" s="2" t="s">
        <v>1598</v>
      </c>
      <c r="D918" s="2" t="s">
        <v>66</v>
      </c>
      <c r="E918" s="2" t="s">
        <v>20</v>
      </c>
      <c r="F918" s="2">
        <v>2021</v>
      </c>
      <c r="G918" s="2">
        <v>2024</v>
      </c>
      <c r="H918" s="2">
        <f>'mpi_dataset_summary_2017-2024'!$G918-'mpi_dataset_summary_2017-2024'!$F918+1</f>
        <v>4</v>
      </c>
      <c r="I918" s="2" t="s">
        <v>2111</v>
      </c>
      <c r="J918" s="2" t="s">
        <v>2110</v>
      </c>
      <c r="K918" s="2">
        <f>IF('mpi_dataset_summary_2017-2024'!$G918=2024,1,0)</f>
        <v>1</v>
      </c>
      <c r="L918" s="2">
        <f t="shared" si="28"/>
        <v>1</v>
      </c>
      <c r="M918" s="2">
        <v>1200</v>
      </c>
      <c r="N918" s="2">
        <f t="shared" si="29"/>
        <v>0.82899999999999996</v>
      </c>
      <c r="O918" s="2" t="s">
        <v>2114</v>
      </c>
      <c r="P918" s="2" t="s">
        <v>2114</v>
      </c>
      <c r="Q918" s="2" t="s">
        <v>2108</v>
      </c>
      <c r="R918" s="3" t="s">
        <v>53</v>
      </c>
      <c r="S918" s="2" t="s">
        <v>22</v>
      </c>
      <c r="T918" s="2" t="s">
        <v>54</v>
      </c>
    </row>
    <row r="919" spans="1:20" x14ac:dyDescent="0.2">
      <c r="A919" s="2">
        <v>5058</v>
      </c>
      <c r="B919" s="2" t="s">
        <v>1599</v>
      </c>
      <c r="C919" s="2" t="s">
        <v>1600</v>
      </c>
      <c r="D919" s="2" t="s">
        <v>380</v>
      </c>
      <c r="E919" s="2" t="s">
        <v>20</v>
      </c>
      <c r="F919" s="2">
        <v>2021</v>
      </c>
      <c r="G919" s="2">
        <v>2022</v>
      </c>
      <c r="H919" s="2">
        <f>'mpi_dataset_summary_2017-2024'!$G919-'mpi_dataset_summary_2017-2024'!$F919+1</f>
        <v>2</v>
      </c>
      <c r="I919" s="2" t="s">
        <v>2111</v>
      </c>
      <c r="J919" s="2" t="s">
        <v>2111</v>
      </c>
      <c r="K919" s="2">
        <f>IF('mpi_dataset_summary_2017-2024'!$G919=2024,1,0)</f>
        <v>0</v>
      </c>
      <c r="L919" s="2">
        <f t="shared" si="28"/>
        <v>0</v>
      </c>
      <c r="M919" s="2">
        <v>0</v>
      </c>
      <c r="N919" s="2">
        <f t="shared" si="29"/>
        <v>0</v>
      </c>
      <c r="O919" s="2" t="s">
        <v>2114</v>
      </c>
      <c r="P919" s="2" t="s">
        <v>2114</v>
      </c>
      <c r="Q919" s="2" t="s">
        <v>2108</v>
      </c>
      <c r="R919" s="3" t="s">
        <v>35</v>
      </c>
      <c r="S919" s="2" t="s">
        <v>22</v>
      </c>
      <c r="T919" s="2" t="s">
        <v>36</v>
      </c>
    </row>
    <row r="920" spans="1:20" x14ac:dyDescent="0.2">
      <c r="A920" s="2">
        <v>5059</v>
      </c>
      <c r="B920" s="2" t="s">
        <v>1599</v>
      </c>
      <c r="C920" s="2" t="s">
        <v>1601</v>
      </c>
      <c r="D920" s="2" t="s">
        <v>380</v>
      </c>
      <c r="E920" s="2" t="s">
        <v>20</v>
      </c>
      <c r="F920" s="2">
        <v>2021</v>
      </c>
      <c r="G920" s="2">
        <v>2022</v>
      </c>
      <c r="H920" s="2">
        <f>'mpi_dataset_summary_2017-2024'!$G920-'mpi_dataset_summary_2017-2024'!$F920+1</f>
        <v>2</v>
      </c>
      <c r="I920" s="2" t="s">
        <v>2111</v>
      </c>
      <c r="J920" s="2" t="s">
        <v>2111</v>
      </c>
      <c r="K920" s="2">
        <f>IF('mpi_dataset_summary_2017-2024'!$G920=2024,1,0)</f>
        <v>0</v>
      </c>
      <c r="L920" s="2">
        <f t="shared" si="28"/>
        <v>0</v>
      </c>
      <c r="M920" s="2">
        <v>0</v>
      </c>
      <c r="N920" s="2">
        <f t="shared" si="29"/>
        <v>0</v>
      </c>
      <c r="O920" s="2" t="s">
        <v>2114</v>
      </c>
      <c r="P920" s="2" t="s">
        <v>2114</v>
      </c>
      <c r="Q920" s="2" t="s">
        <v>2108</v>
      </c>
      <c r="R920" s="3" t="s">
        <v>49</v>
      </c>
      <c r="S920" s="2" t="s">
        <v>25</v>
      </c>
      <c r="T920" s="2" t="s">
        <v>50</v>
      </c>
    </row>
    <row r="921" spans="1:20" x14ac:dyDescent="0.2">
      <c r="A921" s="2">
        <v>5060</v>
      </c>
      <c r="B921" s="2" t="s">
        <v>1590</v>
      </c>
      <c r="C921" s="2" t="s">
        <v>1602</v>
      </c>
      <c r="D921" s="2" t="s">
        <v>69</v>
      </c>
      <c r="E921" s="2" t="s">
        <v>20</v>
      </c>
      <c r="F921" s="2">
        <v>2021</v>
      </c>
      <c r="G921" s="2">
        <v>2024</v>
      </c>
      <c r="H921" s="2">
        <f>'mpi_dataset_summary_2017-2024'!$G921-'mpi_dataset_summary_2017-2024'!$F921+1</f>
        <v>4</v>
      </c>
      <c r="I921" s="2" t="s">
        <v>2111</v>
      </c>
      <c r="J921" s="2" t="s">
        <v>2112</v>
      </c>
      <c r="K921" s="2">
        <f>IF('mpi_dataset_summary_2017-2024'!$G921=2024,1,0)</f>
        <v>1</v>
      </c>
      <c r="L921" s="2">
        <f t="shared" si="28"/>
        <v>0</v>
      </c>
      <c r="M921" s="2">
        <v>60</v>
      </c>
      <c r="N921" s="2">
        <f t="shared" si="29"/>
        <v>0.254</v>
      </c>
      <c r="O921" s="2">
        <v>49.141797599999997</v>
      </c>
      <c r="P921" s="2">
        <v>-123.023505</v>
      </c>
      <c r="Q921" s="2" t="s">
        <v>2108</v>
      </c>
      <c r="R921" s="3" t="s">
        <v>37</v>
      </c>
      <c r="S921" s="2" t="s">
        <v>22</v>
      </c>
      <c r="T921" s="2" t="s">
        <v>38</v>
      </c>
    </row>
    <row r="922" spans="1:20" x14ac:dyDescent="0.2">
      <c r="A922" s="2">
        <v>5061</v>
      </c>
      <c r="B922" s="2" t="s">
        <v>235</v>
      </c>
      <c r="C922" s="2" t="s">
        <v>1603</v>
      </c>
      <c r="D922" s="2" t="s">
        <v>86</v>
      </c>
      <c r="E922" s="2" t="s">
        <v>43</v>
      </c>
      <c r="F922" s="2">
        <v>2021</v>
      </c>
      <c r="G922" s="2">
        <v>2023</v>
      </c>
      <c r="H922" s="2">
        <f>'mpi_dataset_summary_2017-2024'!$G922-'mpi_dataset_summary_2017-2024'!$F922+1</f>
        <v>3</v>
      </c>
      <c r="I922" s="2" t="s">
        <v>2113</v>
      </c>
      <c r="J922" s="2" t="s">
        <v>2113</v>
      </c>
      <c r="K922" s="2">
        <f>IF('mpi_dataset_summary_2017-2024'!$G922=2024,1,0)</f>
        <v>0</v>
      </c>
      <c r="L922" s="2">
        <f t="shared" si="28"/>
        <v>0</v>
      </c>
      <c r="M922" s="2">
        <v>22.8</v>
      </c>
      <c r="N922" s="2">
        <f t="shared" si="29"/>
        <v>0.115</v>
      </c>
      <c r="O922" s="2">
        <v>56.384285774867699</v>
      </c>
      <c r="P922" s="2">
        <v>-94.635010730368506</v>
      </c>
      <c r="Q922" s="2" t="s">
        <v>2108</v>
      </c>
      <c r="R922" s="3" t="s">
        <v>24</v>
      </c>
      <c r="S922" s="2" t="s">
        <v>25</v>
      </c>
      <c r="T922" s="2" t="s">
        <v>26</v>
      </c>
    </row>
    <row r="923" spans="1:20" x14ac:dyDescent="0.2">
      <c r="A923" s="2">
        <v>5062</v>
      </c>
      <c r="B923" s="2" t="s">
        <v>235</v>
      </c>
      <c r="C923" s="2" t="s">
        <v>1604</v>
      </c>
      <c r="D923" s="2" t="s">
        <v>86</v>
      </c>
      <c r="E923" s="2" t="s">
        <v>43</v>
      </c>
      <c r="F923" s="2">
        <v>2021</v>
      </c>
      <c r="G923" s="2">
        <v>2023</v>
      </c>
      <c r="H923" s="2">
        <f>'mpi_dataset_summary_2017-2024'!$G923-'mpi_dataset_summary_2017-2024'!$F923+1</f>
        <v>3</v>
      </c>
      <c r="I923" s="2" t="s">
        <v>2113</v>
      </c>
      <c r="J923" s="2" t="s">
        <v>2113</v>
      </c>
      <c r="K923" s="2">
        <f>IF('mpi_dataset_summary_2017-2024'!$G923=2024,1,0)</f>
        <v>0</v>
      </c>
      <c r="L923" s="2">
        <f t="shared" si="28"/>
        <v>0</v>
      </c>
      <c r="M923" s="2">
        <v>23.3</v>
      </c>
      <c r="N923" s="2">
        <f t="shared" si="29"/>
        <v>0.11899999999999999</v>
      </c>
      <c r="O923" s="2">
        <v>56.384285774867699</v>
      </c>
      <c r="P923" s="2">
        <v>-94.635010730368506</v>
      </c>
      <c r="Q923" s="2" t="s">
        <v>2108</v>
      </c>
      <c r="R923" s="3" t="s">
        <v>24</v>
      </c>
      <c r="S923" s="2" t="s">
        <v>25</v>
      </c>
      <c r="T923" s="2" t="s">
        <v>26</v>
      </c>
    </row>
    <row r="924" spans="1:20" x14ac:dyDescent="0.2">
      <c r="A924" s="2">
        <v>5063</v>
      </c>
      <c r="B924" s="2" t="s">
        <v>235</v>
      </c>
      <c r="C924" s="2" t="s">
        <v>1605</v>
      </c>
      <c r="D924" s="2" t="s">
        <v>86</v>
      </c>
      <c r="E924" s="2" t="s">
        <v>43</v>
      </c>
      <c r="F924" s="2">
        <v>2021</v>
      </c>
      <c r="G924" s="2">
        <v>2023</v>
      </c>
      <c r="H924" s="2">
        <f>'mpi_dataset_summary_2017-2024'!$G924-'mpi_dataset_summary_2017-2024'!$F924+1</f>
        <v>3</v>
      </c>
      <c r="I924" s="2" t="s">
        <v>2110</v>
      </c>
      <c r="J924" s="2" t="s">
        <v>2110</v>
      </c>
      <c r="K924" s="2">
        <f>IF('mpi_dataset_summary_2017-2024'!$G924=2024,1,0)</f>
        <v>0</v>
      </c>
      <c r="L924" s="2">
        <f t="shared" si="28"/>
        <v>1</v>
      </c>
      <c r="M924" s="2">
        <v>26.7</v>
      </c>
      <c r="N924" s="2">
        <f t="shared" si="29"/>
        <v>0.13700000000000001</v>
      </c>
      <c r="O924" s="2">
        <v>56.384285774867699</v>
      </c>
      <c r="P924" s="2">
        <v>-94.635010730368506</v>
      </c>
      <c r="Q924" s="2" t="s">
        <v>2108</v>
      </c>
      <c r="R924" s="3" t="s">
        <v>24</v>
      </c>
      <c r="S924" s="2" t="s">
        <v>25</v>
      </c>
      <c r="T924" s="2" t="s">
        <v>26</v>
      </c>
    </row>
    <row r="925" spans="1:20" x14ac:dyDescent="0.2">
      <c r="A925" s="2">
        <v>5064</v>
      </c>
      <c r="B925" s="2" t="s">
        <v>235</v>
      </c>
      <c r="C925" s="2" t="s">
        <v>1606</v>
      </c>
      <c r="D925" s="2" t="s">
        <v>86</v>
      </c>
      <c r="E925" s="2" t="s">
        <v>43</v>
      </c>
      <c r="F925" s="2">
        <v>2021</v>
      </c>
      <c r="G925" s="2">
        <v>2024</v>
      </c>
      <c r="H925" s="2">
        <f>'mpi_dataset_summary_2017-2024'!$G925-'mpi_dataset_summary_2017-2024'!$F925+1</f>
        <v>4</v>
      </c>
      <c r="I925" s="2" t="s">
        <v>2110</v>
      </c>
      <c r="J925" s="2" t="s">
        <v>2110</v>
      </c>
      <c r="K925" s="2">
        <f>IF('mpi_dataset_summary_2017-2024'!$G925=2024,1,0)</f>
        <v>1</v>
      </c>
      <c r="L925" s="2">
        <f t="shared" si="28"/>
        <v>1</v>
      </c>
      <c r="M925" s="2">
        <v>62</v>
      </c>
      <c r="N925" s="2">
        <f t="shared" si="29"/>
        <v>0.26100000000000001</v>
      </c>
      <c r="O925" s="2">
        <v>49.969268999999997</v>
      </c>
      <c r="P925" s="2">
        <v>-97.018906999999999</v>
      </c>
      <c r="Q925" s="2" t="s">
        <v>2108</v>
      </c>
      <c r="R925" s="3" t="s">
        <v>24</v>
      </c>
      <c r="S925" s="2" t="s">
        <v>25</v>
      </c>
      <c r="T925" s="2" t="s">
        <v>26</v>
      </c>
    </row>
    <row r="926" spans="1:20" x14ac:dyDescent="0.2">
      <c r="A926" s="2">
        <v>5066</v>
      </c>
      <c r="B926" s="2" t="s">
        <v>278</v>
      </c>
      <c r="C926" s="2" t="s">
        <v>1607</v>
      </c>
      <c r="D926" s="2" t="s">
        <v>161</v>
      </c>
      <c r="E926" s="2" t="s">
        <v>43</v>
      </c>
      <c r="F926" s="2">
        <v>2021</v>
      </c>
      <c r="G926" s="2">
        <v>2024</v>
      </c>
      <c r="H926" s="2">
        <f>'mpi_dataset_summary_2017-2024'!$G926-'mpi_dataset_summary_2017-2024'!$F926+1</f>
        <v>4</v>
      </c>
      <c r="I926" s="2" t="s">
        <v>2110</v>
      </c>
      <c r="J926" s="2" t="s">
        <v>2110</v>
      </c>
      <c r="K926" s="2">
        <f>IF('mpi_dataset_summary_2017-2024'!$G926=2024,1,0)</f>
        <v>1</v>
      </c>
      <c r="L926" s="2">
        <f t="shared" si="28"/>
        <v>1</v>
      </c>
      <c r="M926" s="2">
        <v>137</v>
      </c>
      <c r="N926" s="2">
        <f t="shared" si="29"/>
        <v>0.42199999999999999</v>
      </c>
      <c r="O926" s="2" t="s">
        <v>2114</v>
      </c>
      <c r="P926" s="2" t="s">
        <v>2114</v>
      </c>
      <c r="Q926" s="2" t="s">
        <v>2108</v>
      </c>
      <c r="R926" s="3" t="s">
        <v>24</v>
      </c>
      <c r="S926" s="2" t="s">
        <v>25</v>
      </c>
      <c r="T926" s="2" t="s">
        <v>45</v>
      </c>
    </row>
    <row r="927" spans="1:20" x14ac:dyDescent="0.2">
      <c r="A927" s="2">
        <v>5067</v>
      </c>
      <c r="B927" s="2" t="s">
        <v>278</v>
      </c>
      <c r="C927" s="2" t="s">
        <v>1608</v>
      </c>
      <c r="D927" s="2" t="s">
        <v>161</v>
      </c>
      <c r="E927" s="2" t="s">
        <v>43</v>
      </c>
      <c r="F927" s="2">
        <v>2021</v>
      </c>
      <c r="G927" s="2">
        <v>2024</v>
      </c>
      <c r="H927" s="2">
        <f>'mpi_dataset_summary_2017-2024'!$G927-'mpi_dataset_summary_2017-2024'!$F927+1</f>
        <v>4</v>
      </c>
      <c r="I927" s="2" t="s">
        <v>2111</v>
      </c>
      <c r="J927" s="2" t="s">
        <v>2111</v>
      </c>
      <c r="K927" s="2">
        <f>IF('mpi_dataset_summary_2017-2024'!$G927=2024,1,0)</f>
        <v>1</v>
      </c>
      <c r="L927" s="2">
        <f t="shared" si="28"/>
        <v>0</v>
      </c>
      <c r="M927" s="2">
        <v>85</v>
      </c>
      <c r="N927" s="2">
        <f t="shared" si="29"/>
        <v>0.318</v>
      </c>
      <c r="O927" s="2" t="s">
        <v>2114</v>
      </c>
      <c r="P927" s="2" t="s">
        <v>2114</v>
      </c>
      <c r="Q927" s="2" t="s">
        <v>2108</v>
      </c>
      <c r="R927" s="3" t="s">
        <v>24</v>
      </c>
      <c r="S927" s="2" t="s">
        <v>25</v>
      </c>
      <c r="T927" s="2" t="s">
        <v>45</v>
      </c>
    </row>
    <row r="928" spans="1:20" x14ac:dyDescent="0.2">
      <c r="A928" s="2">
        <v>5068</v>
      </c>
      <c r="B928" s="2" t="s">
        <v>1609</v>
      </c>
      <c r="C928" s="2" t="s">
        <v>1610</v>
      </c>
      <c r="D928" s="2" t="s">
        <v>161</v>
      </c>
      <c r="E928" s="2" t="s">
        <v>20</v>
      </c>
      <c r="F928" s="2">
        <v>2021</v>
      </c>
      <c r="G928" s="2">
        <v>2023</v>
      </c>
      <c r="H928" s="2">
        <f>'mpi_dataset_summary_2017-2024'!$G928-'mpi_dataset_summary_2017-2024'!$F928+1</f>
        <v>3</v>
      </c>
      <c r="I928" s="2" t="s">
        <v>2112</v>
      </c>
      <c r="J928" s="2" t="s">
        <v>2112</v>
      </c>
      <c r="K928" s="2">
        <f>IF('mpi_dataset_summary_2017-2024'!$G928=2024,1,0)</f>
        <v>0</v>
      </c>
      <c r="L928" s="2">
        <f t="shared" si="28"/>
        <v>0</v>
      </c>
      <c r="M928" s="2">
        <v>55</v>
      </c>
      <c r="N928" s="2">
        <f t="shared" si="29"/>
        <v>0.24199999999999999</v>
      </c>
      <c r="O928" s="2" t="s">
        <v>2114</v>
      </c>
      <c r="P928" s="2" t="s">
        <v>2114</v>
      </c>
      <c r="Q928" s="2" t="s">
        <v>2108</v>
      </c>
      <c r="R928" s="3" t="s">
        <v>41</v>
      </c>
      <c r="S928" s="2" t="s">
        <v>25</v>
      </c>
      <c r="T928" s="2" t="s">
        <v>46</v>
      </c>
    </row>
    <row r="929" spans="1:20" x14ac:dyDescent="0.2">
      <c r="A929" s="2">
        <v>5069</v>
      </c>
      <c r="B929" s="2" t="s">
        <v>1611</v>
      </c>
      <c r="C929" s="2" t="s">
        <v>1612</v>
      </c>
      <c r="D929" s="2" t="s">
        <v>161</v>
      </c>
      <c r="E929" s="2" t="s">
        <v>20</v>
      </c>
      <c r="F929" s="2">
        <v>2024</v>
      </c>
      <c r="G929" s="2">
        <v>2024</v>
      </c>
      <c r="H929" s="2">
        <f>'mpi_dataset_summary_2017-2024'!$G929-'mpi_dataset_summary_2017-2024'!$F929+1</f>
        <v>1</v>
      </c>
      <c r="I929" s="2" t="s">
        <v>2112</v>
      </c>
      <c r="J929" s="2" t="s">
        <v>2112</v>
      </c>
      <c r="K929" s="2">
        <f>IF('mpi_dataset_summary_2017-2024'!$G929=2024,1,0)</f>
        <v>1</v>
      </c>
      <c r="L929" s="2">
        <f t="shared" si="28"/>
        <v>0</v>
      </c>
      <c r="M929" s="2">
        <v>2655.1095</v>
      </c>
      <c r="N929" s="2">
        <f t="shared" si="29"/>
        <v>0.91700000000000004</v>
      </c>
      <c r="O929" s="2">
        <v>48.83972</v>
      </c>
      <c r="P929" s="2">
        <v>-81.373090000000005</v>
      </c>
      <c r="Q929" s="2" t="s">
        <v>2107</v>
      </c>
      <c r="R929" s="3" t="s">
        <v>33</v>
      </c>
      <c r="S929" s="2" t="s">
        <v>25</v>
      </c>
      <c r="T929" s="2" t="s">
        <v>34</v>
      </c>
    </row>
    <row r="930" spans="1:20" x14ac:dyDescent="0.2">
      <c r="A930" s="2">
        <v>5074</v>
      </c>
      <c r="B930" s="2" t="s">
        <v>1613</v>
      </c>
      <c r="C930" s="2" t="s">
        <v>1614</v>
      </c>
      <c r="D930" s="2" t="s">
        <v>161</v>
      </c>
      <c r="E930" s="2" t="s">
        <v>20</v>
      </c>
      <c r="F930" s="2">
        <v>2024</v>
      </c>
      <c r="G930" s="2">
        <v>2024</v>
      </c>
      <c r="H930" s="2">
        <f>'mpi_dataset_summary_2017-2024'!$G930-'mpi_dataset_summary_2017-2024'!$F930+1</f>
        <v>1</v>
      </c>
      <c r="I930" s="2" t="s">
        <v>2111</v>
      </c>
      <c r="J930" s="2" t="s">
        <v>2111</v>
      </c>
      <c r="K930" s="2">
        <f>IF('mpi_dataset_summary_2017-2024'!$G930=2024,1,0)</f>
        <v>1</v>
      </c>
      <c r="L930" s="2">
        <f t="shared" si="28"/>
        <v>0</v>
      </c>
      <c r="M930" s="2">
        <v>606.34799999999996</v>
      </c>
      <c r="N930" s="2">
        <f t="shared" si="29"/>
        <v>0.72499999999999998</v>
      </c>
      <c r="O930" s="2">
        <v>46.705910000000003</v>
      </c>
      <c r="P930" s="2">
        <v>-80.276060000000001</v>
      </c>
      <c r="Q930" s="2" t="s">
        <v>2107</v>
      </c>
      <c r="R930" s="3" t="s">
        <v>29</v>
      </c>
      <c r="S930" s="2" t="s">
        <v>22</v>
      </c>
      <c r="T930" s="2" t="s">
        <v>30</v>
      </c>
    </row>
    <row r="931" spans="1:20" x14ac:dyDescent="0.2">
      <c r="A931" s="2">
        <v>5075</v>
      </c>
      <c r="B931" s="2" t="s">
        <v>1615</v>
      </c>
      <c r="C931" s="2" t="s">
        <v>1616</v>
      </c>
      <c r="D931" s="2" t="s">
        <v>161</v>
      </c>
      <c r="E931" s="2" t="s">
        <v>20</v>
      </c>
      <c r="F931" s="2">
        <v>2021</v>
      </c>
      <c r="G931" s="2">
        <v>2023</v>
      </c>
      <c r="H931" s="2">
        <f>'mpi_dataset_summary_2017-2024'!$G931-'mpi_dataset_summary_2017-2024'!$F931+1</f>
        <v>3</v>
      </c>
      <c r="I931" s="2" t="s">
        <v>2111</v>
      </c>
      <c r="J931" s="2" t="s">
        <v>2111</v>
      </c>
      <c r="K931" s="2">
        <f>IF('mpi_dataset_summary_2017-2024'!$G931=2024,1,0)</f>
        <v>0</v>
      </c>
      <c r="L931" s="2">
        <f t="shared" si="28"/>
        <v>0</v>
      </c>
      <c r="M931" s="2">
        <v>77.671000000000006</v>
      </c>
      <c r="N931" s="2">
        <f t="shared" si="29"/>
        <v>0.30099999999999999</v>
      </c>
      <c r="O931" s="2">
        <v>50.265999999999998</v>
      </c>
      <c r="P931" s="2">
        <v>-94.582579999999993</v>
      </c>
      <c r="Q931" s="2" t="s">
        <v>2107</v>
      </c>
      <c r="R931" s="3" t="s">
        <v>41</v>
      </c>
      <c r="S931" s="2" t="s">
        <v>22</v>
      </c>
      <c r="T931" s="2" t="s">
        <v>42</v>
      </c>
    </row>
    <row r="932" spans="1:20" x14ac:dyDescent="0.2">
      <c r="A932" s="2">
        <v>5076</v>
      </c>
      <c r="B932" s="2" t="s">
        <v>1617</v>
      </c>
      <c r="C932" s="2" t="s">
        <v>1618</v>
      </c>
      <c r="D932" s="2" t="s">
        <v>89</v>
      </c>
      <c r="E932" s="2" t="s">
        <v>20</v>
      </c>
      <c r="F932" s="2">
        <v>2021</v>
      </c>
      <c r="G932" s="2">
        <v>2024</v>
      </c>
      <c r="H932" s="2">
        <f>'mpi_dataset_summary_2017-2024'!$G932-'mpi_dataset_summary_2017-2024'!$F932+1</f>
        <v>4</v>
      </c>
      <c r="I932" s="2" t="s">
        <v>2111</v>
      </c>
      <c r="J932" s="2" t="s">
        <v>2111</v>
      </c>
      <c r="K932" s="2">
        <f>IF('mpi_dataset_summary_2017-2024'!$G932=2024,1,0)</f>
        <v>1</v>
      </c>
      <c r="L932" s="2">
        <f t="shared" si="28"/>
        <v>0</v>
      </c>
      <c r="M932" s="2">
        <v>300</v>
      </c>
      <c r="N932" s="2">
        <f t="shared" si="29"/>
        <v>0.57399999999999995</v>
      </c>
      <c r="O932" s="2">
        <v>46.483331399999997</v>
      </c>
      <c r="P932" s="2">
        <v>-70.616664200000002</v>
      </c>
      <c r="Q932" s="2" t="s">
        <v>2108</v>
      </c>
      <c r="R932" s="3" t="s">
        <v>39</v>
      </c>
      <c r="S932" s="2" t="s">
        <v>22</v>
      </c>
      <c r="T932" s="2" t="s">
        <v>40</v>
      </c>
    </row>
    <row r="933" spans="1:20" x14ac:dyDescent="0.2">
      <c r="A933" s="2">
        <v>5077</v>
      </c>
      <c r="B933" s="2" t="s">
        <v>1619</v>
      </c>
      <c r="C933" s="2" t="s">
        <v>1620</v>
      </c>
      <c r="D933" s="2" t="s">
        <v>89</v>
      </c>
      <c r="E933" s="2" t="s">
        <v>20</v>
      </c>
      <c r="F933" s="2">
        <v>2021</v>
      </c>
      <c r="G933" s="2">
        <v>2024</v>
      </c>
      <c r="H933" s="2">
        <f>'mpi_dataset_summary_2017-2024'!$G933-'mpi_dataset_summary_2017-2024'!$F933+1</f>
        <v>4</v>
      </c>
      <c r="I933" s="2" t="s">
        <v>2111</v>
      </c>
      <c r="J933" s="2" t="s">
        <v>2111</v>
      </c>
      <c r="K933" s="2">
        <f>IF('mpi_dataset_summary_2017-2024'!$G933=2024,1,0)</f>
        <v>1</v>
      </c>
      <c r="L933" s="2">
        <f t="shared" si="28"/>
        <v>0</v>
      </c>
      <c r="M933" s="2">
        <v>120</v>
      </c>
      <c r="N933" s="2">
        <f t="shared" si="29"/>
        <v>0.38900000000000001</v>
      </c>
      <c r="O933" s="2">
        <v>45.682001898422001</v>
      </c>
      <c r="P933" s="2">
        <v>-73.440982932506202</v>
      </c>
      <c r="Q933" s="2" t="s">
        <v>2108</v>
      </c>
      <c r="R933" s="3" t="s">
        <v>44</v>
      </c>
      <c r="S933" s="2" t="s">
        <v>25</v>
      </c>
      <c r="T933" s="2" t="s">
        <v>45</v>
      </c>
    </row>
    <row r="934" spans="1:20" x14ac:dyDescent="0.2">
      <c r="A934" s="2">
        <v>5080</v>
      </c>
      <c r="B934" s="2" t="s">
        <v>254</v>
      </c>
      <c r="C934" s="2" t="s">
        <v>1621</v>
      </c>
      <c r="D934" s="2" t="s">
        <v>110</v>
      </c>
      <c r="E934" s="2" t="s">
        <v>20</v>
      </c>
      <c r="F934" s="2">
        <v>2021</v>
      </c>
      <c r="G934" s="2">
        <v>2021</v>
      </c>
      <c r="H934" s="2">
        <f>'mpi_dataset_summary_2017-2024'!$G934-'mpi_dataset_summary_2017-2024'!$F934+1</f>
        <v>1</v>
      </c>
      <c r="I934" s="2" t="s">
        <v>2110</v>
      </c>
      <c r="J934" s="2" t="s">
        <v>2110</v>
      </c>
      <c r="K934" s="2">
        <f>IF('mpi_dataset_summary_2017-2024'!$G934=2024,1,0)</f>
        <v>0</v>
      </c>
      <c r="L934" s="2">
        <f t="shared" si="28"/>
        <v>1</v>
      </c>
      <c r="M934" s="2">
        <v>0</v>
      </c>
      <c r="N934" s="2">
        <f t="shared" si="29"/>
        <v>0</v>
      </c>
      <c r="O934" s="2" t="s">
        <v>2114</v>
      </c>
      <c r="P934" s="2" t="s">
        <v>2114</v>
      </c>
      <c r="Q934" s="2" t="s">
        <v>2108</v>
      </c>
      <c r="R934" s="3" t="s">
        <v>24</v>
      </c>
      <c r="S934" s="2" t="s">
        <v>25</v>
      </c>
      <c r="T934" s="2" t="s">
        <v>26</v>
      </c>
    </row>
    <row r="935" spans="1:20" x14ac:dyDescent="0.2">
      <c r="A935" s="2">
        <v>5081</v>
      </c>
      <c r="B935" s="2" t="s">
        <v>1622</v>
      </c>
      <c r="C935" s="2" t="s">
        <v>1623</v>
      </c>
      <c r="D935" s="2" t="s">
        <v>110</v>
      </c>
      <c r="E935" s="2" t="s">
        <v>20</v>
      </c>
      <c r="F935" s="2">
        <v>2021</v>
      </c>
      <c r="G935" s="2">
        <v>2021</v>
      </c>
      <c r="H935" s="2">
        <f>'mpi_dataset_summary_2017-2024'!$G935-'mpi_dataset_summary_2017-2024'!$F935+1</f>
        <v>1</v>
      </c>
      <c r="I935" s="2" t="s">
        <v>2111</v>
      </c>
      <c r="J935" s="2" t="s">
        <v>2111</v>
      </c>
      <c r="K935" s="2">
        <f>IF('mpi_dataset_summary_2017-2024'!$G935=2024,1,0)</f>
        <v>0</v>
      </c>
      <c r="L935" s="2">
        <f t="shared" si="28"/>
        <v>0</v>
      </c>
      <c r="M935" s="2">
        <v>0</v>
      </c>
      <c r="N935" s="2">
        <f t="shared" si="29"/>
        <v>0</v>
      </c>
      <c r="O935" s="2" t="s">
        <v>2114</v>
      </c>
      <c r="P935" s="2" t="s">
        <v>2114</v>
      </c>
      <c r="Q935" s="2" t="s">
        <v>2108</v>
      </c>
      <c r="R935" s="3" t="s">
        <v>24</v>
      </c>
      <c r="S935" s="2" t="s">
        <v>25</v>
      </c>
      <c r="T935" s="2" t="s">
        <v>26</v>
      </c>
    </row>
    <row r="936" spans="1:20" x14ac:dyDescent="0.2">
      <c r="A936" s="2">
        <v>5082</v>
      </c>
      <c r="B936" s="2" t="s">
        <v>1487</v>
      </c>
      <c r="C936" s="2" t="s">
        <v>1624</v>
      </c>
      <c r="D936" s="2" t="s">
        <v>110</v>
      </c>
      <c r="E936" s="2" t="s">
        <v>20</v>
      </c>
      <c r="F936" s="2">
        <v>2021</v>
      </c>
      <c r="G936" s="2">
        <v>2022</v>
      </c>
      <c r="H936" s="2">
        <f>'mpi_dataset_summary_2017-2024'!$G936-'mpi_dataset_summary_2017-2024'!$F936+1</f>
        <v>2</v>
      </c>
      <c r="I936" s="2" t="s">
        <v>2111</v>
      </c>
      <c r="J936" s="2" t="s">
        <v>2110</v>
      </c>
      <c r="K936" s="2">
        <f>IF('mpi_dataset_summary_2017-2024'!$G936=2024,1,0)</f>
        <v>0</v>
      </c>
      <c r="L936" s="2">
        <f t="shared" si="28"/>
        <v>1</v>
      </c>
      <c r="M936" s="2">
        <v>12.85</v>
      </c>
      <c r="N936" s="2">
        <f t="shared" si="29"/>
        <v>7.0999999999999994E-2</v>
      </c>
      <c r="O936" s="2" t="s">
        <v>2114</v>
      </c>
      <c r="P936" s="2" t="s">
        <v>2114</v>
      </c>
      <c r="Q936" s="2" t="s">
        <v>2108</v>
      </c>
      <c r="R936" s="3" t="s">
        <v>24</v>
      </c>
      <c r="S936" s="2" t="s">
        <v>25</v>
      </c>
      <c r="T936" s="2" t="s">
        <v>26</v>
      </c>
    </row>
    <row r="937" spans="1:20" x14ac:dyDescent="0.2">
      <c r="A937" s="2">
        <v>5083</v>
      </c>
      <c r="B937" s="2" t="s">
        <v>1625</v>
      </c>
      <c r="C937" s="2" t="s">
        <v>1626</v>
      </c>
      <c r="D937" s="2" t="s">
        <v>110</v>
      </c>
      <c r="E937" s="2" t="s">
        <v>20</v>
      </c>
      <c r="F937" s="2">
        <v>2021</v>
      </c>
      <c r="G937" s="2">
        <v>2021</v>
      </c>
      <c r="H937" s="2">
        <f>'mpi_dataset_summary_2017-2024'!$G937-'mpi_dataset_summary_2017-2024'!$F937+1</f>
        <v>1</v>
      </c>
      <c r="I937" s="2" t="s">
        <v>2111</v>
      </c>
      <c r="J937" s="2" t="s">
        <v>2111</v>
      </c>
      <c r="K937" s="2">
        <f>IF('mpi_dataset_summary_2017-2024'!$G937=2024,1,0)</f>
        <v>0</v>
      </c>
      <c r="L937" s="2">
        <f t="shared" si="28"/>
        <v>0</v>
      </c>
      <c r="M937" s="2">
        <v>0</v>
      </c>
      <c r="N937" s="2">
        <f t="shared" si="29"/>
        <v>0</v>
      </c>
      <c r="O937" s="2" t="s">
        <v>2114</v>
      </c>
      <c r="P937" s="2" t="s">
        <v>2114</v>
      </c>
      <c r="Q937" s="2" t="s">
        <v>2108</v>
      </c>
      <c r="R937" s="3" t="s">
        <v>24</v>
      </c>
      <c r="S937" s="2" t="s">
        <v>25</v>
      </c>
      <c r="T937" s="2" t="s">
        <v>26</v>
      </c>
    </row>
    <row r="938" spans="1:20" x14ac:dyDescent="0.2">
      <c r="A938" s="2">
        <v>5084</v>
      </c>
      <c r="B938" s="2" t="s">
        <v>581</v>
      </c>
      <c r="C938" s="2" t="s">
        <v>1627</v>
      </c>
      <c r="D938" s="2" t="s">
        <v>110</v>
      </c>
      <c r="E938" s="2" t="s">
        <v>20</v>
      </c>
      <c r="F938" s="2">
        <v>2021</v>
      </c>
      <c r="G938" s="2">
        <v>2023</v>
      </c>
      <c r="H938" s="2">
        <f>'mpi_dataset_summary_2017-2024'!$G938-'mpi_dataset_summary_2017-2024'!$F938+1</f>
        <v>3</v>
      </c>
      <c r="I938" s="2" t="s">
        <v>2111</v>
      </c>
      <c r="J938" s="2" t="s">
        <v>2113</v>
      </c>
      <c r="K938" s="2">
        <f>IF('mpi_dataset_summary_2017-2024'!$G938=2024,1,0)</f>
        <v>0</v>
      </c>
      <c r="L938" s="2">
        <f t="shared" si="28"/>
        <v>0</v>
      </c>
      <c r="M938" s="2">
        <v>12.85</v>
      </c>
      <c r="N938" s="2">
        <f t="shared" si="29"/>
        <v>7.0999999999999994E-2</v>
      </c>
      <c r="O938" s="2" t="s">
        <v>2114</v>
      </c>
      <c r="P938" s="2" t="s">
        <v>2114</v>
      </c>
      <c r="Q938" s="2" t="s">
        <v>2108</v>
      </c>
      <c r="R938" s="3" t="s">
        <v>24</v>
      </c>
      <c r="S938" s="2" t="s">
        <v>25</v>
      </c>
      <c r="T938" s="2" t="s">
        <v>26</v>
      </c>
    </row>
    <row r="939" spans="1:20" x14ac:dyDescent="0.2">
      <c r="A939" s="2">
        <v>5085</v>
      </c>
      <c r="B939" s="2" t="s">
        <v>1628</v>
      </c>
      <c r="C939" s="2" t="s">
        <v>1629</v>
      </c>
      <c r="D939" s="2" t="s">
        <v>110</v>
      </c>
      <c r="E939" s="2" t="s">
        <v>20</v>
      </c>
      <c r="F939" s="2">
        <v>2021</v>
      </c>
      <c r="G939" s="2">
        <v>2022</v>
      </c>
      <c r="H939" s="2">
        <f>'mpi_dataset_summary_2017-2024'!$G939-'mpi_dataset_summary_2017-2024'!$F939+1</f>
        <v>2</v>
      </c>
      <c r="I939" s="2" t="s">
        <v>2111</v>
      </c>
      <c r="J939" s="2" t="s">
        <v>2111</v>
      </c>
      <c r="K939" s="2">
        <f>IF('mpi_dataset_summary_2017-2024'!$G939=2024,1,0)</f>
        <v>0</v>
      </c>
      <c r="L939" s="2">
        <f t="shared" si="28"/>
        <v>0</v>
      </c>
      <c r="M939" s="2">
        <v>0</v>
      </c>
      <c r="N939" s="2">
        <f t="shared" si="29"/>
        <v>0</v>
      </c>
      <c r="O939" s="2" t="s">
        <v>2114</v>
      </c>
      <c r="P939" s="2" t="s">
        <v>2114</v>
      </c>
      <c r="Q939" s="2" t="s">
        <v>2108</v>
      </c>
      <c r="R939" s="3" t="s">
        <v>24</v>
      </c>
      <c r="S939" s="2" t="s">
        <v>25</v>
      </c>
      <c r="T939" s="2" t="s">
        <v>26</v>
      </c>
    </row>
    <row r="940" spans="1:20" x14ac:dyDescent="0.2">
      <c r="A940" s="2">
        <v>5086</v>
      </c>
      <c r="B940" s="2" t="s">
        <v>1630</v>
      </c>
      <c r="C940" s="2" t="s">
        <v>1631</v>
      </c>
      <c r="D940" s="2" t="s">
        <v>110</v>
      </c>
      <c r="E940" s="2" t="s">
        <v>20</v>
      </c>
      <c r="F940" s="2">
        <v>2021</v>
      </c>
      <c r="G940" s="2">
        <v>2024</v>
      </c>
      <c r="H940" s="2">
        <f>'mpi_dataset_summary_2017-2024'!$G940-'mpi_dataset_summary_2017-2024'!$F940+1</f>
        <v>4</v>
      </c>
      <c r="I940" s="2" t="s">
        <v>2111</v>
      </c>
      <c r="J940" s="2" t="s">
        <v>2111</v>
      </c>
      <c r="K940" s="2">
        <f>IF('mpi_dataset_summary_2017-2024'!$G940=2024,1,0)</f>
        <v>1</v>
      </c>
      <c r="L940" s="2">
        <f t="shared" si="28"/>
        <v>0</v>
      </c>
      <c r="M940" s="2">
        <v>256</v>
      </c>
      <c r="N940" s="2">
        <f t="shared" si="29"/>
        <v>0.55100000000000005</v>
      </c>
      <c r="O940" s="2" t="s">
        <v>2114</v>
      </c>
      <c r="P940" s="2" t="s">
        <v>2114</v>
      </c>
      <c r="Q940" s="2" t="s">
        <v>2108</v>
      </c>
      <c r="R940" s="3" t="s">
        <v>24</v>
      </c>
      <c r="S940" s="2" t="s">
        <v>25</v>
      </c>
      <c r="T940" s="2" t="s">
        <v>26</v>
      </c>
    </row>
    <row r="941" spans="1:20" x14ac:dyDescent="0.2">
      <c r="A941" s="2">
        <v>5087</v>
      </c>
      <c r="B941" s="2" t="s">
        <v>1632</v>
      </c>
      <c r="C941" s="2" t="s">
        <v>1633</v>
      </c>
      <c r="D941" s="2" t="s">
        <v>110</v>
      </c>
      <c r="E941" s="2" t="s">
        <v>20</v>
      </c>
      <c r="F941" s="2">
        <v>2021</v>
      </c>
      <c r="G941" s="2">
        <v>2024</v>
      </c>
      <c r="H941" s="2">
        <f>'mpi_dataset_summary_2017-2024'!$G941-'mpi_dataset_summary_2017-2024'!$F941+1</f>
        <v>4</v>
      </c>
      <c r="I941" s="2" t="s">
        <v>2111</v>
      </c>
      <c r="J941" s="2" t="s">
        <v>2110</v>
      </c>
      <c r="K941" s="2">
        <f>IF('mpi_dataset_summary_2017-2024'!$G941=2024,1,0)</f>
        <v>1</v>
      </c>
      <c r="L941" s="2">
        <f t="shared" si="28"/>
        <v>1</v>
      </c>
      <c r="M941" s="2">
        <v>223</v>
      </c>
      <c r="N941" s="2">
        <f t="shared" si="29"/>
        <v>0.52</v>
      </c>
      <c r="O941" s="2" t="s">
        <v>2114</v>
      </c>
      <c r="P941" s="2" t="s">
        <v>2114</v>
      </c>
      <c r="Q941" s="2" t="s">
        <v>2108</v>
      </c>
      <c r="R941" s="3" t="s">
        <v>24</v>
      </c>
      <c r="S941" s="2" t="s">
        <v>25</v>
      </c>
      <c r="T941" s="2" t="s">
        <v>26</v>
      </c>
    </row>
    <row r="942" spans="1:20" x14ac:dyDescent="0.2">
      <c r="A942" s="2">
        <v>5089</v>
      </c>
      <c r="B942" s="2" t="s">
        <v>1634</v>
      </c>
      <c r="C942" s="2" t="s">
        <v>1635</v>
      </c>
      <c r="D942" s="2" t="s">
        <v>110</v>
      </c>
      <c r="E942" s="2" t="s">
        <v>20</v>
      </c>
      <c r="F942" s="2">
        <v>2021</v>
      </c>
      <c r="G942" s="2">
        <v>2024</v>
      </c>
      <c r="H942" s="2">
        <f>'mpi_dataset_summary_2017-2024'!$G942-'mpi_dataset_summary_2017-2024'!$F942+1</f>
        <v>4</v>
      </c>
      <c r="I942" s="2" t="s">
        <v>2110</v>
      </c>
      <c r="J942" s="2" t="s">
        <v>2110</v>
      </c>
      <c r="K942" s="2">
        <f>IF('mpi_dataset_summary_2017-2024'!$G942=2024,1,0)</f>
        <v>1</v>
      </c>
      <c r="L942" s="2">
        <f t="shared" si="28"/>
        <v>1</v>
      </c>
      <c r="M942" s="2">
        <v>140</v>
      </c>
      <c r="N942" s="2">
        <f t="shared" si="29"/>
        <v>0.42599999999999999</v>
      </c>
      <c r="O942" s="2" t="s">
        <v>2114</v>
      </c>
      <c r="P942" s="2" t="s">
        <v>2114</v>
      </c>
      <c r="Q942" s="2" t="s">
        <v>2108</v>
      </c>
      <c r="R942" s="3" t="s">
        <v>39</v>
      </c>
      <c r="S942" s="2" t="s">
        <v>22</v>
      </c>
      <c r="T942" s="2" t="s">
        <v>40</v>
      </c>
    </row>
    <row r="943" spans="1:20" x14ac:dyDescent="0.2">
      <c r="A943" s="2">
        <v>6001</v>
      </c>
      <c r="B943" s="2" t="s">
        <v>1636</v>
      </c>
      <c r="C943" s="2" t="s">
        <v>1637</v>
      </c>
      <c r="D943" s="2" t="s">
        <v>66</v>
      </c>
      <c r="E943" s="2" t="s">
        <v>20</v>
      </c>
      <c r="F943" s="2">
        <v>2022</v>
      </c>
      <c r="G943" s="2">
        <v>2022</v>
      </c>
      <c r="H943" s="2">
        <f>'mpi_dataset_summary_2017-2024'!$G943-'mpi_dataset_summary_2017-2024'!$F943+1</f>
        <v>1</v>
      </c>
      <c r="I943" s="2" t="s">
        <v>2111</v>
      </c>
      <c r="J943" s="2" t="s">
        <v>2111</v>
      </c>
      <c r="K943" s="2">
        <f>IF('mpi_dataset_summary_2017-2024'!$G943=2024,1,0)</f>
        <v>0</v>
      </c>
      <c r="L943" s="2">
        <f t="shared" si="28"/>
        <v>0</v>
      </c>
      <c r="M943" s="2">
        <v>0</v>
      </c>
      <c r="N943" s="2">
        <f t="shared" si="29"/>
        <v>0</v>
      </c>
      <c r="O943" s="2" t="s">
        <v>2114</v>
      </c>
      <c r="P943" s="2" t="s">
        <v>2114</v>
      </c>
      <c r="Q943" s="2" t="s">
        <v>2108</v>
      </c>
      <c r="R943" s="3" t="s">
        <v>47</v>
      </c>
      <c r="S943" s="2" t="s">
        <v>25</v>
      </c>
      <c r="T943" s="2" t="s">
        <v>48</v>
      </c>
    </row>
    <row r="944" spans="1:20" x14ac:dyDescent="0.2">
      <c r="A944" s="2">
        <v>6002</v>
      </c>
      <c r="B944" s="2" t="s">
        <v>1638</v>
      </c>
      <c r="C944" s="2" t="s">
        <v>1639</v>
      </c>
      <c r="D944" s="2" t="s">
        <v>66</v>
      </c>
      <c r="E944" s="2" t="s">
        <v>20</v>
      </c>
      <c r="F944" s="2">
        <v>2022</v>
      </c>
      <c r="G944" s="2">
        <v>2024</v>
      </c>
      <c r="H944" s="2">
        <f>'mpi_dataset_summary_2017-2024'!$G944-'mpi_dataset_summary_2017-2024'!$F944+1</f>
        <v>3</v>
      </c>
      <c r="I944" s="2" t="s">
        <v>2113</v>
      </c>
      <c r="J944" s="2" t="s">
        <v>2113</v>
      </c>
      <c r="K944" s="2">
        <f>IF('mpi_dataset_summary_2017-2024'!$G944=2024,1,0)</f>
        <v>1</v>
      </c>
      <c r="L944" s="2">
        <f t="shared" si="28"/>
        <v>0</v>
      </c>
      <c r="M944" s="2">
        <v>25</v>
      </c>
      <c r="N944" s="2">
        <f t="shared" si="29"/>
        <v>0.125</v>
      </c>
      <c r="O944" s="2">
        <v>50.631059999999998</v>
      </c>
      <c r="P944" s="2">
        <v>-113.87501</v>
      </c>
      <c r="Q944" s="2" t="s">
        <v>2108</v>
      </c>
      <c r="R944" s="3" t="s">
        <v>27</v>
      </c>
      <c r="S944" s="2" t="s">
        <v>25</v>
      </c>
      <c r="T944" s="2" t="s">
        <v>28</v>
      </c>
    </row>
    <row r="945" spans="1:20" x14ac:dyDescent="0.2">
      <c r="A945" s="2">
        <v>6003</v>
      </c>
      <c r="B945" s="2" t="s">
        <v>1640</v>
      </c>
      <c r="C945" s="2" t="s">
        <v>1641</v>
      </c>
      <c r="D945" s="2" t="s">
        <v>66</v>
      </c>
      <c r="E945" s="2" t="s">
        <v>20</v>
      </c>
      <c r="F945" s="2">
        <v>2022</v>
      </c>
      <c r="G945" s="2">
        <v>2022</v>
      </c>
      <c r="H945" s="2">
        <f>'mpi_dataset_summary_2017-2024'!$G945-'mpi_dataset_summary_2017-2024'!$F945+1</f>
        <v>1</v>
      </c>
      <c r="I945" s="2" t="s">
        <v>2111</v>
      </c>
      <c r="J945" s="2" t="s">
        <v>2111</v>
      </c>
      <c r="K945" s="2">
        <f>IF('mpi_dataset_summary_2017-2024'!$G945=2024,1,0)</f>
        <v>0</v>
      </c>
      <c r="L945" s="2">
        <f t="shared" si="28"/>
        <v>0</v>
      </c>
      <c r="M945" s="2">
        <v>0</v>
      </c>
      <c r="N945" s="2">
        <f t="shared" si="29"/>
        <v>0</v>
      </c>
      <c r="O945" s="2" t="s">
        <v>2114</v>
      </c>
      <c r="P945" s="2" t="s">
        <v>2114</v>
      </c>
      <c r="Q945" s="2" t="s">
        <v>2108</v>
      </c>
      <c r="R945" s="3" t="s">
        <v>47</v>
      </c>
      <c r="S945" s="2" t="s">
        <v>25</v>
      </c>
      <c r="T945" s="2" t="s">
        <v>48</v>
      </c>
    </row>
    <row r="946" spans="1:20" x14ac:dyDescent="0.2">
      <c r="A946" s="2">
        <v>6004</v>
      </c>
      <c r="B946" s="2" t="s">
        <v>1642</v>
      </c>
      <c r="C946" s="2" t="s">
        <v>1643</v>
      </c>
      <c r="D946" s="2" t="s">
        <v>66</v>
      </c>
      <c r="E946" s="2" t="s">
        <v>43</v>
      </c>
      <c r="F946" s="2">
        <v>2022</v>
      </c>
      <c r="G946" s="2">
        <v>2022</v>
      </c>
      <c r="H946" s="2">
        <f>'mpi_dataset_summary_2017-2024'!$G946-'mpi_dataset_summary_2017-2024'!$F946+1</f>
        <v>1</v>
      </c>
      <c r="I946" s="2" t="s">
        <v>2111</v>
      </c>
      <c r="J946" s="2" t="s">
        <v>2111</v>
      </c>
      <c r="K946" s="2">
        <f>IF('mpi_dataset_summary_2017-2024'!$G946=2024,1,0)</f>
        <v>0</v>
      </c>
      <c r="L946" s="2">
        <f t="shared" si="28"/>
        <v>0</v>
      </c>
      <c r="M946" s="2">
        <v>33.700000000000003</v>
      </c>
      <c r="N946" s="2">
        <f t="shared" si="29"/>
        <v>0.156</v>
      </c>
      <c r="O946" s="2">
        <v>53.658541999999997</v>
      </c>
      <c r="P946" s="2">
        <v>-113.67594099999999</v>
      </c>
      <c r="Q946" s="2" t="s">
        <v>2108</v>
      </c>
      <c r="R946" s="3" t="s">
        <v>24</v>
      </c>
      <c r="S946" s="2" t="s">
        <v>25</v>
      </c>
      <c r="T946" s="2" t="s">
        <v>26</v>
      </c>
    </row>
    <row r="947" spans="1:20" x14ac:dyDescent="0.2">
      <c r="A947" s="2">
        <v>6005</v>
      </c>
      <c r="B947" s="2" t="s">
        <v>1644</v>
      </c>
      <c r="C947" s="2" t="s">
        <v>1645</v>
      </c>
      <c r="D947" s="2" t="s">
        <v>83</v>
      </c>
      <c r="E947" s="2" t="s">
        <v>20</v>
      </c>
      <c r="F947" s="2">
        <v>2022</v>
      </c>
      <c r="G947" s="2">
        <v>2022</v>
      </c>
      <c r="H947" s="2">
        <f>'mpi_dataset_summary_2017-2024'!$G947-'mpi_dataset_summary_2017-2024'!$F947+1</f>
        <v>1</v>
      </c>
      <c r="I947" s="2" t="s">
        <v>2113</v>
      </c>
      <c r="J947" s="2" t="s">
        <v>2113</v>
      </c>
      <c r="K947" s="2">
        <f>IF('mpi_dataset_summary_2017-2024'!$G947=2024,1,0)</f>
        <v>0</v>
      </c>
      <c r="L947" s="2">
        <f t="shared" si="28"/>
        <v>0</v>
      </c>
      <c r="M947" s="2">
        <v>822</v>
      </c>
      <c r="N947" s="2">
        <f t="shared" si="29"/>
        <v>0.78400000000000003</v>
      </c>
      <c r="O947" s="2" t="s">
        <v>2114</v>
      </c>
      <c r="P947" s="2" t="s">
        <v>2114</v>
      </c>
      <c r="Q947" s="2" t="s">
        <v>2108</v>
      </c>
      <c r="R947" s="3" t="s">
        <v>39</v>
      </c>
      <c r="S947" s="2" t="s">
        <v>22</v>
      </c>
      <c r="T947" s="2" t="s">
        <v>40</v>
      </c>
    </row>
    <row r="948" spans="1:20" x14ac:dyDescent="0.2">
      <c r="A948" s="2">
        <v>6006</v>
      </c>
      <c r="B948" s="2" t="s">
        <v>1646</v>
      </c>
      <c r="C948" s="2" t="s">
        <v>1364</v>
      </c>
      <c r="D948" s="2" t="s">
        <v>89</v>
      </c>
      <c r="E948" s="2" t="s">
        <v>20</v>
      </c>
      <c r="F948" s="2">
        <v>2022</v>
      </c>
      <c r="G948" s="2">
        <v>2024</v>
      </c>
      <c r="H948" s="2">
        <f>'mpi_dataset_summary_2017-2024'!$G948-'mpi_dataset_summary_2017-2024'!$F948+1</f>
        <v>3</v>
      </c>
      <c r="I948" s="2" t="s">
        <v>2111</v>
      </c>
      <c r="J948" s="2" t="s">
        <v>2110</v>
      </c>
      <c r="K948" s="2">
        <f>IF('mpi_dataset_summary_2017-2024'!$G948=2024,1,0)</f>
        <v>1</v>
      </c>
      <c r="L948" s="2">
        <f t="shared" si="28"/>
        <v>1</v>
      </c>
      <c r="M948" s="2">
        <v>1200</v>
      </c>
      <c r="N948" s="2">
        <f t="shared" si="29"/>
        <v>0.82899999999999996</v>
      </c>
      <c r="O948" s="2" t="s">
        <v>2114</v>
      </c>
      <c r="P948" s="2" t="s">
        <v>2114</v>
      </c>
      <c r="Q948" s="2" t="s">
        <v>2109</v>
      </c>
      <c r="R948" s="3" t="s">
        <v>41</v>
      </c>
      <c r="S948" s="2" t="s">
        <v>25</v>
      </c>
      <c r="T948" s="2" t="s">
        <v>57</v>
      </c>
    </row>
    <row r="949" spans="1:20" x14ac:dyDescent="0.2">
      <c r="A949" s="2">
        <v>6008</v>
      </c>
      <c r="B949" s="2" t="s">
        <v>1647</v>
      </c>
      <c r="C949" s="2" t="s">
        <v>1648</v>
      </c>
      <c r="D949" s="2" t="s">
        <v>161</v>
      </c>
      <c r="E949" s="2" t="s">
        <v>20</v>
      </c>
      <c r="F949" s="2">
        <v>2022</v>
      </c>
      <c r="G949" s="2">
        <v>2023</v>
      </c>
      <c r="H949" s="2">
        <f>'mpi_dataset_summary_2017-2024'!$G949-'mpi_dataset_summary_2017-2024'!$F949+1</f>
        <v>2</v>
      </c>
      <c r="I949" s="2" t="s">
        <v>2111</v>
      </c>
      <c r="J949" s="2" t="s">
        <v>2111</v>
      </c>
      <c r="K949" s="2">
        <f>IF('mpi_dataset_summary_2017-2024'!$G949=2024,1,0)</f>
        <v>0</v>
      </c>
      <c r="L949" s="2">
        <f t="shared" si="28"/>
        <v>0</v>
      </c>
      <c r="M949" s="2">
        <v>451.12700000000001</v>
      </c>
      <c r="N949" s="2">
        <f t="shared" si="29"/>
        <v>0.66200000000000003</v>
      </c>
      <c r="O949" s="2">
        <v>48.535378000000001</v>
      </c>
      <c r="P949" s="2">
        <v>-80.340534000000005</v>
      </c>
      <c r="Q949" s="2" t="s">
        <v>2107</v>
      </c>
      <c r="R949" s="3" t="s">
        <v>41</v>
      </c>
      <c r="S949" s="2" t="s">
        <v>22</v>
      </c>
      <c r="T949" s="2" t="s">
        <v>42</v>
      </c>
    </row>
    <row r="950" spans="1:20" x14ac:dyDescent="0.2">
      <c r="A950" s="2">
        <v>6009</v>
      </c>
      <c r="B950" s="2" t="s">
        <v>1647</v>
      </c>
      <c r="C950" s="2" t="s">
        <v>1649</v>
      </c>
      <c r="D950" s="2" t="s">
        <v>161</v>
      </c>
      <c r="E950" s="2" t="s">
        <v>20</v>
      </c>
      <c r="F950" s="2">
        <v>2022</v>
      </c>
      <c r="G950" s="2">
        <v>2024</v>
      </c>
      <c r="H950" s="2">
        <f>'mpi_dataset_summary_2017-2024'!$G950-'mpi_dataset_summary_2017-2024'!$F950+1</f>
        <v>3</v>
      </c>
      <c r="I950" s="2" t="s">
        <v>2111</v>
      </c>
      <c r="J950" s="2" t="s">
        <v>2110</v>
      </c>
      <c r="K950" s="2">
        <f>IF('mpi_dataset_summary_2017-2024'!$G950=2024,1,0)</f>
        <v>1</v>
      </c>
      <c r="L950" s="2">
        <f t="shared" si="28"/>
        <v>1</v>
      </c>
      <c r="M950" s="2">
        <v>451.12700000000001</v>
      </c>
      <c r="N950" s="2">
        <f t="shared" si="29"/>
        <v>0.66200000000000003</v>
      </c>
      <c r="O950" s="2">
        <v>48.535378000000001</v>
      </c>
      <c r="P950" s="2">
        <v>-80.340534000000005</v>
      </c>
      <c r="Q950" s="2" t="s">
        <v>2107</v>
      </c>
      <c r="R950" s="3" t="s">
        <v>41</v>
      </c>
      <c r="S950" s="2" t="s">
        <v>22</v>
      </c>
      <c r="T950" s="2" t="s">
        <v>42</v>
      </c>
    </row>
    <row r="951" spans="1:20" x14ac:dyDescent="0.2">
      <c r="A951" s="2">
        <v>6012</v>
      </c>
      <c r="B951" s="2" t="s">
        <v>1487</v>
      </c>
      <c r="C951" s="2" t="s">
        <v>1650</v>
      </c>
      <c r="D951" s="2" t="s">
        <v>66</v>
      </c>
      <c r="E951" s="2" t="s">
        <v>20</v>
      </c>
      <c r="F951" s="2">
        <v>2022</v>
      </c>
      <c r="G951" s="2">
        <v>2022</v>
      </c>
      <c r="H951" s="2">
        <f>'mpi_dataset_summary_2017-2024'!$G951-'mpi_dataset_summary_2017-2024'!$F951+1</f>
        <v>1</v>
      </c>
      <c r="I951" s="2" t="s">
        <v>2111</v>
      </c>
      <c r="J951" s="2" t="s">
        <v>2111</v>
      </c>
      <c r="K951" s="2">
        <f>IF('mpi_dataset_summary_2017-2024'!$G951=2024,1,0)</f>
        <v>0</v>
      </c>
      <c r="L951" s="2">
        <f t="shared" si="28"/>
        <v>0</v>
      </c>
      <c r="M951" s="2">
        <v>40.299999999999997</v>
      </c>
      <c r="N951" s="2">
        <f t="shared" si="29"/>
        <v>0.184</v>
      </c>
      <c r="O951" s="2">
        <v>50.217984000000001</v>
      </c>
      <c r="P951" s="2">
        <v>-110.425494</v>
      </c>
      <c r="Q951" s="2" t="s">
        <v>2108</v>
      </c>
      <c r="R951" s="3" t="s">
        <v>49</v>
      </c>
      <c r="S951" s="2" t="s">
        <v>25</v>
      </c>
      <c r="T951" s="2" t="s">
        <v>50</v>
      </c>
    </row>
    <row r="952" spans="1:20" x14ac:dyDescent="0.2">
      <c r="A952" s="2">
        <v>6013</v>
      </c>
      <c r="B952" s="2" t="s">
        <v>170</v>
      </c>
      <c r="C952" s="2" t="s">
        <v>1651</v>
      </c>
      <c r="D952" s="2" t="s">
        <v>161</v>
      </c>
      <c r="E952" s="2" t="s">
        <v>20</v>
      </c>
      <c r="F952" s="2">
        <v>2022</v>
      </c>
      <c r="G952" s="2">
        <v>2023</v>
      </c>
      <c r="H952" s="2">
        <f>'mpi_dataset_summary_2017-2024'!$G952-'mpi_dataset_summary_2017-2024'!$F952+1</f>
        <v>2</v>
      </c>
      <c r="I952" s="2" t="s">
        <v>2110</v>
      </c>
      <c r="J952" s="2" t="s">
        <v>2110</v>
      </c>
      <c r="K952" s="2">
        <f>IF('mpi_dataset_summary_2017-2024'!$G952=2024,1,0)</f>
        <v>0</v>
      </c>
      <c r="L952" s="2">
        <f t="shared" si="28"/>
        <v>1</v>
      </c>
      <c r="M952" s="2">
        <v>130</v>
      </c>
      <c r="N952" s="2">
        <f t="shared" si="29"/>
        <v>0.41199999999999998</v>
      </c>
      <c r="O952" s="2">
        <v>43.64819</v>
      </c>
      <c r="P952" s="2">
        <v>-79.354920000000007</v>
      </c>
      <c r="Q952" s="2" t="s">
        <v>2108</v>
      </c>
      <c r="R952" s="3" t="s">
        <v>35</v>
      </c>
      <c r="S952" s="2" t="s">
        <v>22</v>
      </c>
      <c r="T952" s="2" t="s">
        <v>36</v>
      </c>
    </row>
    <row r="953" spans="1:20" x14ac:dyDescent="0.2">
      <c r="A953" s="2">
        <v>6014</v>
      </c>
      <c r="B953" s="2" t="s">
        <v>121</v>
      </c>
      <c r="C953" s="2" t="s">
        <v>1652</v>
      </c>
      <c r="D953" s="2" t="s">
        <v>66</v>
      </c>
      <c r="E953" s="2" t="s">
        <v>20</v>
      </c>
      <c r="F953" s="2">
        <v>2022</v>
      </c>
      <c r="G953" s="2">
        <v>2022</v>
      </c>
      <c r="H953" s="2">
        <f>'mpi_dataset_summary_2017-2024'!$G953-'mpi_dataset_summary_2017-2024'!$F953+1</f>
        <v>1</v>
      </c>
      <c r="I953" s="2" t="s">
        <v>2111</v>
      </c>
      <c r="J953" s="2" t="s">
        <v>2111</v>
      </c>
      <c r="K953" s="2">
        <f>IF('mpi_dataset_summary_2017-2024'!$G953=2024,1,0)</f>
        <v>0</v>
      </c>
      <c r="L953" s="2">
        <f t="shared" si="28"/>
        <v>0</v>
      </c>
      <c r="M953" s="2">
        <v>99.7</v>
      </c>
      <c r="N953" s="2">
        <f t="shared" si="29"/>
        <v>0.34200000000000003</v>
      </c>
      <c r="O953" s="2">
        <v>57.326362000000003</v>
      </c>
      <c r="P953" s="2">
        <v>-111.81829</v>
      </c>
      <c r="Q953" s="2" t="s">
        <v>2108</v>
      </c>
      <c r="R953" s="3" t="s">
        <v>39</v>
      </c>
      <c r="S953" s="2" t="s">
        <v>22</v>
      </c>
      <c r="T953" s="2" t="s">
        <v>40</v>
      </c>
    </row>
    <row r="954" spans="1:20" x14ac:dyDescent="0.2">
      <c r="A954" s="2">
        <v>6016</v>
      </c>
      <c r="B954" s="2" t="s">
        <v>1653</v>
      </c>
      <c r="C954" s="2" t="s">
        <v>1654</v>
      </c>
      <c r="D954" s="2" t="s">
        <v>66</v>
      </c>
      <c r="E954" s="2" t="s">
        <v>20</v>
      </c>
      <c r="F954" s="2">
        <v>2022</v>
      </c>
      <c r="G954" s="2">
        <v>2024</v>
      </c>
      <c r="H954" s="2">
        <f>'mpi_dataset_summary_2017-2024'!$G954-'mpi_dataset_summary_2017-2024'!$F954+1</f>
        <v>3</v>
      </c>
      <c r="I954" s="2" t="s">
        <v>2111</v>
      </c>
      <c r="J954" s="2" t="s">
        <v>2113</v>
      </c>
      <c r="K954" s="2">
        <f>IF('mpi_dataset_summary_2017-2024'!$G954=2024,1,0)</f>
        <v>1</v>
      </c>
      <c r="L954" s="2">
        <f t="shared" si="28"/>
        <v>0</v>
      </c>
      <c r="M954" s="2">
        <v>43</v>
      </c>
      <c r="N954" s="2">
        <f t="shared" si="29"/>
        <v>0.189</v>
      </c>
      <c r="O954" s="2">
        <v>53.247146000000001</v>
      </c>
      <c r="P954" s="2">
        <v>-113.82517199999999</v>
      </c>
      <c r="Q954" s="2" t="s">
        <v>2108</v>
      </c>
      <c r="R954" s="3" t="s">
        <v>24</v>
      </c>
      <c r="S954" s="2" t="s">
        <v>25</v>
      </c>
      <c r="T954" s="2" t="s">
        <v>26</v>
      </c>
    </row>
    <row r="955" spans="1:20" x14ac:dyDescent="0.2">
      <c r="A955" s="2">
        <v>6017</v>
      </c>
      <c r="B955" s="2" t="s">
        <v>727</v>
      </c>
      <c r="C955" s="2" t="s">
        <v>1655</v>
      </c>
      <c r="D955" s="2" t="s">
        <v>66</v>
      </c>
      <c r="E955" s="2" t="s">
        <v>20</v>
      </c>
      <c r="F955" s="2">
        <v>2022</v>
      </c>
      <c r="G955" s="2">
        <v>2024</v>
      </c>
      <c r="H955" s="2">
        <f>'mpi_dataset_summary_2017-2024'!$G955-'mpi_dataset_summary_2017-2024'!$F955+1</f>
        <v>3</v>
      </c>
      <c r="I955" s="2" t="s">
        <v>2111</v>
      </c>
      <c r="J955" s="2" t="s">
        <v>2110</v>
      </c>
      <c r="K955" s="2">
        <f>IF('mpi_dataset_summary_2017-2024'!$G955=2024,1,0)</f>
        <v>1</v>
      </c>
      <c r="L955" s="2">
        <f t="shared" si="28"/>
        <v>1</v>
      </c>
      <c r="M955" s="2">
        <v>50</v>
      </c>
      <c r="N955" s="2">
        <f t="shared" si="29"/>
        <v>0.214</v>
      </c>
      <c r="O955" s="2">
        <v>50.939475999999999</v>
      </c>
      <c r="P955" s="2">
        <v>-113.96522400000001</v>
      </c>
      <c r="Q955" s="2" t="s">
        <v>2108</v>
      </c>
      <c r="R955" s="3" t="s">
        <v>24</v>
      </c>
      <c r="S955" s="2" t="s">
        <v>25</v>
      </c>
      <c r="T955" s="2" t="s">
        <v>26</v>
      </c>
    </row>
    <row r="956" spans="1:20" x14ac:dyDescent="0.2">
      <c r="A956" s="2">
        <v>6018</v>
      </c>
      <c r="B956" s="2" t="s">
        <v>1446</v>
      </c>
      <c r="C956" s="2" t="s">
        <v>1656</v>
      </c>
      <c r="D956" s="2" t="s">
        <v>69</v>
      </c>
      <c r="E956" s="2" t="s">
        <v>20</v>
      </c>
      <c r="F956" s="2">
        <v>2022</v>
      </c>
      <c r="G956" s="2">
        <v>2024</v>
      </c>
      <c r="H956" s="2">
        <f>'mpi_dataset_summary_2017-2024'!$G956-'mpi_dataset_summary_2017-2024'!$F956+1</f>
        <v>3</v>
      </c>
      <c r="I956" s="2" t="s">
        <v>2111</v>
      </c>
      <c r="J956" s="2" t="s">
        <v>2111</v>
      </c>
      <c r="K956" s="2">
        <f>IF('mpi_dataset_summary_2017-2024'!$G956=2024,1,0)</f>
        <v>1</v>
      </c>
      <c r="L956" s="2">
        <f t="shared" si="28"/>
        <v>0</v>
      </c>
      <c r="M956" s="2">
        <v>350</v>
      </c>
      <c r="N956" s="2">
        <f t="shared" si="29"/>
        <v>0.60299999999999998</v>
      </c>
      <c r="O956" s="2" t="s">
        <v>2114</v>
      </c>
      <c r="P956" s="2" t="s">
        <v>2114</v>
      </c>
      <c r="Q956" s="2" t="s">
        <v>2108</v>
      </c>
      <c r="R956" s="3" t="s">
        <v>35</v>
      </c>
      <c r="S956" s="2" t="s">
        <v>22</v>
      </c>
      <c r="T956" s="2" t="s">
        <v>36</v>
      </c>
    </row>
    <row r="957" spans="1:20" x14ac:dyDescent="0.2">
      <c r="A957" s="2">
        <v>6019</v>
      </c>
      <c r="B957" s="2" t="s">
        <v>1657</v>
      </c>
      <c r="C957" s="2" t="s">
        <v>1658</v>
      </c>
      <c r="D957" s="2" t="s">
        <v>69</v>
      </c>
      <c r="E957" s="2" t="s">
        <v>20</v>
      </c>
      <c r="F957" s="2">
        <v>2022</v>
      </c>
      <c r="G957" s="2">
        <v>2024</v>
      </c>
      <c r="H957" s="2">
        <f>'mpi_dataset_summary_2017-2024'!$G957-'mpi_dataset_summary_2017-2024'!$F957+1</f>
        <v>3</v>
      </c>
      <c r="I957" s="2" t="s">
        <v>2111</v>
      </c>
      <c r="J957" s="2" t="s">
        <v>2112</v>
      </c>
      <c r="K957" s="2">
        <f>IF('mpi_dataset_summary_2017-2024'!$G957=2024,1,0)</f>
        <v>1</v>
      </c>
      <c r="L957" s="2">
        <f t="shared" si="28"/>
        <v>0</v>
      </c>
      <c r="M957" s="2">
        <v>713</v>
      </c>
      <c r="N957" s="2">
        <f t="shared" si="29"/>
        <v>0.75</v>
      </c>
      <c r="O957" s="2" t="s">
        <v>2114</v>
      </c>
      <c r="P957" s="2" t="s">
        <v>2114</v>
      </c>
      <c r="Q957" s="2" t="s">
        <v>2107</v>
      </c>
      <c r="R957" s="3" t="s">
        <v>29</v>
      </c>
      <c r="S957" s="2" t="s">
        <v>22</v>
      </c>
      <c r="T957" s="2" t="s">
        <v>30</v>
      </c>
    </row>
    <row r="958" spans="1:20" x14ac:dyDescent="0.2">
      <c r="A958" s="2">
        <v>6020</v>
      </c>
      <c r="B958" s="2" t="s">
        <v>566</v>
      </c>
      <c r="C958" s="2" t="s">
        <v>1659</v>
      </c>
      <c r="D958" s="2" t="s">
        <v>69</v>
      </c>
      <c r="E958" s="2" t="s">
        <v>20</v>
      </c>
      <c r="F958" s="2">
        <v>2022</v>
      </c>
      <c r="G958" s="2">
        <v>2022</v>
      </c>
      <c r="H958" s="2">
        <f>'mpi_dataset_summary_2017-2024'!$G958-'mpi_dataset_summary_2017-2024'!$F958+1</f>
        <v>1</v>
      </c>
      <c r="I958" s="2" t="s">
        <v>2110</v>
      </c>
      <c r="J958" s="2" t="s">
        <v>2110</v>
      </c>
      <c r="K958" s="2">
        <f>IF('mpi_dataset_summary_2017-2024'!$G958=2024,1,0)</f>
        <v>0</v>
      </c>
      <c r="L958" s="2">
        <f t="shared" si="28"/>
        <v>1</v>
      </c>
      <c r="M958" s="2">
        <v>1.3</v>
      </c>
      <c r="N958" s="2">
        <f t="shared" si="29"/>
        <v>6.5000000000000002E-2</v>
      </c>
      <c r="O958" s="2">
        <v>49.082000000000001</v>
      </c>
      <c r="P958" s="2">
        <v>-116.08499999999999</v>
      </c>
      <c r="Q958" s="2" t="s">
        <v>2108</v>
      </c>
      <c r="R958" s="3" t="s">
        <v>24</v>
      </c>
      <c r="S958" s="2" t="s">
        <v>25</v>
      </c>
      <c r="T958" s="2" t="s">
        <v>26</v>
      </c>
    </row>
    <row r="959" spans="1:20" x14ac:dyDescent="0.2">
      <c r="A959" s="2">
        <v>6021</v>
      </c>
      <c r="B959" s="2" t="s">
        <v>566</v>
      </c>
      <c r="C959" s="2" t="s">
        <v>1660</v>
      </c>
      <c r="D959" s="2" t="s">
        <v>69</v>
      </c>
      <c r="E959" s="2" t="s">
        <v>20</v>
      </c>
      <c r="F959" s="2">
        <v>2022</v>
      </c>
      <c r="G959" s="2">
        <v>2023</v>
      </c>
      <c r="H959" s="2">
        <f>'mpi_dataset_summary_2017-2024'!$G959-'mpi_dataset_summary_2017-2024'!$F959+1</f>
        <v>2</v>
      </c>
      <c r="I959" s="2" t="s">
        <v>2112</v>
      </c>
      <c r="J959" s="2" t="s">
        <v>2110</v>
      </c>
      <c r="K959" s="2">
        <f>IF('mpi_dataset_summary_2017-2024'!$G959=2024,1,0)</f>
        <v>0</v>
      </c>
      <c r="L959" s="2">
        <f t="shared" si="28"/>
        <v>1</v>
      </c>
      <c r="M959" s="2">
        <v>402</v>
      </c>
      <c r="N959" s="2">
        <f t="shared" si="29"/>
        <v>0.64500000000000002</v>
      </c>
      <c r="O959" s="2">
        <v>49.420999999999999</v>
      </c>
      <c r="P959" s="2">
        <v>-114.839</v>
      </c>
      <c r="Q959" s="2" t="s">
        <v>2108</v>
      </c>
      <c r="R959" s="3" t="s">
        <v>24</v>
      </c>
      <c r="S959" s="2" t="s">
        <v>25</v>
      </c>
      <c r="T959" s="2" t="s">
        <v>26</v>
      </c>
    </row>
    <row r="960" spans="1:20" x14ac:dyDescent="0.2">
      <c r="A960" s="2">
        <v>6022</v>
      </c>
      <c r="B960" s="2" t="s">
        <v>899</v>
      </c>
      <c r="C960" s="2" t="s">
        <v>1661</v>
      </c>
      <c r="D960" s="2" t="s">
        <v>126</v>
      </c>
      <c r="E960" s="2" t="s">
        <v>20</v>
      </c>
      <c r="F960" s="2">
        <v>2022</v>
      </c>
      <c r="G960" s="2">
        <v>2024</v>
      </c>
      <c r="H960" s="2">
        <f>'mpi_dataset_summary_2017-2024'!$G960-'mpi_dataset_summary_2017-2024'!$F960+1</f>
        <v>3</v>
      </c>
      <c r="I960" s="2" t="s">
        <v>2111</v>
      </c>
      <c r="J960" s="2" t="s">
        <v>2111</v>
      </c>
      <c r="K960" s="2">
        <f>IF('mpi_dataset_summary_2017-2024'!$G960=2024,1,0)</f>
        <v>1</v>
      </c>
      <c r="L960" s="2">
        <f t="shared" si="28"/>
        <v>0</v>
      </c>
      <c r="M960" s="2">
        <v>60</v>
      </c>
      <c r="N960" s="2">
        <f t="shared" si="29"/>
        <v>0.254</v>
      </c>
      <c r="O960" s="2">
        <v>60.977457999999999</v>
      </c>
      <c r="P960" s="2">
        <v>-117.22139300000001</v>
      </c>
      <c r="Q960" s="2" t="s">
        <v>2108</v>
      </c>
      <c r="R960" s="3" t="s">
        <v>35</v>
      </c>
      <c r="S960" s="2" t="s">
        <v>22</v>
      </c>
      <c r="T960" s="2" t="s">
        <v>36</v>
      </c>
    </row>
    <row r="961" spans="1:20" x14ac:dyDescent="0.2">
      <c r="A961" s="2">
        <v>6023</v>
      </c>
      <c r="B961" s="2" t="s">
        <v>1662</v>
      </c>
      <c r="C961" s="2" t="s">
        <v>1663</v>
      </c>
      <c r="D961" s="2" t="s">
        <v>161</v>
      </c>
      <c r="E961" s="2" t="s">
        <v>20</v>
      </c>
      <c r="F961" s="2">
        <v>2024</v>
      </c>
      <c r="G961" s="2">
        <v>2024</v>
      </c>
      <c r="H961" s="2">
        <f>'mpi_dataset_summary_2017-2024'!$G961-'mpi_dataset_summary_2017-2024'!$F961+1</f>
        <v>1</v>
      </c>
      <c r="I961" s="2" t="s">
        <v>2111</v>
      </c>
      <c r="J961" s="2" t="s">
        <v>2111</v>
      </c>
      <c r="K961" s="2">
        <f>IF('mpi_dataset_summary_2017-2024'!$G961=2024,1,0)</f>
        <v>1</v>
      </c>
      <c r="L961" s="2">
        <f t="shared" si="28"/>
        <v>0</v>
      </c>
      <c r="M961" s="2">
        <v>517</v>
      </c>
      <c r="N961" s="2">
        <f t="shared" si="29"/>
        <v>0.69399999999999995</v>
      </c>
      <c r="O961" s="2">
        <v>48.493966999999998</v>
      </c>
      <c r="P961" s="2">
        <v>-79.987549999999999</v>
      </c>
      <c r="Q961" s="2" t="s">
        <v>2107</v>
      </c>
      <c r="R961" s="3" t="s">
        <v>29</v>
      </c>
      <c r="S961" s="2" t="s">
        <v>22</v>
      </c>
      <c r="T961" s="2" t="s">
        <v>30</v>
      </c>
    </row>
    <row r="962" spans="1:20" x14ac:dyDescent="0.2">
      <c r="A962" s="2">
        <v>6024</v>
      </c>
      <c r="B962" s="2" t="s">
        <v>1664</v>
      </c>
      <c r="C962" s="2" t="s">
        <v>1665</v>
      </c>
      <c r="D962" s="2" t="s">
        <v>110</v>
      </c>
      <c r="E962" s="2" t="s">
        <v>20</v>
      </c>
      <c r="F962" s="2">
        <v>2022</v>
      </c>
      <c r="G962" s="2">
        <v>2022</v>
      </c>
      <c r="H962" s="2">
        <f>'mpi_dataset_summary_2017-2024'!$G962-'mpi_dataset_summary_2017-2024'!$F962+1</f>
        <v>1</v>
      </c>
      <c r="I962" s="2" t="s">
        <v>2111</v>
      </c>
      <c r="J962" s="2" t="s">
        <v>2111</v>
      </c>
      <c r="K962" s="2">
        <f>IF('mpi_dataset_summary_2017-2024'!$G962=2024,1,0)</f>
        <v>0</v>
      </c>
      <c r="L962" s="2">
        <f t="shared" ref="L962:L1025" si="30">IF(J962="Under Construction",1,0)</f>
        <v>0</v>
      </c>
      <c r="M962" s="2">
        <v>0</v>
      </c>
      <c r="N962" s="2">
        <f t="shared" ref="N962:N1025" si="31">_xlfn.PERCENTRANK.INC($M$2:$M$4056,M962)</f>
        <v>0</v>
      </c>
      <c r="O962" s="2" t="s">
        <v>2114</v>
      </c>
      <c r="P962" s="2" t="s">
        <v>2114</v>
      </c>
      <c r="Q962" s="2" t="s">
        <v>2108</v>
      </c>
      <c r="R962" s="3" t="s">
        <v>41</v>
      </c>
      <c r="S962" s="2" t="s">
        <v>25</v>
      </c>
      <c r="T962" s="2" t="s">
        <v>45</v>
      </c>
    </row>
    <row r="963" spans="1:20" x14ac:dyDescent="0.2">
      <c r="A963" s="2">
        <v>6025</v>
      </c>
      <c r="B963" s="2" t="s">
        <v>1666</v>
      </c>
      <c r="C963" s="2" t="s">
        <v>1667</v>
      </c>
      <c r="D963" s="2" t="s">
        <v>161</v>
      </c>
      <c r="E963" s="2" t="s">
        <v>20</v>
      </c>
      <c r="F963" s="2">
        <v>2023</v>
      </c>
      <c r="G963" s="2">
        <v>2024</v>
      </c>
      <c r="H963" s="2">
        <f>'mpi_dataset_summary_2017-2024'!$G963-'mpi_dataset_summary_2017-2024'!$F963+1</f>
        <v>2</v>
      </c>
      <c r="I963" s="2" t="s">
        <v>2111</v>
      </c>
      <c r="J963" s="2" t="s">
        <v>2111</v>
      </c>
      <c r="K963" s="2">
        <f>IF('mpi_dataset_summary_2017-2024'!$G963=2024,1,0)</f>
        <v>1</v>
      </c>
      <c r="L963" s="2">
        <f t="shared" si="30"/>
        <v>0</v>
      </c>
      <c r="M963" s="2">
        <v>255.88</v>
      </c>
      <c r="N963" s="2">
        <f t="shared" si="31"/>
        <v>0.55100000000000005</v>
      </c>
      <c r="O963" s="2">
        <v>49.445411</v>
      </c>
      <c r="P963" s="2">
        <v>-88.039681000000002</v>
      </c>
      <c r="Q963" s="2" t="s">
        <v>2107</v>
      </c>
      <c r="R963" s="3" t="s">
        <v>33</v>
      </c>
      <c r="S963" s="2" t="s">
        <v>25</v>
      </c>
      <c r="T963" s="2" t="s">
        <v>34</v>
      </c>
    </row>
    <row r="964" spans="1:20" x14ac:dyDescent="0.2">
      <c r="A964" s="2">
        <v>6026</v>
      </c>
      <c r="B964" s="2" t="s">
        <v>1311</v>
      </c>
      <c r="C964" s="2" t="s">
        <v>1668</v>
      </c>
      <c r="D964" s="2" t="s">
        <v>66</v>
      </c>
      <c r="E964" s="2" t="s">
        <v>20</v>
      </c>
      <c r="F964" s="2">
        <v>2022</v>
      </c>
      <c r="G964" s="2">
        <v>2024</v>
      </c>
      <c r="H964" s="2">
        <f>'mpi_dataset_summary_2017-2024'!$G964-'mpi_dataset_summary_2017-2024'!$F964+1</f>
        <v>3</v>
      </c>
      <c r="I964" s="2" t="s">
        <v>2111</v>
      </c>
      <c r="J964" s="2" t="s">
        <v>2113</v>
      </c>
      <c r="K964" s="2">
        <f>IF('mpi_dataset_summary_2017-2024'!$G964=2024,1,0)</f>
        <v>1</v>
      </c>
      <c r="L964" s="2">
        <f t="shared" si="30"/>
        <v>0</v>
      </c>
      <c r="M964" s="2">
        <v>120</v>
      </c>
      <c r="N964" s="2">
        <f t="shared" si="31"/>
        <v>0.38900000000000001</v>
      </c>
      <c r="O964" s="2">
        <v>51.217782</v>
      </c>
      <c r="P964" s="2">
        <v>-114.704604</v>
      </c>
      <c r="Q964" s="2" t="s">
        <v>2108</v>
      </c>
      <c r="R964" s="3" t="s">
        <v>49</v>
      </c>
      <c r="S964" s="2" t="s">
        <v>25</v>
      </c>
      <c r="T964" s="2" t="s">
        <v>50</v>
      </c>
    </row>
    <row r="965" spans="1:20" x14ac:dyDescent="0.2">
      <c r="A965" s="2">
        <v>6027</v>
      </c>
      <c r="B965" s="2" t="s">
        <v>1669</v>
      </c>
      <c r="C965" s="2" t="s">
        <v>1670</v>
      </c>
      <c r="D965" s="2" t="s">
        <v>66</v>
      </c>
      <c r="E965" s="2" t="s">
        <v>20</v>
      </c>
      <c r="F965" s="2">
        <v>2022</v>
      </c>
      <c r="G965" s="2">
        <v>2022</v>
      </c>
      <c r="H965" s="2">
        <f>'mpi_dataset_summary_2017-2024'!$G965-'mpi_dataset_summary_2017-2024'!$F965+1</f>
        <v>1</v>
      </c>
      <c r="I965" s="2" t="s">
        <v>2110</v>
      </c>
      <c r="J965" s="2" t="s">
        <v>2110</v>
      </c>
      <c r="K965" s="2">
        <f>IF('mpi_dataset_summary_2017-2024'!$G965=2024,1,0)</f>
        <v>0</v>
      </c>
      <c r="L965" s="2">
        <f t="shared" si="30"/>
        <v>1</v>
      </c>
      <c r="M965" s="2">
        <v>27</v>
      </c>
      <c r="N965" s="2">
        <f t="shared" si="31"/>
        <v>0.13800000000000001</v>
      </c>
      <c r="O965" s="2">
        <v>55.557023000000001</v>
      </c>
      <c r="P965" s="2">
        <v>-119.90249</v>
      </c>
      <c r="Q965" s="2" t="s">
        <v>2108</v>
      </c>
      <c r="R965" s="3" t="s">
        <v>37</v>
      </c>
      <c r="S965" s="2" t="s">
        <v>22</v>
      </c>
      <c r="T965" s="2" t="s">
        <v>38</v>
      </c>
    </row>
    <row r="966" spans="1:20" x14ac:dyDescent="0.2">
      <c r="A966" s="2">
        <v>6028</v>
      </c>
      <c r="B966" s="2" t="s">
        <v>1311</v>
      </c>
      <c r="C966" s="2" t="s">
        <v>1671</v>
      </c>
      <c r="D966" s="2" t="s">
        <v>66</v>
      </c>
      <c r="E966" s="2" t="s">
        <v>20</v>
      </c>
      <c r="F966" s="2">
        <v>2022</v>
      </c>
      <c r="G966" s="2">
        <v>2024</v>
      </c>
      <c r="H966" s="2">
        <f>'mpi_dataset_summary_2017-2024'!$G966-'mpi_dataset_summary_2017-2024'!$F966+1</f>
        <v>3</v>
      </c>
      <c r="I966" s="2" t="s">
        <v>2111</v>
      </c>
      <c r="J966" s="2" t="s">
        <v>2111</v>
      </c>
      <c r="K966" s="2">
        <f>IF('mpi_dataset_summary_2017-2024'!$G966=2024,1,0)</f>
        <v>1</v>
      </c>
      <c r="L966" s="2">
        <f t="shared" si="30"/>
        <v>0</v>
      </c>
      <c r="M966" s="2">
        <v>100</v>
      </c>
      <c r="N966" s="2">
        <f t="shared" si="31"/>
        <v>0.34300000000000003</v>
      </c>
      <c r="O966" s="2">
        <v>55.559541000000003</v>
      </c>
      <c r="P966" s="2">
        <v>-119.60375999999999</v>
      </c>
      <c r="Q966" s="2" t="s">
        <v>2108</v>
      </c>
      <c r="R966" s="3" t="s">
        <v>37</v>
      </c>
      <c r="S966" s="2" t="s">
        <v>22</v>
      </c>
      <c r="T966" s="2" t="s">
        <v>38</v>
      </c>
    </row>
    <row r="967" spans="1:20" x14ac:dyDescent="0.2">
      <c r="A967" s="2">
        <v>6029</v>
      </c>
      <c r="B967" s="2" t="s">
        <v>1672</v>
      </c>
      <c r="C967" s="2" t="s">
        <v>703</v>
      </c>
      <c r="D967" s="2" t="s">
        <v>83</v>
      </c>
      <c r="E967" s="2" t="s">
        <v>20</v>
      </c>
      <c r="F967" s="2">
        <v>2022</v>
      </c>
      <c r="G967" s="2">
        <v>2024</v>
      </c>
      <c r="H967" s="2">
        <f>'mpi_dataset_summary_2017-2024'!$G967-'mpi_dataset_summary_2017-2024'!$F967+1</f>
        <v>3</v>
      </c>
      <c r="I967" s="2" t="s">
        <v>2111</v>
      </c>
      <c r="J967" s="2" t="s">
        <v>2111</v>
      </c>
      <c r="K967" s="2">
        <f>IF('mpi_dataset_summary_2017-2024'!$G967=2024,1,0)</f>
        <v>1</v>
      </c>
      <c r="L967" s="2">
        <f t="shared" si="30"/>
        <v>0</v>
      </c>
      <c r="M967" s="2">
        <v>10000</v>
      </c>
      <c r="N967" s="2">
        <f t="shared" si="31"/>
        <v>0.97599999999999998</v>
      </c>
      <c r="O967" s="2">
        <v>47.752791000000002</v>
      </c>
      <c r="P967" s="2">
        <v>-54.027146999999999</v>
      </c>
      <c r="Q967" s="2" t="s">
        <v>2108</v>
      </c>
      <c r="R967" s="3" t="s">
        <v>37</v>
      </c>
      <c r="S967" s="2" t="s">
        <v>22</v>
      </c>
      <c r="T967" s="2" t="s">
        <v>38</v>
      </c>
    </row>
    <row r="968" spans="1:20" x14ac:dyDescent="0.2">
      <c r="A968" s="2">
        <v>6030</v>
      </c>
      <c r="B968" s="2" t="s">
        <v>1228</v>
      </c>
      <c r="C968" s="2" t="s">
        <v>1673</v>
      </c>
      <c r="D968" s="2" t="s">
        <v>66</v>
      </c>
      <c r="E968" s="2" t="s">
        <v>20</v>
      </c>
      <c r="F968" s="2">
        <v>2022</v>
      </c>
      <c r="G968" s="2">
        <v>2024</v>
      </c>
      <c r="H968" s="2">
        <f>'mpi_dataset_summary_2017-2024'!$G968-'mpi_dataset_summary_2017-2024'!$F968+1</f>
        <v>3</v>
      </c>
      <c r="I968" s="2" t="s">
        <v>2111</v>
      </c>
      <c r="J968" s="2" t="s">
        <v>2110</v>
      </c>
      <c r="K968" s="2">
        <f>IF('mpi_dataset_summary_2017-2024'!$G968=2024,1,0)</f>
        <v>1</v>
      </c>
      <c r="L968" s="2">
        <f t="shared" si="30"/>
        <v>1</v>
      </c>
      <c r="M968" s="2">
        <v>274</v>
      </c>
      <c r="N968" s="2">
        <f t="shared" si="31"/>
        <v>0.56299999999999994</v>
      </c>
      <c r="O968" s="2">
        <v>52.235714000000002</v>
      </c>
      <c r="P968" s="2">
        <v>-112.111316</v>
      </c>
      <c r="Q968" s="2" t="s">
        <v>2108</v>
      </c>
      <c r="R968" s="3" t="s">
        <v>24</v>
      </c>
      <c r="S968" s="2" t="s">
        <v>25</v>
      </c>
      <c r="T968" s="2" t="s">
        <v>26</v>
      </c>
    </row>
    <row r="969" spans="1:20" x14ac:dyDescent="0.2">
      <c r="A969" s="2">
        <v>6031</v>
      </c>
      <c r="B969" s="2" t="s">
        <v>1674</v>
      </c>
      <c r="C969" s="2" t="s">
        <v>1675</v>
      </c>
      <c r="D969" s="2" t="s">
        <v>89</v>
      </c>
      <c r="E969" s="2" t="s">
        <v>20</v>
      </c>
      <c r="F969" s="2">
        <v>2022</v>
      </c>
      <c r="G969" s="2">
        <v>2024</v>
      </c>
      <c r="H969" s="2">
        <f>'mpi_dataset_summary_2017-2024'!$G969-'mpi_dataset_summary_2017-2024'!$F969+1</f>
        <v>3</v>
      </c>
      <c r="I969" s="2" t="s">
        <v>2111</v>
      </c>
      <c r="J969" s="2" t="s">
        <v>2111</v>
      </c>
      <c r="K969" s="2">
        <f>IF('mpi_dataset_summary_2017-2024'!$G969=2024,1,0)</f>
        <v>1</v>
      </c>
      <c r="L969" s="2">
        <f t="shared" si="30"/>
        <v>0</v>
      </c>
      <c r="M969" s="2">
        <v>94</v>
      </c>
      <c r="N969" s="2">
        <f t="shared" si="31"/>
        <v>0.33400000000000002</v>
      </c>
      <c r="O969" s="2" t="s">
        <v>2114</v>
      </c>
      <c r="P969" s="2">
        <v>-74.120342574140693</v>
      </c>
      <c r="Q969" s="2" t="s">
        <v>2108</v>
      </c>
      <c r="R969" s="3" t="s">
        <v>27</v>
      </c>
      <c r="S969" s="2" t="s">
        <v>25</v>
      </c>
      <c r="T969" s="2" t="s">
        <v>28</v>
      </c>
    </row>
    <row r="970" spans="1:20" x14ac:dyDescent="0.2">
      <c r="A970" s="2">
        <v>6032</v>
      </c>
      <c r="B970" s="2" t="s">
        <v>1676</v>
      </c>
      <c r="C970" s="2" t="s">
        <v>1677</v>
      </c>
      <c r="D970" s="2" t="s">
        <v>185</v>
      </c>
      <c r="E970" s="2" t="s">
        <v>20</v>
      </c>
      <c r="F970" s="2">
        <v>2022</v>
      </c>
      <c r="G970" s="2">
        <v>2023</v>
      </c>
      <c r="H970" s="2">
        <f>'mpi_dataset_summary_2017-2024'!$G970-'mpi_dataset_summary_2017-2024'!$F970+1</f>
        <v>2</v>
      </c>
      <c r="I970" s="2" t="s">
        <v>2113</v>
      </c>
      <c r="J970" s="2" t="s">
        <v>2113</v>
      </c>
      <c r="K970" s="2">
        <f>IF('mpi_dataset_summary_2017-2024'!$G970=2024,1,0)</f>
        <v>0</v>
      </c>
      <c r="L970" s="2">
        <f t="shared" si="30"/>
        <v>0</v>
      </c>
      <c r="M970" s="2">
        <v>36</v>
      </c>
      <c r="N970" s="2">
        <f t="shared" si="31"/>
        <v>0.16800000000000001</v>
      </c>
      <c r="O970" s="2">
        <v>45.412911999999999</v>
      </c>
      <c r="P970" s="2">
        <v>-64.327010999999999</v>
      </c>
      <c r="Q970" s="2" t="s">
        <v>2108</v>
      </c>
      <c r="R970" s="3" t="s">
        <v>24</v>
      </c>
      <c r="S970" s="2" t="s">
        <v>25</v>
      </c>
      <c r="T970" s="2" t="s">
        <v>26</v>
      </c>
    </row>
    <row r="971" spans="1:20" x14ac:dyDescent="0.2">
      <c r="A971" s="2">
        <v>6033</v>
      </c>
      <c r="B971" s="2" t="s">
        <v>1678</v>
      </c>
      <c r="C971" s="2" t="s">
        <v>1679</v>
      </c>
      <c r="D971" s="2" t="s">
        <v>161</v>
      </c>
      <c r="E971" s="2" t="s">
        <v>20</v>
      </c>
      <c r="F971" s="2">
        <v>2022</v>
      </c>
      <c r="G971" s="2">
        <v>2022</v>
      </c>
      <c r="H971" s="2">
        <f>'mpi_dataset_summary_2017-2024'!$G971-'mpi_dataset_summary_2017-2024'!$F971+1</f>
        <v>1</v>
      </c>
      <c r="I971" s="2" t="s">
        <v>2111</v>
      </c>
      <c r="J971" s="2" t="s">
        <v>2111</v>
      </c>
      <c r="K971" s="2">
        <f>IF('mpi_dataset_summary_2017-2024'!$G971=2024,1,0)</f>
        <v>0</v>
      </c>
      <c r="L971" s="2">
        <f t="shared" si="30"/>
        <v>0</v>
      </c>
      <c r="M971" s="2">
        <v>0</v>
      </c>
      <c r="N971" s="2">
        <f t="shared" si="31"/>
        <v>0</v>
      </c>
      <c r="O971" s="2" t="s">
        <v>2114</v>
      </c>
      <c r="P971" s="2" t="s">
        <v>2114</v>
      </c>
      <c r="Q971" s="2" t="s">
        <v>2109</v>
      </c>
      <c r="R971" s="3" t="s">
        <v>51</v>
      </c>
      <c r="S971" s="2" t="s">
        <v>22</v>
      </c>
      <c r="T971" s="2" t="s">
        <v>52</v>
      </c>
    </row>
    <row r="972" spans="1:20" x14ac:dyDescent="0.2">
      <c r="A972" s="2">
        <v>6034</v>
      </c>
      <c r="B972" s="2" t="s">
        <v>1680</v>
      </c>
      <c r="C972" s="2" t="s">
        <v>1681</v>
      </c>
      <c r="D972" s="2" t="s">
        <v>66</v>
      </c>
      <c r="E972" s="2" t="s">
        <v>20</v>
      </c>
      <c r="F972" s="2">
        <v>2022</v>
      </c>
      <c r="G972" s="2">
        <v>2023</v>
      </c>
      <c r="H972" s="2">
        <f>'mpi_dataset_summary_2017-2024'!$G972-'mpi_dataset_summary_2017-2024'!$F972+1</f>
        <v>2</v>
      </c>
      <c r="I972" s="2" t="s">
        <v>2111</v>
      </c>
      <c r="J972" s="2" t="s">
        <v>2111</v>
      </c>
      <c r="K972" s="2">
        <f>IF('mpi_dataset_summary_2017-2024'!$G972=2024,1,0)</f>
        <v>0</v>
      </c>
      <c r="L972" s="2">
        <f t="shared" si="30"/>
        <v>0</v>
      </c>
      <c r="M972" s="2">
        <v>1600</v>
      </c>
      <c r="N972" s="2">
        <f t="shared" si="31"/>
        <v>0.873</v>
      </c>
      <c r="O972" s="2">
        <v>53.784064999999998</v>
      </c>
      <c r="P972" s="2">
        <v>-113.077</v>
      </c>
      <c r="Q972" s="2" t="s">
        <v>2108</v>
      </c>
      <c r="R972" s="3" t="s">
        <v>44</v>
      </c>
      <c r="S972" s="2" t="s">
        <v>25</v>
      </c>
      <c r="T972" s="2" t="s">
        <v>45</v>
      </c>
    </row>
    <row r="973" spans="1:20" x14ac:dyDescent="0.2">
      <c r="A973" s="2">
        <v>6035</v>
      </c>
      <c r="B973" s="2" t="s">
        <v>1682</v>
      </c>
      <c r="C973" s="2" t="s">
        <v>1683</v>
      </c>
      <c r="D973" s="2" t="s">
        <v>161</v>
      </c>
      <c r="E973" s="2" t="s">
        <v>20</v>
      </c>
      <c r="F973" s="2">
        <v>2023</v>
      </c>
      <c r="G973" s="2">
        <v>2023</v>
      </c>
      <c r="H973" s="2">
        <f>'mpi_dataset_summary_2017-2024'!$G973-'mpi_dataset_summary_2017-2024'!$F973+1</f>
        <v>1</v>
      </c>
      <c r="I973" s="2" t="s">
        <v>2111</v>
      </c>
      <c r="J973" s="2" t="s">
        <v>2111</v>
      </c>
      <c r="K973" s="2">
        <f>IF('mpi_dataset_summary_2017-2024'!$G973=2024,1,0)</f>
        <v>0</v>
      </c>
      <c r="L973" s="2">
        <f t="shared" si="30"/>
        <v>0</v>
      </c>
      <c r="M973" s="2">
        <v>111</v>
      </c>
      <c r="N973" s="2">
        <f t="shared" si="31"/>
        <v>0.376</v>
      </c>
      <c r="O973" s="2">
        <v>50.377575999999998</v>
      </c>
      <c r="P973" s="2">
        <v>-87.900094999999993</v>
      </c>
      <c r="Q973" s="2" t="s">
        <v>2107</v>
      </c>
      <c r="R973" s="3" t="s">
        <v>29</v>
      </c>
      <c r="S973" s="2" t="s">
        <v>22</v>
      </c>
      <c r="T973" s="2" t="s">
        <v>30</v>
      </c>
    </row>
    <row r="974" spans="1:20" x14ac:dyDescent="0.2">
      <c r="A974" s="2">
        <v>6036</v>
      </c>
      <c r="B974" s="2" t="s">
        <v>1684</v>
      </c>
      <c r="C974" s="2" t="s">
        <v>1685</v>
      </c>
      <c r="D974" s="2" t="s">
        <v>66</v>
      </c>
      <c r="E974" s="2" t="s">
        <v>20</v>
      </c>
      <c r="F974" s="2">
        <v>2022</v>
      </c>
      <c r="G974" s="2">
        <v>2024</v>
      </c>
      <c r="H974" s="2">
        <f>'mpi_dataset_summary_2017-2024'!$G974-'mpi_dataset_summary_2017-2024'!$F974+1</f>
        <v>3</v>
      </c>
      <c r="I974" s="2" t="s">
        <v>2110</v>
      </c>
      <c r="J974" s="2" t="s">
        <v>2110</v>
      </c>
      <c r="K974" s="2">
        <f>IF('mpi_dataset_summary_2017-2024'!$G974=2024,1,0)</f>
        <v>1</v>
      </c>
      <c r="L974" s="2">
        <f t="shared" si="30"/>
        <v>1</v>
      </c>
      <c r="M974" s="2">
        <v>750</v>
      </c>
      <c r="N974" s="2">
        <f t="shared" si="31"/>
        <v>0.75700000000000001</v>
      </c>
      <c r="O974" s="2">
        <v>57.411428000000001</v>
      </c>
      <c r="P974" s="2">
        <v>-111.163483</v>
      </c>
      <c r="Q974" s="2" t="s">
        <v>2108</v>
      </c>
      <c r="R974" s="3" t="s">
        <v>39</v>
      </c>
      <c r="S974" s="2" t="s">
        <v>22</v>
      </c>
      <c r="T974" s="2" t="s">
        <v>40</v>
      </c>
    </row>
    <row r="975" spans="1:20" x14ac:dyDescent="0.2">
      <c r="A975" s="2">
        <v>6037</v>
      </c>
      <c r="B975" s="2" t="s">
        <v>235</v>
      </c>
      <c r="C975" s="2" t="s">
        <v>1686</v>
      </c>
      <c r="D975" s="2" t="s">
        <v>86</v>
      </c>
      <c r="E975" s="2" t="s">
        <v>43</v>
      </c>
      <c r="F975" s="2">
        <v>2022</v>
      </c>
      <c r="G975" s="2">
        <v>2023</v>
      </c>
      <c r="H975" s="2">
        <f>'mpi_dataset_summary_2017-2024'!$G975-'mpi_dataset_summary_2017-2024'!$F975+1</f>
        <v>2</v>
      </c>
      <c r="I975" s="2" t="s">
        <v>2113</v>
      </c>
      <c r="J975" s="2" t="s">
        <v>2113</v>
      </c>
      <c r="K975" s="2">
        <f>IF('mpi_dataset_summary_2017-2024'!$G975=2024,1,0)</f>
        <v>0</v>
      </c>
      <c r="L975" s="2">
        <f t="shared" si="30"/>
        <v>0</v>
      </c>
      <c r="M975" s="2">
        <v>23.5</v>
      </c>
      <c r="N975" s="2">
        <f t="shared" si="31"/>
        <v>0.121</v>
      </c>
      <c r="O975" s="2">
        <v>56.384285774867699</v>
      </c>
      <c r="P975" s="2">
        <v>-94.635010730368506</v>
      </c>
      <c r="Q975" s="2" t="s">
        <v>2108</v>
      </c>
      <c r="R975" s="3" t="s">
        <v>24</v>
      </c>
      <c r="S975" s="2" t="s">
        <v>25</v>
      </c>
      <c r="T975" s="2" t="s">
        <v>26</v>
      </c>
    </row>
    <row r="976" spans="1:20" x14ac:dyDescent="0.2">
      <c r="A976" s="2">
        <v>6038</v>
      </c>
      <c r="B976" s="2" t="s">
        <v>1687</v>
      </c>
      <c r="C976" s="2" t="s">
        <v>1688</v>
      </c>
      <c r="D976" s="2" t="s">
        <v>66</v>
      </c>
      <c r="E976" s="2" t="s">
        <v>20</v>
      </c>
      <c r="F976" s="2">
        <v>2022</v>
      </c>
      <c r="G976" s="2">
        <v>2022</v>
      </c>
      <c r="H976" s="2">
        <f>'mpi_dataset_summary_2017-2024'!$G976-'mpi_dataset_summary_2017-2024'!$F976+1</f>
        <v>1</v>
      </c>
      <c r="I976" s="2" t="s">
        <v>2110</v>
      </c>
      <c r="J976" s="2" t="s">
        <v>2110</v>
      </c>
      <c r="K976" s="2">
        <f>IF('mpi_dataset_summary_2017-2024'!$G976=2024,1,0)</f>
        <v>0</v>
      </c>
      <c r="L976" s="2">
        <f t="shared" si="30"/>
        <v>1</v>
      </c>
      <c r="M976" s="2">
        <v>1600</v>
      </c>
      <c r="N976" s="2">
        <f t="shared" si="31"/>
        <v>0.873</v>
      </c>
      <c r="O976" s="2" t="s">
        <v>2114</v>
      </c>
      <c r="P976" s="2" t="s">
        <v>2114</v>
      </c>
      <c r="Q976" s="2" t="s">
        <v>2108</v>
      </c>
      <c r="R976" s="3" t="s">
        <v>35</v>
      </c>
      <c r="S976" s="2" t="s">
        <v>22</v>
      </c>
      <c r="T976" s="2" t="s">
        <v>36</v>
      </c>
    </row>
    <row r="977" spans="1:20" x14ac:dyDescent="0.2">
      <c r="A977" s="2">
        <v>6040</v>
      </c>
      <c r="B977" s="2" t="s">
        <v>1664</v>
      </c>
      <c r="C977" s="2" t="s">
        <v>1689</v>
      </c>
      <c r="D977" s="2" t="s">
        <v>110</v>
      </c>
      <c r="E977" s="2" t="s">
        <v>20</v>
      </c>
      <c r="F977" s="2">
        <v>2022</v>
      </c>
      <c r="G977" s="2">
        <v>2024</v>
      </c>
      <c r="H977" s="2">
        <f>'mpi_dataset_summary_2017-2024'!$G977-'mpi_dataset_summary_2017-2024'!$F977+1</f>
        <v>3</v>
      </c>
      <c r="I977" s="2" t="s">
        <v>2111</v>
      </c>
      <c r="J977" s="2" t="s">
        <v>2111</v>
      </c>
      <c r="K977" s="2">
        <f>IF('mpi_dataset_summary_2017-2024'!$G977=2024,1,0)</f>
        <v>1</v>
      </c>
      <c r="L977" s="2">
        <f t="shared" si="30"/>
        <v>0</v>
      </c>
      <c r="M977" s="2">
        <v>30</v>
      </c>
      <c r="N977" s="2">
        <f t="shared" si="31"/>
        <v>0.14599999999999999</v>
      </c>
      <c r="O977" s="2" t="s">
        <v>2114</v>
      </c>
      <c r="P977" s="2" t="s">
        <v>2114</v>
      </c>
      <c r="Q977" s="2" t="s">
        <v>2108</v>
      </c>
      <c r="R977" s="3" t="s">
        <v>41</v>
      </c>
      <c r="S977" s="2" t="s">
        <v>25</v>
      </c>
      <c r="T977" s="2" t="s">
        <v>45</v>
      </c>
    </row>
    <row r="978" spans="1:20" x14ac:dyDescent="0.2">
      <c r="A978" s="2">
        <v>6041</v>
      </c>
      <c r="B978" s="2" t="s">
        <v>1690</v>
      </c>
      <c r="C978" s="2" t="s">
        <v>1297</v>
      </c>
      <c r="D978" s="2" t="s">
        <v>89</v>
      </c>
      <c r="E978" s="2" t="s">
        <v>20</v>
      </c>
      <c r="F978" s="2">
        <v>2023</v>
      </c>
      <c r="G978" s="2">
        <v>2023</v>
      </c>
      <c r="H978" s="2">
        <f>'mpi_dataset_summary_2017-2024'!$G978-'mpi_dataset_summary_2017-2024'!$F978+1</f>
        <v>1</v>
      </c>
      <c r="I978" s="2" t="s">
        <v>2111</v>
      </c>
      <c r="J978" s="2" t="s">
        <v>2111</v>
      </c>
      <c r="K978" s="2">
        <f>IF('mpi_dataset_summary_2017-2024'!$G978=2024,1,0)</f>
        <v>0</v>
      </c>
      <c r="L978" s="2">
        <f t="shared" si="30"/>
        <v>0</v>
      </c>
      <c r="M978" s="2">
        <v>723.6</v>
      </c>
      <c r="N978" s="2">
        <f t="shared" si="31"/>
        <v>0.753</v>
      </c>
      <c r="O978" s="2">
        <v>51.064210000000003</v>
      </c>
      <c r="P978" s="2">
        <v>-65.239335999999994</v>
      </c>
      <c r="Q978" s="2" t="s">
        <v>2107</v>
      </c>
      <c r="R978" s="3" t="s">
        <v>41</v>
      </c>
      <c r="S978" s="2" t="s">
        <v>22</v>
      </c>
      <c r="T978" s="2" t="s">
        <v>42</v>
      </c>
    </row>
    <row r="979" spans="1:20" x14ac:dyDescent="0.2">
      <c r="A979" s="2">
        <v>6042</v>
      </c>
      <c r="B979" s="2" t="s">
        <v>1691</v>
      </c>
      <c r="C979" s="2" t="s">
        <v>1692</v>
      </c>
      <c r="D979" s="2" t="s">
        <v>89</v>
      </c>
      <c r="E979" s="2" t="s">
        <v>20</v>
      </c>
      <c r="F979" s="2">
        <v>2022</v>
      </c>
      <c r="G979" s="2">
        <v>2023</v>
      </c>
      <c r="H979" s="2">
        <f>'mpi_dataset_summary_2017-2024'!$G979-'mpi_dataset_summary_2017-2024'!$F979+1</f>
        <v>2</v>
      </c>
      <c r="I979" s="2" t="s">
        <v>2111</v>
      </c>
      <c r="J979" s="2" t="s">
        <v>2111</v>
      </c>
      <c r="K979" s="2">
        <f>IF('mpi_dataset_summary_2017-2024'!$G979=2024,1,0)</f>
        <v>0</v>
      </c>
      <c r="L979" s="2">
        <f t="shared" si="30"/>
        <v>0</v>
      </c>
      <c r="M979" s="2">
        <v>236.1</v>
      </c>
      <c r="N979" s="2">
        <f t="shared" si="31"/>
        <v>0.52900000000000003</v>
      </c>
      <c r="O979" s="2">
        <v>46.008572999999998</v>
      </c>
      <c r="P979" s="2" t="s">
        <v>2114</v>
      </c>
      <c r="Q979" s="2" t="s">
        <v>2107</v>
      </c>
      <c r="R979" s="3" t="s">
        <v>33</v>
      </c>
      <c r="S979" s="2" t="s">
        <v>25</v>
      </c>
      <c r="T979" s="2" t="s">
        <v>34</v>
      </c>
    </row>
    <row r="980" spans="1:20" x14ac:dyDescent="0.2">
      <c r="A980" s="2">
        <v>6043</v>
      </c>
      <c r="B980" s="2" t="s">
        <v>1693</v>
      </c>
      <c r="C980" s="2" t="s">
        <v>1694</v>
      </c>
      <c r="D980" s="2" t="s">
        <v>161</v>
      </c>
      <c r="E980" s="2" t="s">
        <v>43</v>
      </c>
      <c r="F980" s="2">
        <v>2022</v>
      </c>
      <c r="G980" s="2">
        <v>2024</v>
      </c>
      <c r="H980" s="2">
        <f>'mpi_dataset_summary_2017-2024'!$G980-'mpi_dataset_summary_2017-2024'!$F980+1</f>
        <v>3</v>
      </c>
      <c r="I980" s="2" t="s">
        <v>2111</v>
      </c>
      <c r="J980" s="2" t="s">
        <v>2110</v>
      </c>
      <c r="K980" s="2">
        <f>IF('mpi_dataset_summary_2017-2024'!$G980=2024,1,0)</f>
        <v>1</v>
      </c>
      <c r="L980" s="2">
        <f t="shared" si="30"/>
        <v>1</v>
      </c>
      <c r="M980" s="2">
        <v>525</v>
      </c>
      <c r="N980" s="2">
        <f t="shared" si="31"/>
        <v>0.69699999999999995</v>
      </c>
      <c r="O980" s="2" t="s">
        <v>2114</v>
      </c>
      <c r="P980" s="2" t="s">
        <v>2114</v>
      </c>
      <c r="Q980" s="2" t="s">
        <v>2108</v>
      </c>
      <c r="R980" s="3" t="s">
        <v>35</v>
      </c>
      <c r="S980" s="2" t="s">
        <v>22</v>
      </c>
      <c r="T980" s="2" t="s">
        <v>36</v>
      </c>
    </row>
    <row r="981" spans="1:20" x14ac:dyDescent="0.2">
      <c r="A981" s="2">
        <v>6044</v>
      </c>
      <c r="B981" s="2" t="s">
        <v>1695</v>
      </c>
      <c r="C981" s="2" t="s">
        <v>1696</v>
      </c>
      <c r="D981" s="2" t="s">
        <v>66</v>
      </c>
      <c r="E981" s="2" t="s">
        <v>20</v>
      </c>
      <c r="F981" s="2">
        <v>2022</v>
      </c>
      <c r="G981" s="2">
        <v>2023</v>
      </c>
      <c r="H981" s="2">
        <f>'mpi_dataset_summary_2017-2024'!$G981-'mpi_dataset_summary_2017-2024'!$F981+1</f>
        <v>2</v>
      </c>
      <c r="I981" s="2" t="s">
        <v>2111</v>
      </c>
      <c r="J981" s="2" t="s">
        <v>2111</v>
      </c>
      <c r="K981" s="2">
        <f>IF('mpi_dataset_summary_2017-2024'!$G981=2024,1,0)</f>
        <v>0</v>
      </c>
      <c r="L981" s="2">
        <f t="shared" si="30"/>
        <v>0</v>
      </c>
      <c r="M981" s="2">
        <v>48.7</v>
      </c>
      <c r="N981" s="2">
        <f t="shared" si="31"/>
        <v>0.21099999999999999</v>
      </c>
      <c r="O981" s="2">
        <v>51.062216999999997</v>
      </c>
      <c r="P981" s="2">
        <v>-115.173878</v>
      </c>
      <c r="Q981" s="2" t="s">
        <v>2108</v>
      </c>
      <c r="R981" s="3" t="s">
        <v>27</v>
      </c>
      <c r="S981" s="2" t="s">
        <v>25</v>
      </c>
      <c r="T981" s="2" t="s">
        <v>28</v>
      </c>
    </row>
    <row r="982" spans="1:20" x14ac:dyDescent="0.2">
      <c r="A982" s="2">
        <v>6045</v>
      </c>
      <c r="B982" s="2" t="s">
        <v>235</v>
      </c>
      <c r="C982" s="2" t="s">
        <v>1697</v>
      </c>
      <c r="D982" s="2" t="s">
        <v>86</v>
      </c>
      <c r="E982" s="2" t="s">
        <v>43</v>
      </c>
      <c r="F982" s="2">
        <v>2022</v>
      </c>
      <c r="G982" s="2">
        <v>2024</v>
      </c>
      <c r="H982" s="2">
        <f>'mpi_dataset_summary_2017-2024'!$G982-'mpi_dataset_summary_2017-2024'!$F982+1</f>
        <v>3</v>
      </c>
      <c r="I982" s="2" t="s">
        <v>2110</v>
      </c>
      <c r="J982" s="2" t="s">
        <v>2110</v>
      </c>
      <c r="K982" s="2">
        <f>IF('mpi_dataset_summary_2017-2024'!$G982=2024,1,0)</f>
        <v>1</v>
      </c>
      <c r="L982" s="2">
        <f t="shared" si="30"/>
        <v>1</v>
      </c>
      <c r="M982" s="2">
        <v>37.799999999999997</v>
      </c>
      <c r="N982" s="2">
        <f t="shared" si="31"/>
        <v>0.17399999999999999</v>
      </c>
      <c r="O982" s="2">
        <v>56.506900000000002</v>
      </c>
      <c r="P982" s="2">
        <v>-94.106899999999996</v>
      </c>
      <c r="Q982" s="2" t="s">
        <v>2108</v>
      </c>
      <c r="R982" s="3" t="s">
        <v>24</v>
      </c>
      <c r="S982" s="2" t="s">
        <v>25</v>
      </c>
      <c r="T982" s="2" t="s">
        <v>26</v>
      </c>
    </row>
    <row r="983" spans="1:20" x14ac:dyDescent="0.2">
      <c r="A983" s="2">
        <v>6046</v>
      </c>
      <c r="B983" s="2" t="s">
        <v>316</v>
      </c>
      <c r="C983" s="2" t="s">
        <v>1698</v>
      </c>
      <c r="D983" s="2" t="s">
        <v>69</v>
      </c>
      <c r="E983" s="2" t="s">
        <v>20</v>
      </c>
      <c r="F983" s="2">
        <v>2022</v>
      </c>
      <c r="G983" s="2">
        <v>2024</v>
      </c>
      <c r="H983" s="2">
        <f>'mpi_dataset_summary_2017-2024'!$G983-'mpi_dataset_summary_2017-2024'!$F983+1</f>
        <v>3</v>
      </c>
      <c r="I983" s="2" t="s">
        <v>2111</v>
      </c>
      <c r="J983" s="2" t="s">
        <v>2111</v>
      </c>
      <c r="K983" s="2">
        <f>IF('mpi_dataset_summary_2017-2024'!$G983=2024,1,0)</f>
        <v>1</v>
      </c>
      <c r="L983" s="2">
        <f t="shared" si="30"/>
        <v>0</v>
      </c>
      <c r="M983" s="2">
        <v>25000</v>
      </c>
      <c r="N983" s="2">
        <f t="shared" si="31"/>
        <v>0.995</v>
      </c>
      <c r="O983" s="2">
        <v>54.081950999999997</v>
      </c>
      <c r="P983" s="2">
        <v>-128.638058</v>
      </c>
      <c r="Q983" s="2" t="s">
        <v>2108</v>
      </c>
      <c r="R983" s="3" t="s">
        <v>37</v>
      </c>
      <c r="S983" s="2" t="s">
        <v>22</v>
      </c>
      <c r="T983" s="2" t="s">
        <v>38</v>
      </c>
    </row>
    <row r="984" spans="1:20" x14ac:dyDescent="0.2">
      <c r="A984" s="2">
        <v>6047</v>
      </c>
      <c r="B984" s="2" t="s">
        <v>235</v>
      </c>
      <c r="C984" s="2" t="s">
        <v>1699</v>
      </c>
      <c r="D984" s="2" t="s">
        <v>86</v>
      </c>
      <c r="E984" s="2" t="s">
        <v>43</v>
      </c>
      <c r="F984" s="2">
        <v>2022</v>
      </c>
      <c r="G984" s="2">
        <v>2024</v>
      </c>
      <c r="H984" s="2">
        <f>'mpi_dataset_summary_2017-2024'!$G984-'mpi_dataset_summary_2017-2024'!$F984+1</f>
        <v>3</v>
      </c>
      <c r="I984" s="2" t="s">
        <v>2110</v>
      </c>
      <c r="J984" s="2" t="s">
        <v>2110</v>
      </c>
      <c r="K984" s="2">
        <f>IF('mpi_dataset_summary_2017-2024'!$G984=2024,1,0)</f>
        <v>1</v>
      </c>
      <c r="L984" s="2">
        <f t="shared" si="30"/>
        <v>1</v>
      </c>
      <c r="M984" s="2">
        <v>22.5</v>
      </c>
      <c r="N984" s="2">
        <f t="shared" si="31"/>
        <v>0.115</v>
      </c>
      <c r="O984" s="2">
        <v>56.3979</v>
      </c>
      <c r="P984" s="2">
        <v>-94.369200000000006</v>
      </c>
      <c r="Q984" s="2" t="s">
        <v>2108</v>
      </c>
      <c r="R984" s="3" t="s">
        <v>24</v>
      </c>
      <c r="S984" s="2" t="s">
        <v>25</v>
      </c>
      <c r="T984" s="2" t="s">
        <v>26</v>
      </c>
    </row>
    <row r="985" spans="1:20" x14ac:dyDescent="0.2">
      <c r="A985" s="2">
        <v>6048</v>
      </c>
      <c r="B985" s="2" t="s">
        <v>1069</v>
      </c>
      <c r="C985" s="2" t="s">
        <v>1700</v>
      </c>
      <c r="D985" s="2" t="s">
        <v>89</v>
      </c>
      <c r="E985" s="2" t="s">
        <v>20</v>
      </c>
      <c r="F985" s="2">
        <v>2022</v>
      </c>
      <c r="G985" s="2">
        <v>2023</v>
      </c>
      <c r="H985" s="2">
        <f>'mpi_dataset_summary_2017-2024'!$G985-'mpi_dataset_summary_2017-2024'!$F985+1</f>
        <v>2</v>
      </c>
      <c r="I985" s="2" t="s">
        <v>2110</v>
      </c>
      <c r="J985" s="2" t="s">
        <v>2110</v>
      </c>
      <c r="K985" s="2">
        <f>IF('mpi_dataset_summary_2017-2024'!$G985=2024,1,0)</f>
        <v>0</v>
      </c>
      <c r="L985" s="2">
        <f t="shared" si="30"/>
        <v>1</v>
      </c>
      <c r="M985" s="2">
        <v>500</v>
      </c>
      <c r="N985" s="2">
        <f t="shared" si="31"/>
        <v>0.67800000000000005</v>
      </c>
      <c r="O985" s="2">
        <v>48.073667999999998</v>
      </c>
      <c r="P985" s="2">
        <v>-78.141149999999996</v>
      </c>
      <c r="Q985" s="2" t="s">
        <v>2107</v>
      </c>
      <c r="R985" s="3" t="s">
        <v>41</v>
      </c>
      <c r="S985" s="2" t="s">
        <v>22</v>
      </c>
      <c r="T985" s="2" t="s">
        <v>42</v>
      </c>
    </row>
    <row r="986" spans="1:20" x14ac:dyDescent="0.2">
      <c r="A986" s="2">
        <v>6049</v>
      </c>
      <c r="B986" s="2" t="s">
        <v>749</v>
      </c>
      <c r="C986" s="2" t="s">
        <v>1701</v>
      </c>
      <c r="D986" s="2" t="s">
        <v>89</v>
      </c>
      <c r="E986" s="2" t="s">
        <v>20</v>
      </c>
      <c r="F986" s="2">
        <v>2022</v>
      </c>
      <c r="G986" s="2">
        <v>2024</v>
      </c>
      <c r="H986" s="2">
        <f>'mpi_dataset_summary_2017-2024'!$G986-'mpi_dataset_summary_2017-2024'!$F986+1</f>
        <v>3</v>
      </c>
      <c r="I986" s="2" t="s">
        <v>2110</v>
      </c>
      <c r="J986" s="2" t="s">
        <v>2110</v>
      </c>
      <c r="K986" s="2">
        <f>IF('mpi_dataset_summary_2017-2024'!$G986=2024,1,0)</f>
        <v>1</v>
      </c>
      <c r="L986" s="2">
        <f t="shared" si="30"/>
        <v>1</v>
      </c>
      <c r="M986" s="2">
        <v>1700</v>
      </c>
      <c r="N986" s="2">
        <f t="shared" si="31"/>
        <v>0.88400000000000001</v>
      </c>
      <c r="O986" s="2">
        <v>48.073667999999998</v>
      </c>
      <c r="P986" s="2">
        <v>-78.141149999999996</v>
      </c>
      <c r="Q986" s="2" t="s">
        <v>2107</v>
      </c>
      <c r="R986" s="3" t="s">
        <v>41</v>
      </c>
      <c r="S986" s="2" t="s">
        <v>22</v>
      </c>
      <c r="T986" s="2" t="s">
        <v>42</v>
      </c>
    </row>
    <row r="987" spans="1:20" x14ac:dyDescent="0.2">
      <c r="A987" s="2">
        <v>6050</v>
      </c>
      <c r="B987" s="2" t="s">
        <v>1702</v>
      </c>
      <c r="C987" s="2" t="s">
        <v>1703</v>
      </c>
      <c r="D987" s="2" t="s">
        <v>89</v>
      </c>
      <c r="E987" s="2" t="s">
        <v>20</v>
      </c>
      <c r="F987" s="2">
        <v>2023</v>
      </c>
      <c r="G987" s="2">
        <v>2024</v>
      </c>
      <c r="H987" s="2">
        <f>'mpi_dataset_summary_2017-2024'!$G987-'mpi_dataset_summary_2017-2024'!$F987+1</f>
        <v>2</v>
      </c>
      <c r="I987" s="2" t="s">
        <v>2111</v>
      </c>
      <c r="J987" s="2" t="s">
        <v>2111</v>
      </c>
      <c r="K987" s="2">
        <f>IF('mpi_dataset_summary_2017-2024'!$G987=2024,1,0)</f>
        <v>1</v>
      </c>
      <c r="L987" s="2">
        <f t="shared" si="30"/>
        <v>0</v>
      </c>
      <c r="M987" s="2">
        <v>435.1</v>
      </c>
      <c r="N987" s="2">
        <f t="shared" si="31"/>
        <v>0.65300000000000002</v>
      </c>
      <c r="O987" s="2">
        <v>48.137067000000002</v>
      </c>
      <c r="P987" s="2">
        <v>-77.979190000000003</v>
      </c>
      <c r="Q987" s="2" t="s">
        <v>2107</v>
      </c>
      <c r="R987" s="3" t="s">
        <v>41</v>
      </c>
      <c r="S987" s="2" t="s">
        <v>22</v>
      </c>
      <c r="T987" s="2" t="s">
        <v>42</v>
      </c>
    </row>
    <row r="988" spans="1:20" x14ac:dyDescent="0.2">
      <c r="A988" s="2">
        <v>6051</v>
      </c>
      <c r="B988" s="2" t="s">
        <v>1704</v>
      </c>
      <c r="C988" s="2" t="s">
        <v>1705</v>
      </c>
      <c r="D988" s="2" t="s">
        <v>161</v>
      </c>
      <c r="E988" s="2" t="s">
        <v>20</v>
      </c>
      <c r="F988" s="2">
        <v>2024</v>
      </c>
      <c r="G988" s="2">
        <v>2024</v>
      </c>
      <c r="H988" s="2">
        <f>'mpi_dataset_summary_2017-2024'!$G988-'mpi_dataset_summary_2017-2024'!$F988+1</f>
        <v>1</v>
      </c>
      <c r="I988" s="2" t="s">
        <v>2111</v>
      </c>
      <c r="J988" s="2" t="s">
        <v>2111</v>
      </c>
      <c r="K988" s="2">
        <f>IF('mpi_dataset_summary_2017-2024'!$G988=2024,1,0)</f>
        <v>1</v>
      </c>
      <c r="L988" s="2">
        <f t="shared" si="30"/>
        <v>0</v>
      </c>
      <c r="M988" s="2">
        <v>2326.92</v>
      </c>
      <c r="N988" s="2">
        <f t="shared" si="31"/>
        <v>0.90800000000000003</v>
      </c>
      <c r="O988" s="2">
        <v>50.314439999999998</v>
      </c>
      <c r="P988" s="2">
        <v>-83.414439999999999</v>
      </c>
      <c r="Q988" s="2" t="s">
        <v>2107</v>
      </c>
      <c r="R988" s="3" t="s">
        <v>41</v>
      </c>
      <c r="S988" s="2" t="s">
        <v>22</v>
      </c>
      <c r="T988" s="2" t="s">
        <v>42</v>
      </c>
    </row>
    <row r="989" spans="1:20" x14ac:dyDescent="0.2">
      <c r="A989" s="2">
        <v>6052</v>
      </c>
      <c r="B989" s="2" t="s">
        <v>1706</v>
      </c>
      <c r="C989" s="2" t="s">
        <v>1707</v>
      </c>
      <c r="D989" s="2" t="s">
        <v>66</v>
      </c>
      <c r="E989" s="2" t="s">
        <v>20</v>
      </c>
      <c r="F989" s="2">
        <v>2022</v>
      </c>
      <c r="G989" s="2">
        <v>2022</v>
      </c>
      <c r="H989" s="2">
        <f>'mpi_dataset_summary_2017-2024'!$G989-'mpi_dataset_summary_2017-2024'!$F989+1</f>
        <v>1</v>
      </c>
      <c r="I989" s="2" t="s">
        <v>2111</v>
      </c>
      <c r="J989" s="2" t="s">
        <v>2111</v>
      </c>
      <c r="K989" s="2">
        <f>IF('mpi_dataset_summary_2017-2024'!$G989=2024,1,0)</f>
        <v>0</v>
      </c>
      <c r="L989" s="2">
        <f t="shared" si="30"/>
        <v>0</v>
      </c>
      <c r="M989" s="2">
        <v>0</v>
      </c>
      <c r="N989" s="2">
        <f t="shared" si="31"/>
        <v>0</v>
      </c>
      <c r="O989" s="2" t="s">
        <v>2114</v>
      </c>
      <c r="P989" s="2" t="s">
        <v>2114</v>
      </c>
      <c r="Q989" s="2" t="s">
        <v>2108</v>
      </c>
      <c r="R989" s="3" t="s">
        <v>41</v>
      </c>
      <c r="S989" s="2" t="s">
        <v>25</v>
      </c>
      <c r="T989" s="2" t="s">
        <v>45</v>
      </c>
    </row>
    <row r="990" spans="1:20" x14ac:dyDescent="0.2">
      <c r="A990" s="2">
        <v>6053</v>
      </c>
      <c r="B990" s="2" t="s">
        <v>1463</v>
      </c>
      <c r="C990" s="2" t="s">
        <v>1708</v>
      </c>
      <c r="D990" s="2" t="s">
        <v>161</v>
      </c>
      <c r="E990" s="2" t="s">
        <v>20</v>
      </c>
      <c r="F990" s="2">
        <v>2022</v>
      </c>
      <c r="G990" s="2">
        <v>2024</v>
      </c>
      <c r="H990" s="2">
        <f>'mpi_dataset_summary_2017-2024'!$G990-'mpi_dataset_summary_2017-2024'!$F990+1</f>
        <v>3</v>
      </c>
      <c r="I990" s="2" t="s">
        <v>2112</v>
      </c>
      <c r="J990" s="2" t="s">
        <v>2112</v>
      </c>
      <c r="K990" s="2">
        <f>IF('mpi_dataset_summary_2017-2024'!$G990=2024,1,0)</f>
        <v>1</v>
      </c>
      <c r="L990" s="2">
        <f t="shared" si="30"/>
        <v>0</v>
      </c>
      <c r="M990" s="2">
        <v>4300</v>
      </c>
      <c r="N990" s="2">
        <f t="shared" si="31"/>
        <v>0.94199999999999995</v>
      </c>
      <c r="O990" s="2" t="s">
        <v>2114</v>
      </c>
      <c r="P990" s="2" t="s">
        <v>2114</v>
      </c>
      <c r="Q990" s="2" t="s">
        <v>2108</v>
      </c>
      <c r="R990" s="3" t="s">
        <v>49</v>
      </c>
      <c r="S990" s="2" t="s">
        <v>25</v>
      </c>
      <c r="T990" s="2" t="s">
        <v>50</v>
      </c>
    </row>
    <row r="991" spans="1:20" x14ac:dyDescent="0.2">
      <c r="A991" s="2">
        <v>6054</v>
      </c>
      <c r="B991" s="2" t="s">
        <v>1709</v>
      </c>
      <c r="C991" s="2" t="s">
        <v>1710</v>
      </c>
      <c r="D991" s="2" t="s">
        <v>66</v>
      </c>
      <c r="E991" s="2" t="s">
        <v>20</v>
      </c>
      <c r="F991" s="2">
        <v>2022</v>
      </c>
      <c r="G991" s="2">
        <v>2022</v>
      </c>
      <c r="H991" s="2">
        <f>'mpi_dataset_summary_2017-2024'!$G991-'mpi_dataset_summary_2017-2024'!$F991+1</f>
        <v>1</v>
      </c>
      <c r="I991" s="2" t="s">
        <v>2110</v>
      </c>
      <c r="J991" s="2" t="s">
        <v>2110</v>
      </c>
      <c r="K991" s="2">
        <f>IF('mpi_dataset_summary_2017-2024'!$G991=2024,1,0)</f>
        <v>0</v>
      </c>
      <c r="L991" s="2">
        <f t="shared" si="30"/>
        <v>1</v>
      </c>
      <c r="M991" s="2">
        <v>75.099999999999994</v>
      </c>
      <c r="N991" s="2">
        <f t="shared" si="31"/>
        <v>0.29699999999999999</v>
      </c>
      <c r="O991" s="2">
        <v>56.374918000000001</v>
      </c>
      <c r="P991" s="2">
        <v>-117.178899</v>
      </c>
      <c r="Q991" s="2" t="s">
        <v>2109</v>
      </c>
      <c r="R991" s="3" t="s">
        <v>41</v>
      </c>
      <c r="S991" s="2" t="s">
        <v>25</v>
      </c>
      <c r="T991" s="2" t="s">
        <v>57</v>
      </c>
    </row>
    <row r="992" spans="1:20" x14ac:dyDescent="0.2">
      <c r="A992" s="2">
        <v>6055</v>
      </c>
      <c r="B992" s="2" t="s">
        <v>1711</v>
      </c>
      <c r="C992" s="2" t="s">
        <v>395</v>
      </c>
      <c r="D992" s="2" t="s">
        <v>110</v>
      </c>
      <c r="E992" s="2" t="s">
        <v>20</v>
      </c>
      <c r="F992" s="2">
        <v>2022</v>
      </c>
      <c r="G992" s="2">
        <v>2022</v>
      </c>
      <c r="H992" s="2">
        <f>'mpi_dataset_summary_2017-2024'!$G992-'mpi_dataset_summary_2017-2024'!$F992+1</f>
        <v>1</v>
      </c>
      <c r="I992" s="2" t="s">
        <v>2113</v>
      </c>
      <c r="J992" s="2" t="s">
        <v>2113</v>
      </c>
      <c r="K992" s="2">
        <f>IF('mpi_dataset_summary_2017-2024'!$G992=2024,1,0)</f>
        <v>0</v>
      </c>
      <c r="L992" s="2">
        <f t="shared" si="30"/>
        <v>0</v>
      </c>
      <c r="M992" s="2">
        <v>0</v>
      </c>
      <c r="N992" s="2">
        <f t="shared" si="31"/>
        <v>0</v>
      </c>
      <c r="O992" s="2">
        <v>50.236668999999999</v>
      </c>
      <c r="P992" s="2">
        <v>-104.239825</v>
      </c>
      <c r="Q992" s="2" t="s">
        <v>2107</v>
      </c>
      <c r="R992" s="3" t="s">
        <v>41</v>
      </c>
      <c r="S992" s="2" t="s">
        <v>22</v>
      </c>
      <c r="T992" s="2" t="s">
        <v>42</v>
      </c>
    </row>
    <row r="993" spans="1:20" x14ac:dyDescent="0.2">
      <c r="A993" s="2">
        <v>6056</v>
      </c>
      <c r="B993" s="2" t="s">
        <v>1712</v>
      </c>
      <c r="C993" s="2" t="s">
        <v>1713</v>
      </c>
      <c r="D993" s="2" t="s">
        <v>69</v>
      </c>
      <c r="E993" s="2" t="s">
        <v>20</v>
      </c>
      <c r="F993" s="2">
        <v>2022</v>
      </c>
      <c r="G993" s="2">
        <v>2024</v>
      </c>
      <c r="H993" s="2">
        <f>'mpi_dataset_summary_2017-2024'!$G993-'mpi_dataset_summary_2017-2024'!$F993+1</f>
        <v>3</v>
      </c>
      <c r="I993" s="2" t="s">
        <v>2111</v>
      </c>
      <c r="J993" s="2" t="s">
        <v>2111</v>
      </c>
      <c r="K993" s="2">
        <f>IF('mpi_dataset_summary_2017-2024'!$G993=2024,1,0)</f>
        <v>1</v>
      </c>
      <c r="L993" s="2">
        <f t="shared" si="30"/>
        <v>0</v>
      </c>
      <c r="M993" s="2">
        <v>100</v>
      </c>
      <c r="N993" s="2">
        <f t="shared" si="31"/>
        <v>0.34300000000000003</v>
      </c>
      <c r="O993" s="2" t="s">
        <v>2114</v>
      </c>
      <c r="P993" s="2" t="s">
        <v>2114</v>
      </c>
      <c r="Q993" s="2" t="s">
        <v>2109</v>
      </c>
      <c r="R993" s="3" t="s">
        <v>58</v>
      </c>
      <c r="S993" s="2" t="s">
        <v>22</v>
      </c>
      <c r="T993" s="2" t="s">
        <v>59</v>
      </c>
    </row>
    <row r="994" spans="1:20" x14ac:dyDescent="0.2">
      <c r="A994" s="2">
        <v>6057</v>
      </c>
      <c r="B994" s="2" t="s">
        <v>1181</v>
      </c>
      <c r="C994" s="2" t="s">
        <v>1714</v>
      </c>
      <c r="D994" s="2" t="s">
        <v>89</v>
      </c>
      <c r="E994" s="2" t="s">
        <v>20</v>
      </c>
      <c r="F994" s="2">
        <v>2022</v>
      </c>
      <c r="G994" s="2">
        <v>2023</v>
      </c>
      <c r="H994" s="2">
        <f>'mpi_dataset_summary_2017-2024'!$G994-'mpi_dataset_summary_2017-2024'!$F994+1</f>
        <v>2</v>
      </c>
      <c r="I994" s="2" t="s">
        <v>2111</v>
      </c>
      <c r="J994" s="2" t="s">
        <v>2111</v>
      </c>
      <c r="K994" s="2">
        <f>IF('mpi_dataset_summary_2017-2024'!$G994=2024,1,0)</f>
        <v>0</v>
      </c>
      <c r="L994" s="2">
        <f t="shared" si="30"/>
        <v>0</v>
      </c>
      <c r="M994" s="2">
        <v>36</v>
      </c>
      <c r="N994" s="2">
        <f t="shared" si="31"/>
        <v>0.16800000000000001</v>
      </c>
      <c r="O994" s="2" t="s">
        <v>2114</v>
      </c>
      <c r="P994" s="2" t="s">
        <v>2114</v>
      </c>
      <c r="Q994" s="2" t="s">
        <v>2109</v>
      </c>
      <c r="R994" s="3" t="s">
        <v>58</v>
      </c>
      <c r="S994" s="2" t="s">
        <v>22</v>
      </c>
      <c r="T994" s="2" t="s">
        <v>59</v>
      </c>
    </row>
    <row r="995" spans="1:20" x14ac:dyDescent="0.2">
      <c r="A995" s="2">
        <v>6058</v>
      </c>
      <c r="B995" s="2" t="s">
        <v>238</v>
      </c>
      <c r="C995" s="2" t="s">
        <v>1715</v>
      </c>
      <c r="D995" s="2" t="s">
        <v>66</v>
      </c>
      <c r="E995" s="2" t="s">
        <v>20</v>
      </c>
      <c r="F995" s="2">
        <v>2022</v>
      </c>
      <c r="G995" s="2">
        <v>2022</v>
      </c>
      <c r="H995" s="2">
        <f>'mpi_dataset_summary_2017-2024'!$G995-'mpi_dataset_summary_2017-2024'!$F995+1</f>
        <v>1</v>
      </c>
      <c r="I995" s="2" t="s">
        <v>2110</v>
      </c>
      <c r="J995" s="2" t="s">
        <v>2110</v>
      </c>
      <c r="K995" s="2">
        <f>IF('mpi_dataset_summary_2017-2024'!$G995=2024,1,0)</f>
        <v>0</v>
      </c>
      <c r="L995" s="2">
        <f t="shared" si="30"/>
        <v>1</v>
      </c>
      <c r="M995" s="2">
        <v>125</v>
      </c>
      <c r="N995" s="2">
        <f t="shared" si="31"/>
        <v>0.40300000000000002</v>
      </c>
      <c r="O995" s="2">
        <v>54.007787999999998</v>
      </c>
      <c r="P995" s="2">
        <v>-119.104491</v>
      </c>
      <c r="Q995" s="2" t="s">
        <v>2108</v>
      </c>
      <c r="R995" s="3" t="s">
        <v>53</v>
      </c>
      <c r="S995" s="2" t="s">
        <v>22</v>
      </c>
      <c r="T995" s="2" t="s">
        <v>54</v>
      </c>
    </row>
    <row r="996" spans="1:20" x14ac:dyDescent="0.2">
      <c r="A996" s="2">
        <v>6059</v>
      </c>
      <c r="B996" s="2" t="s">
        <v>1716</v>
      </c>
      <c r="C996" s="2" t="s">
        <v>1717</v>
      </c>
      <c r="D996" s="2" t="s">
        <v>66</v>
      </c>
      <c r="E996" s="2" t="s">
        <v>20</v>
      </c>
      <c r="F996" s="2">
        <v>2022</v>
      </c>
      <c r="G996" s="2">
        <v>2022</v>
      </c>
      <c r="H996" s="2">
        <f>'mpi_dataset_summary_2017-2024'!$G996-'mpi_dataset_summary_2017-2024'!$F996+1</f>
        <v>1</v>
      </c>
      <c r="I996" s="2" t="s">
        <v>2111</v>
      </c>
      <c r="J996" s="2" t="s">
        <v>2111</v>
      </c>
      <c r="K996" s="2">
        <f>IF('mpi_dataset_summary_2017-2024'!$G996=2024,1,0)</f>
        <v>0</v>
      </c>
      <c r="L996" s="2">
        <f t="shared" si="30"/>
        <v>0</v>
      </c>
      <c r="M996" s="2">
        <v>0</v>
      </c>
      <c r="N996" s="2">
        <f t="shared" si="31"/>
        <v>0</v>
      </c>
      <c r="O996" s="2" t="s">
        <v>2114</v>
      </c>
      <c r="P996" s="2" t="s">
        <v>2114</v>
      </c>
      <c r="Q996" s="2" t="s">
        <v>2108</v>
      </c>
      <c r="R996" s="3" t="s">
        <v>44</v>
      </c>
      <c r="S996" s="2" t="s">
        <v>25</v>
      </c>
      <c r="T996" s="2" t="s">
        <v>45</v>
      </c>
    </row>
    <row r="997" spans="1:20" x14ac:dyDescent="0.2">
      <c r="A997" s="2">
        <v>6060</v>
      </c>
      <c r="B997" s="2" t="s">
        <v>1718</v>
      </c>
      <c r="C997" s="2" t="s">
        <v>1719</v>
      </c>
      <c r="D997" s="2" t="s">
        <v>89</v>
      </c>
      <c r="E997" s="2" t="s">
        <v>20</v>
      </c>
      <c r="F997" s="2">
        <v>2024</v>
      </c>
      <c r="G997" s="2">
        <v>2024</v>
      </c>
      <c r="H997" s="2">
        <f>'mpi_dataset_summary_2017-2024'!$G997-'mpi_dataset_summary_2017-2024'!$F997+1</f>
        <v>1</v>
      </c>
      <c r="I997" s="2" t="s">
        <v>2111</v>
      </c>
      <c r="J997" s="2" t="s">
        <v>2111</v>
      </c>
      <c r="K997" s="2">
        <f>IF('mpi_dataset_summary_2017-2024'!$G997=2024,1,0)</f>
        <v>1</v>
      </c>
      <c r="L997" s="2">
        <f t="shared" si="30"/>
        <v>0</v>
      </c>
      <c r="M997" s="2">
        <v>822.6</v>
      </c>
      <c r="N997" s="2">
        <f t="shared" si="31"/>
        <v>0.78500000000000003</v>
      </c>
      <c r="O997" s="2">
        <v>50.739348999999997</v>
      </c>
      <c r="P997" s="2">
        <v>-74.835888999999995</v>
      </c>
      <c r="Q997" s="2" t="s">
        <v>2107</v>
      </c>
      <c r="R997" s="3" t="s">
        <v>41</v>
      </c>
      <c r="S997" s="2" t="s">
        <v>22</v>
      </c>
      <c r="T997" s="2" t="s">
        <v>42</v>
      </c>
    </row>
    <row r="998" spans="1:20" x14ac:dyDescent="0.2">
      <c r="A998" s="2">
        <v>6061</v>
      </c>
      <c r="B998" s="2" t="s">
        <v>1720</v>
      </c>
      <c r="C998" s="2" t="s">
        <v>1721</v>
      </c>
      <c r="D998" s="2" t="s">
        <v>89</v>
      </c>
      <c r="E998" s="2" t="s">
        <v>20</v>
      </c>
      <c r="F998" s="2">
        <v>2023</v>
      </c>
      <c r="G998" s="2">
        <v>2023</v>
      </c>
      <c r="H998" s="2">
        <f>'mpi_dataset_summary_2017-2024'!$G998-'mpi_dataset_summary_2017-2024'!$F998+1</f>
        <v>1</v>
      </c>
      <c r="I998" s="2" t="s">
        <v>2111</v>
      </c>
      <c r="J998" s="2" t="s">
        <v>2111</v>
      </c>
      <c r="K998" s="2">
        <f>IF('mpi_dataset_summary_2017-2024'!$G998=2024,1,0)</f>
        <v>0</v>
      </c>
      <c r="L998" s="2">
        <f t="shared" si="30"/>
        <v>0</v>
      </c>
      <c r="M998" s="2">
        <v>586.29999999999995</v>
      </c>
      <c r="N998" s="2">
        <f t="shared" si="31"/>
        <v>0.71099999999999997</v>
      </c>
      <c r="O998" s="2">
        <v>49.912759000000001</v>
      </c>
      <c r="P998" s="2">
        <v>-74.121331999999995</v>
      </c>
      <c r="Q998" s="2" t="s">
        <v>2107</v>
      </c>
      <c r="R998" s="3" t="s">
        <v>41</v>
      </c>
      <c r="S998" s="2" t="s">
        <v>22</v>
      </c>
      <c r="T998" s="2" t="s">
        <v>42</v>
      </c>
    </row>
    <row r="999" spans="1:20" x14ac:dyDescent="0.2">
      <c r="A999" s="2">
        <v>6062</v>
      </c>
      <c r="B999" s="2" t="s">
        <v>1653</v>
      </c>
      <c r="C999" s="2" t="s">
        <v>1722</v>
      </c>
      <c r="D999" s="2" t="s">
        <v>66</v>
      </c>
      <c r="E999" s="2" t="s">
        <v>20</v>
      </c>
      <c r="F999" s="2">
        <v>2022</v>
      </c>
      <c r="G999" s="2">
        <v>2024</v>
      </c>
      <c r="H999" s="2">
        <f>'mpi_dataset_summary_2017-2024'!$G999-'mpi_dataset_summary_2017-2024'!$F999+1</f>
        <v>3</v>
      </c>
      <c r="I999" s="2" t="s">
        <v>2111</v>
      </c>
      <c r="J999" s="2" t="s">
        <v>2113</v>
      </c>
      <c r="K999" s="2">
        <f>IF('mpi_dataset_summary_2017-2024'!$G999=2024,1,0)</f>
        <v>1</v>
      </c>
      <c r="L999" s="2">
        <f t="shared" si="30"/>
        <v>0</v>
      </c>
      <c r="M999" s="2">
        <v>43</v>
      </c>
      <c r="N999" s="2">
        <f t="shared" si="31"/>
        <v>0.189</v>
      </c>
      <c r="O999" s="2">
        <v>53.422494</v>
      </c>
      <c r="P999" s="2">
        <v>-114.990517</v>
      </c>
      <c r="Q999" s="2" t="s">
        <v>2108</v>
      </c>
      <c r="R999" s="3" t="s">
        <v>24</v>
      </c>
      <c r="S999" s="2" t="s">
        <v>25</v>
      </c>
      <c r="T999" s="2" t="s">
        <v>26</v>
      </c>
    </row>
    <row r="1000" spans="1:20" x14ac:dyDescent="0.2">
      <c r="A1000" s="2">
        <v>6063</v>
      </c>
      <c r="B1000" s="2" t="s">
        <v>1723</v>
      </c>
      <c r="C1000" s="2" t="s">
        <v>1724</v>
      </c>
      <c r="D1000" s="2" t="s">
        <v>169</v>
      </c>
      <c r="E1000" s="2" t="s">
        <v>20</v>
      </c>
      <c r="F1000" s="2">
        <v>2022</v>
      </c>
      <c r="G1000" s="2">
        <v>2024</v>
      </c>
      <c r="H1000" s="2">
        <f>'mpi_dataset_summary_2017-2024'!$G1000-'mpi_dataset_summary_2017-2024'!$F1000+1</f>
        <v>3</v>
      </c>
      <c r="I1000" s="2" t="s">
        <v>2112</v>
      </c>
      <c r="J1000" s="2" t="s">
        <v>2113</v>
      </c>
      <c r="K1000" s="2">
        <f>IF('mpi_dataset_summary_2017-2024'!$G1000=2024,1,0)</f>
        <v>1</v>
      </c>
      <c r="L1000" s="2">
        <f t="shared" si="30"/>
        <v>0</v>
      </c>
      <c r="M1000" s="2">
        <v>350.1</v>
      </c>
      <c r="N1000" s="2">
        <f t="shared" si="31"/>
        <v>0.61499999999999999</v>
      </c>
      <c r="O1000" s="2">
        <v>56.922800000000002</v>
      </c>
      <c r="P1000" s="2">
        <v>-122.05800000000001</v>
      </c>
      <c r="Q1000" s="2" t="s">
        <v>2108</v>
      </c>
      <c r="R1000" s="3" t="s">
        <v>24</v>
      </c>
      <c r="S1000" s="2" t="s">
        <v>25</v>
      </c>
      <c r="T1000" s="2" t="s">
        <v>26</v>
      </c>
    </row>
    <row r="1001" spans="1:20" x14ac:dyDescent="0.2">
      <c r="A1001" s="2">
        <v>6064</v>
      </c>
      <c r="B1001" s="2" t="s">
        <v>1725</v>
      </c>
      <c r="C1001" s="2" t="s">
        <v>1726</v>
      </c>
      <c r="D1001" s="2" t="s">
        <v>110</v>
      </c>
      <c r="E1001" s="2" t="s">
        <v>20</v>
      </c>
      <c r="F1001" s="2">
        <v>2022</v>
      </c>
      <c r="G1001" s="2">
        <v>2024</v>
      </c>
      <c r="H1001" s="2">
        <f>'mpi_dataset_summary_2017-2024'!$G1001-'mpi_dataset_summary_2017-2024'!$F1001+1</f>
        <v>3</v>
      </c>
      <c r="I1001" s="2" t="s">
        <v>2111</v>
      </c>
      <c r="J1001" s="2" t="s">
        <v>2111</v>
      </c>
      <c r="K1001" s="2">
        <f>IF('mpi_dataset_summary_2017-2024'!$G1001=2024,1,0)</f>
        <v>1</v>
      </c>
      <c r="L1001" s="2">
        <f t="shared" si="30"/>
        <v>0</v>
      </c>
      <c r="M1001" s="2">
        <v>400</v>
      </c>
      <c r="N1001" s="2">
        <f t="shared" si="31"/>
        <v>0.63500000000000001</v>
      </c>
      <c r="O1001" s="2" t="s">
        <v>2114</v>
      </c>
      <c r="P1001" s="2" t="s">
        <v>2114</v>
      </c>
      <c r="Q1001" s="2" t="s">
        <v>2109</v>
      </c>
      <c r="R1001" s="3" t="s">
        <v>60</v>
      </c>
      <c r="S1001" s="2" t="s">
        <v>22</v>
      </c>
      <c r="T1001" s="2" t="s">
        <v>61</v>
      </c>
    </row>
    <row r="1002" spans="1:20" x14ac:dyDescent="0.2">
      <c r="A1002" s="2">
        <v>6066</v>
      </c>
      <c r="B1002" s="2" t="s">
        <v>566</v>
      </c>
      <c r="C1002" s="2" t="s">
        <v>1727</v>
      </c>
      <c r="D1002" s="2" t="s">
        <v>66</v>
      </c>
      <c r="E1002" s="2" t="s">
        <v>20</v>
      </c>
      <c r="F1002" s="2">
        <v>2022</v>
      </c>
      <c r="G1002" s="2">
        <v>2022</v>
      </c>
      <c r="H1002" s="2">
        <f>'mpi_dataset_summary_2017-2024'!$G1002-'mpi_dataset_summary_2017-2024'!$F1002+1</f>
        <v>1</v>
      </c>
      <c r="I1002" s="2" t="s">
        <v>2113</v>
      </c>
      <c r="J1002" s="2" t="s">
        <v>2113</v>
      </c>
      <c r="K1002" s="2">
        <f>IF('mpi_dataset_summary_2017-2024'!$G1002=2024,1,0)</f>
        <v>0</v>
      </c>
      <c r="L1002" s="2">
        <f t="shared" si="30"/>
        <v>0</v>
      </c>
      <c r="M1002" s="2">
        <v>193</v>
      </c>
      <c r="N1002" s="2">
        <f t="shared" si="31"/>
        <v>0.48399999999999999</v>
      </c>
      <c r="O1002" s="2">
        <v>52.008000000000003</v>
      </c>
      <c r="P1002" s="2">
        <v>-114.824</v>
      </c>
      <c r="Q1002" s="2" t="s">
        <v>2108</v>
      </c>
      <c r="R1002" s="3" t="s">
        <v>24</v>
      </c>
      <c r="S1002" s="2" t="s">
        <v>25</v>
      </c>
      <c r="T1002" s="2" t="s">
        <v>26</v>
      </c>
    </row>
    <row r="1003" spans="1:20" x14ac:dyDescent="0.2">
      <c r="A1003" s="2">
        <v>6067</v>
      </c>
      <c r="B1003" s="2" t="s">
        <v>1728</v>
      </c>
      <c r="C1003" s="2" t="s">
        <v>1729</v>
      </c>
      <c r="D1003" s="2" t="s">
        <v>66</v>
      </c>
      <c r="E1003" s="2" t="s">
        <v>20</v>
      </c>
      <c r="F1003" s="2">
        <v>2022</v>
      </c>
      <c r="G1003" s="2">
        <v>2024</v>
      </c>
      <c r="H1003" s="2">
        <f>'mpi_dataset_summary_2017-2024'!$G1003-'mpi_dataset_summary_2017-2024'!$F1003+1</f>
        <v>3</v>
      </c>
      <c r="I1003" s="2" t="s">
        <v>2111</v>
      </c>
      <c r="J1003" s="2" t="s">
        <v>2111</v>
      </c>
      <c r="K1003" s="2">
        <f>IF('mpi_dataset_summary_2017-2024'!$G1003=2024,1,0)</f>
        <v>1</v>
      </c>
      <c r="L1003" s="2">
        <f t="shared" si="30"/>
        <v>0</v>
      </c>
      <c r="M1003" s="2">
        <v>2500</v>
      </c>
      <c r="N1003" s="2">
        <f t="shared" si="31"/>
        <v>0.91300000000000003</v>
      </c>
      <c r="O1003" s="2">
        <v>54.760764999999999</v>
      </c>
      <c r="P1003" s="2">
        <v>-118.57239199999999</v>
      </c>
      <c r="Q1003" s="2" t="s">
        <v>2108</v>
      </c>
      <c r="R1003" s="3" t="s">
        <v>44</v>
      </c>
      <c r="S1003" s="2" t="s">
        <v>25</v>
      </c>
      <c r="T1003" s="2" t="s">
        <v>45</v>
      </c>
    </row>
    <row r="1004" spans="1:20" x14ac:dyDescent="0.2">
      <c r="A1004" s="2">
        <v>6068</v>
      </c>
      <c r="B1004" s="2" t="s">
        <v>1730</v>
      </c>
      <c r="C1004" s="2" t="s">
        <v>1731</v>
      </c>
      <c r="D1004" s="2" t="s">
        <v>89</v>
      </c>
      <c r="E1004" s="2" t="s">
        <v>20</v>
      </c>
      <c r="F1004" s="2">
        <v>2022</v>
      </c>
      <c r="G1004" s="2">
        <v>2022</v>
      </c>
      <c r="H1004" s="2">
        <f>'mpi_dataset_summary_2017-2024'!$G1004-'mpi_dataset_summary_2017-2024'!$F1004+1</f>
        <v>1</v>
      </c>
      <c r="I1004" s="2" t="s">
        <v>2110</v>
      </c>
      <c r="J1004" s="2" t="s">
        <v>2110</v>
      </c>
      <c r="K1004" s="2">
        <f>IF('mpi_dataset_summary_2017-2024'!$G1004=2024,1,0)</f>
        <v>0</v>
      </c>
      <c r="L1004" s="2">
        <f t="shared" si="30"/>
        <v>1</v>
      </c>
      <c r="M1004" s="2">
        <v>140</v>
      </c>
      <c r="N1004" s="2">
        <f t="shared" si="31"/>
        <v>0.42599999999999999</v>
      </c>
      <c r="O1004" s="2">
        <v>46.746778909389199</v>
      </c>
      <c r="P1004" s="2">
        <v>-71.8125950926147</v>
      </c>
      <c r="Q1004" s="2" t="s">
        <v>2108</v>
      </c>
      <c r="R1004" s="3" t="s">
        <v>41</v>
      </c>
      <c r="S1004" s="2" t="s">
        <v>25</v>
      </c>
      <c r="T1004" s="2" t="s">
        <v>46</v>
      </c>
    </row>
    <row r="1005" spans="1:20" x14ac:dyDescent="0.2">
      <c r="A1005" s="2">
        <v>6069</v>
      </c>
      <c r="B1005" s="2" t="s">
        <v>1732</v>
      </c>
      <c r="C1005" s="2" t="s">
        <v>1733</v>
      </c>
      <c r="D1005" s="2" t="s">
        <v>161</v>
      </c>
      <c r="E1005" s="2" t="s">
        <v>20</v>
      </c>
      <c r="F1005" s="2">
        <v>2022</v>
      </c>
      <c r="G1005" s="2">
        <v>2023</v>
      </c>
      <c r="H1005" s="2">
        <f>'mpi_dataset_summary_2017-2024'!$G1005-'mpi_dataset_summary_2017-2024'!$F1005+1</f>
        <v>2</v>
      </c>
      <c r="I1005" s="2" t="s">
        <v>2111</v>
      </c>
      <c r="J1005" s="2" t="s">
        <v>2111</v>
      </c>
      <c r="K1005" s="2">
        <f>IF('mpi_dataset_summary_2017-2024'!$G1005=2024,1,0)</f>
        <v>0</v>
      </c>
      <c r="L1005" s="2">
        <f t="shared" si="30"/>
        <v>0</v>
      </c>
      <c r="M1005" s="2">
        <v>180</v>
      </c>
      <c r="N1005" s="2">
        <f t="shared" si="31"/>
        <v>0.47499999999999998</v>
      </c>
      <c r="O1005" s="2" t="s">
        <v>2114</v>
      </c>
      <c r="P1005" s="2" t="s">
        <v>2114</v>
      </c>
      <c r="Q1005" s="2" t="s">
        <v>2109</v>
      </c>
      <c r="R1005" s="3" t="s">
        <v>60</v>
      </c>
      <c r="S1005" s="2" t="s">
        <v>25</v>
      </c>
      <c r="T1005" s="2" t="s">
        <v>61</v>
      </c>
    </row>
    <row r="1006" spans="1:20" x14ac:dyDescent="0.2">
      <c r="A1006" s="2">
        <v>6072</v>
      </c>
      <c r="B1006" s="2" t="s">
        <v>1734</v>
      </c>
      <c r="C1006" s="2" t="s">
        <v>893</v>
      </c>
      <c r="D1006" s="2" t="s">
        <v>69</v>
      </c>
      <c r="E1006" s="2" t="s">
        <v>20</v>
      </c>
      <c r="F1006" s="2">
        <v>2022</v>
      </c>
      <c r="G1006" s="2">
        <v>2024</v>
      </c>
      <c r="H1006" s="2">
        <f>'mpi_dataset_summary_2017-2024'!$G1006-'mpi_dataset_summary_2017-2024'!$F1006+1</f>
        <v>3</v>
      </c>
      <c r="I1006" s="2" t="s">
        <v>2111</v>
      </c>
      <c r="J1006" s="2" t="s">
        <v>2111</v>
      </c>
      <c r="K1006" s="2">
        <f>IF('mpi_dataset_summary_2017-2024'!$G1006=2024,1,0)</f>
        <v>1</v>
      </c>
      <c r="L1006" s="2">
        <f t="shared" si="30"/>
        <v>0</v>
      </c>
      <c r="M1006" s="2">
        <v>29</v>
      </c>
      <c r="N1006" s="2">
        <f t="shared" si="31"/>
        <v>0.14299999999999999</v>
      </c>
      <c r="O1006" s="2">
        <v>58.804939746112296</v>
      </c>
      <c r="P1006" s="2">
        <v>-122.69738685172899</v>
      </c>
      <c r="Q1006" s="2" t="s">
        <v>2109</v>
      </c>
      <c r="R1006" s="3" t="s">
        <v>41</v>
      </c>
      <c r="S1006" s="2" t="s">
        <v>25</v>
      </c>
      <c r="T1006" s="2" t="s">
        <v>57</v>
      </c>
    </row>
    <row r="1007" spans="1:20" x14ac:dyDescent="0.2">
      <c r="A1007" s="2">
        <v>6073</v>
      </c>
      <c r="B1007" s="2" t="s">
        <v>1735</v>
      </c>
      <c r="C1007" s="2" t="s">
        <v>1279</v>
      </c>
      <c r="D1007" s="2" t="s">
        <v>89</v>
      </c>
      <c r="E1007" s="2" t="s">
        <v>20</v>
      </c>
      <c r="F1007" s="2">
        <v>2022</v>
      </c>
      <c r="G1007" s="2">
        <v>2023</v>
      </c>
      <c r="H1007" s="2">
        <f>'mpi_dataset_summary_2017-2024'!$G1007-'mpi_dataset_summary_2017-2024'!$F1007+1</f>
        <v>2</v>
      </c>
      <c r="I1007" s="2" t="s">
        <v>2110</v>
      </c>
      <c r="J1007" s="2" t="s">
        <v>2110</v>
      </c>
      <c r="K1007" s="2">
        <f>IF('mpi_dataset_summary_2017-2024'!$G1007=2024,1,0)</f>
        <v>0</v>
      </c>
      <c r="L1007" s="2">
        <f t="shared" si="30"/>
        <v>1</v>
      </c>
      <c r="M1007" s="2">
        <v>40</v>
      </c>
      <c r="N1007" s="2">
        <f t="shared" si="31"/>
        <v>0.17799999999999999</v>
      </c>
      <c r="O1007" s="2" t="s">
        <v>2114</v>
      </c>
      <c r="P1007" s="2" t="s">
        <v>2114</v>
      </c>
      <c r="Q1007" s="2" t="s">
        <v>2109</v>
      </c>
      <c r="R1007" s="3" t="s">
        <v>41</v>
      </c>
      <c r="S1007" s="2" t="s">
        <v>25</v>
      </c>
      <c r="T1007" s="2" t="s">
        <v>57</v>
      </c>
    </row>
    <row r="1008" spans="1:20" x14ac:dyDescent="0.2">
      <c r="A1008" s="2">
        <v>6074</v>
      </c>
      <c r="B1008" s="2" t="s">
        <v>1736</v>
      </c>
      <c r="C1008" s="2" t="s">
        <v>1279</v>
      </c>
      <c r="D1008" s="2" t="s">
        <v>1737</v>
      </c>
      <c r="E1008" s="2" t="s">
        <v>20</v>
      </c>
      <c r="F1008" s="2">
        <v>2022</v>
      </c>
      <c r="G1008" s="2">
        <v>2022</v>
      </c>
      <c r="H1008" s="2">
        <f>'mpi_dataset_summary_2017-2024'!$G1008-'mpi_dataset_summary_2017-2024'!$F1008+1</f>
        <v>1</v>
      </c>
      <c r="I1008" s="2" t="s">
        <v>2111</v>
      </c>
      <c r="J1008" s="2" t="s">
        <v>2111</v>
      </c>
      <c r="K1008" s="2">
        <f>IF('mpi_dataset_summary_2017-2024'!$G1008=2024,1,0)</f>
        <v>0</v>
      </c>
      <c r="L1008" s="2">
        <f t="shared" si="30"/>
        <v>0</v>
      </c>
      <c r="M1008" s="2">
        <v>0</v>
      </c>
      <c r="N1008" s="2">
        <f t="shared" si="31"/>
        <v>0</v>
      </c>
      <c r="O1008" s="2" t="s">
        <v>2114</v>
      </c>
      <c r="P1008" s="2" t="s">
        <v>2114</v>
      </c>
      <c r="Q1008" s="2" t="s">
        <v>2109</v>
      </c>
      <c r="R1008" s="3" t="s">
        <v>41</v>
      </c>
      <c r="S1008" s="2" t="s">
        <v>25</v>
      </c>
      <c r="T1008" s="2" t="s">
        <v>57</v>
      </c>
    </row>
    <row r="1009" spans="1:20" x14ac:dyDescent="0.2">
      <c r="A1009" s="2">
        <v>6075</v>
      </c>
      <c r="B1009" s="2" t="s">
        <v>1738</v>
      </c>
      <c r="C1009" s="2" t="s">
        <v>1279</v>
      </c>
      <c r="D1009" s="2" t="s">
        <v>161</v>
      </c>
      <c r="E1009" s="2" t="s">
        <v>20</v>
      </c>
      <c r="F1009" s="2">
        <v>2022</v>
      </c>
      <c r="G1009" s="2">
        <v>2022</v>
      </c>
      <c r="H1009" s="2">
        <f>'mpi_dataset_summary_2017-2024'!$G1009-'mpi_dataset_summary_2017-2024'!$F1009+1</f>
        <v>1</v>
      </c>
      <c r="I1009" s="2" t="s">
        <v>2111</v>
      </c>
      <c r="J1009" s="2" t="s">
        <v>2111</v>
      </c>
      <c r="K1009" s="2">
        <f>IF('mpi_dataset_summary_2017-2024'!$G1009=2024,1,0)</f>
        <v>0</v>
      </c>
      <c r="L1009" s="2">
        <f t="shared" si="30"/>
        <v>0</v>
      </c>
      <c r="M1009" s="2">
        <v>0</v>
      </c>
      <c r="N1009" s="2">
        <f t="shared" si="31"/>
        <v>0</v>
      </c>
      <c r="O1009" s="2" t="s">
        <v>2114</v>
      </c>
      <c r="P1009" s="2" t="s">
        <v>2114</v>
      </c>
      <c r="Q1009" s="2" t="s">
        <v>2109</v>
      </c>
      <c r="R1009" s="3" t="s">
        <v>41</v>
      </c>
      <c r="S1009" s="2" t="s">
        <v>25</v>
      </c>
      <c r="T1009" s="2" t="s">
        <v>57</v>
      </c>
    </row>
    <row r="1010" spans="1:20" x14ac:dyDescent="0.2">
      <c r="A1010" s="2">
        <v>6076</v>
      </c>
      <c r="B1010" s="2" t="s">
        <v>1739</v>
      </c>
      <c r="C1010" s="2" t="s">
        <v>1740</v>
      </c>
      <c r="D1010" s="2" t="s">
        <v>161</v>
      </c>
      <c r="E1010" s="2" t="s">
        <v>20</v>
      </c>
      <c r="F1010" s="2">
        <v>2022</v>
      </c>
      <c r="G1010" s="2">
        <v>2022</v>
      </c>
      <c r="H1010" s="2">
        <f>'mpi_dataset_summary_2017-2024'!$G1010-'mpi_dataset_summary_2017-2024'!$F1010+1</f>
        <v>1</v>
      </c>
      <c r="I1010" s="2" t="s">
        <v>2111</v>
      </c>
      <c r="J1010" s="2" t="s">
        <v>2111</v>
      </c>
      <c r="K1010" s="2">
        <f>IF('mpi_dataset_summary_2017-2024'!$G1010=2024,1,0)</f>
        <v>0</v>
      </c>
      <c r="L1010" s="2">
        <f t="shared" si="30"/>
        <v>0</v>
      </c>
      <c r="M1010" s="2">
        <v>0</v>
      </c>
      <c r="N1010" s="2">
        <f t="shared" si="31"/>
        <v>0</v>
      </c>
      <c r="O1010" s="2" t="s">
        <v>2114</v>
      </c>
      <c r="P1010" s="2" t="s">
        <v>2114</v>
      </c>
      <c r="Q1010" s="2" t="s">
        <v>2109</v>
      </c>
      <c r="R1010" s="3" t="s">
        <v>41</v>
      </c>
      <c r="S1010" s="2" t="s">
        <v>25</v>
      </c>
      <c r="T1010" s="2" t="s">
        <v>57</v>
      </c>
    </row>
    <row r="1011" spans="1:20" x14ac:dyDescent="0.2">
      <c r="A1011" s="2">
        <v>6077</v>
      </c>
      <c r="B1011" s="2" t="s">
        <v>1247</v>
      </c>
      <c r="C1011" s="2" t="s">
        <v>1741</v>
      </c>
      <c r="D1011" s="2" t="s">
        <v>161</v>
      </c>
      <c r="E1011" s="2" t="s">
        <v>43</v>
      </c>
      <c r="F1011" s="2">
        <v>2022</v>
      </c>
      <c r="G1011" s="2">
        <v>2024</v>
      </c>
      <c r="H1011" s="2">
        <f>'mpi_dataset_summary_2017-2024'!$G1011-'mpi_dataset_summary_2017-2024'!$F1011+1</f>
        <v>3</v>
      </c>
      <c r="I1011" s="2" t="s">
        <v>2111</v>
      </c>
      <c r="J1011" s="2" t="s">
        <v>2111</v>
      </c>
      <c r="K1011" s="2">
        <f>IF('mpi_dataset_summary_2017-2024'!$G1011=2024,1,0)</f>
        <v>1</v>
      </c>
      <c r="L1011" s="2">
        <f t="shared" si="30"/>
        <v>0</v>
      </c>
      <c r="M1011" s="2">
        <v>120</v>
      </c>
      <c r="N1011" s="2">
        <f t="shared" si="31"/>
        <v>0.38900000000000001</v>
      </c>
      <c r="O1011" s="2" t="s">
        <v>2114</v>
      </c>
      <c r="P1011" s="2" t="s">
        <v>2114</v>
      </c>
      <c r="Q1011" s="2" t="s">
        <v>2108</v>
      </c>
      <c r="R1011" s="3" t="s">
        <v>35</v>
      </c>
      <c r="S1011" s="2" t="s">
        <v>22</v>
      </c>
      <c r="T1011" s="2" t="s">
        <v>45</v>
      </c>
    </row>
    <row r="1012" spans="1:20" x14ac:dyDescent="0.2">
      <c r="A1012" s="2">
        <v>6078</v>
      </c>
      <c r="B1012" s="2" t="s">
        <v>1742</v>
      </c>
      <c r="C1012" s="2" t="s">
        <v>630</v>
      </c>
      <c r="D1012" s="2" t="s">
        <v>69</v>
      </c>
      <c r="E1012" s="2" t="s">
        <v>20</v>
      </c>
      <c r="F1012" s="2">
        <v>2024</v>
      </c>
      <c r="G1012" s="2">
        <v>2024</v>
      </c>
      <c r="H1012" s="2">
        <f>'mpi_dataset_summary_2017-2024'!$G1012-'mpi_dataset_summary_2017-2024'!$F1012+1</f>
        <v>1</v>
      </c>
      <c r="I1012" s="2" t="s">
        <v>2110</v>
      </c>
      <c r="J1012" s="2" t="s">
        <v>2110</v>
      </c>
      <c r="K1012" s="2">
        <f>IF('mpi_dataset_summary_2017-2024'!$G1012=2024,1,0)</f>
        <v>1</v>
      </c>
      <c r="L1012" s="2">
        <f t="shared" si="30"/>
        <v>1</v>
      </c>
      <c r="M1012" s="2">
        <v>178</v>
      </c>
      <c r="N1012" s="2">
        <f t="shared" si="31"/>
        <v>0.47399999999999998</v>
      </c>
      <c r="O1012" s="2" t="s">
        <v>2114</v>
      </c>
      <c r="P1012" s="2" t="s">
        <v>2114</v>
      </c>
      <c r="Q1012" s="2" t="s">
        <v>2107</v>
      </c>
      <c r="R1012" s="3" t="s">
        <v>29</v>
      </c>
      <c r="S1012" s="2" t="s">
        <v>22</v>
      </c>
      <c r="T1012" s="2" t="s">
        <v>30</v>
      </c>
    </row>
    <row r="1013" spans="1:20" x14ac:dyDescent="0.2">
      <c r="A1013" s="2">
        <v>6079</v>
      </c>
      <c r="B1013" s="2" t="s">
        <v>1743</v>
      </c>
      <c r="C1013" s="2" t="s">
        <v>1744</v>
      </c>
      <c r="D1013" s="2" t="s">
        <v>66</v>
      </c>
      <c r="E1013" s="2" t="s">
        <v>20</v>
      </c>
      <c r="F1013" s="2">
        <v>2022</v>
      </c>
      <c r="G1013" s="2">
        <v>2023</v>
      </c>
      <c r="H1013" s="2">
        <f>'mpi_dataset_summary_2017-2024'!$G1013-'mpi_dataset_summary_2017-2024'!$F1013+1</f>
        <v>2</v>
      </c>
      <c r="I1013" s="2" t="s">
        <v>2111</v>
      </c>
      <c r="J1013" s="2" t="s">
        <v>2111</v>
      </c>
      <c r="K1013" s="2">
        <f>IF('mpi_dataset_summary_2017-2024'!$G1013=2024,1,0)</f>
        <v>0</v>
      </c>
      <c r="L1013" s="2">
        <f t="shared" si="30"/>
        <v>0</v>
      </c>
      <c r="M1013" s="2">
        <v>50</v>
      </c>
      <c r="N1013" s="2">
        <f t="shared" si="31"/>
        <v>0.214</v>
      </c>
      <c r="O1013" s="2">
        <v>58.450941</v>
      </c>
      <c r="P1013" s="2">
        <v>-119.237323</v>
      </c>
      <c r="Q1013" s="2" t="s">
        <v>2108</v>
      </c>
      <c r="R1013" s="3" t="s">
        <v>41</v>
      </c>
      <c r="S1013" s="2" t="s">
        <v>25</v>
      </c>
      <c r="T1013" s="2" t="s">
        <v>46</v>
      </c>
    </row>
    <row r="1014" spans="1:20" x14ac:dyDescent="0.2">
      <c r="A1014" s="2">
        <v>6081</v>
      </c>
      <c r="B1014" s="2" t="s">
        <v>1745</v>
      </c>
      <c r="C1014" s="2" t="s">
        <v>1746</v>
      </c>
      <c r="D1014" s="2" t="s">
        <v>69</v>
      </c>
      <c r="E1014" s="2" t="s">
        <v>20</v>
      </c>
      <c r="F1014" s="2">
        <v>2022</v>
      </c>
      <c r="G1014" s="2">
        <v>2024</v>
      </c>
      <c r="H1014" s="2">
        <f>'mpi_dataset_summary_2017-2024'!$G1014-'mpi_dataset_summary_2017-2024'!$F1014+1</f>
        <v>3</v>
      </c>
      <c r="I1014" s="2" t="s">
        <v>2111</v>
      </c>
      <c r="J1014" s="2" t="s">
        <v>2113</v>
      </c>
      <c r="K1014" s="2">
        <f>IF('mpi_dataset_summary_2017-2024'!$G1014=2024,1,0)</f>
        <v>1</v>
      </c>
      <c r="L1014" s="2">
        <f t="shared" si="30"/>
        <v>0</v>
      </c>
      <c r="M1014" s="2">
        <v>2632</v>
      </c>
      <c r="N1014" s="2">
        <f t="shared" si="31"/>
        <v>0.91600000000000004</v>
      </c>
      <c r="O1014" s="2" t="s">
        <v>2114</v>
      </c>
      <c r="P1014" s="2" t="s">
        <v>2114</v>
      </c>
      <c r="Q1014" s="2" t="s">
        <v>2107</v>
      </c>
      <c r="R1014" s="3" t="s">
        <v>29</v>
      </c>
      <c r="S1014" s="2" t="s">
        <v>22</v>
      </c>
      <c r="T1014" s="2" t="s">
        <v>30</v>
      </c>
    </row>
    <row r="1015" spans="1:20" x14ac:dyDescent="0.2">
      <c r="A1015" s="2">
        <v>6083</v>
      </c>
      <c r="B1015" s="2" t="s">
        <v>1653</v>
      </c>
      <c r="C1015" s="2" t="s">
        <v>1747</v>
      </c>
      <c r="D1015" s="2" t="s">
        <v>66</v>
      </c>
      <c r="E1015" s="2" t="s">
        <v>20</v>
      </c>
      <c r="F1015" s="2">
        <v>2022</v>
      </c>
      <c r="G1015" s="2">
        <v>2024</v>
      </c>
      <c r="H1015" s="2">
        <f>'mpi_dataset_summary_2017-2024'!$G1015-'mpi_dataset_summary_2017-2024'!$F1015+1</f>
        <v>3</v>
      </c>
      <c r="I1015" s="2" t="s">
        <v>2111</v>
      </c>
      <c r="J1015" s="2" t="s">
        <v>2113</v>
      </c>
      <c r="K1015" s="2">
        <f>IF('mpi_dataset_summary_2017-2024'!$G1015=2024,1,0)</f>
        <v>1</v>
      </c>
      <c r="L1015" s="2">
        <f t="shared" si="30"/>
        <v>0</v>
      </c>
      <c r="M1015" s="2">
        <v>40</v>
      </c>
      <c r="N1015" s="2">
        <f t="shared" si="31"/>
        <v>0.17799999999999999</v>
      </c>
      <c r="O1015" s="2">
        <v>53.515087999999999</v>
      </c>
      <c r="P1015" s="2">
        <v>-113.912081</v>
      </c>
      <c r="Q1015" s="2" t="s">
        <v>2108</v>
      </c>
      <c r="R1015" s="3" t="s">
        <v>24</v>
      </c>
      <c r="S1015" s="2" t="s">
        <v>25</v>
      </c>
      <c r="T1015" s="2" t="s">
        <v>26</v>
      </c>
    </row>
    <row r="1016" spans="1:20" x14ac:dyDescent="0.2">
      <c r="A1016" s="2">
        <v>6084</v>
      </c>
      <c r="B1016" s="2" t="s">
        <v>1404</v>
      </c>
      <c r="C1016" s="2" t="s">
        <v>1748</v>
      </c>
      <c r="D1016" s="2" t="s">
        <v>66</v>
      </c>
      <c r="E1016" s="2" t="s">
        <v>20</v>
      </c>
      <c r="F1016" s="2">
        <v>2022</v>
      </c>
      <c r="G1016" s="2">
        <v>2024</v>
      </c>
      <c r="H1016" s="2">
        <f>'mpi_dataset_summary_2017-2024'!$G1016-'mpi_dataset_summary_2017-2024'!$F1016+1</f>
        <v>3</v>
      </c>
      <c r="I1016" s="2" t="s">
        <v>2111</v>
      </c>
      <c r="J1016" s="2" t="s">
        <v>2112</v>
      </c>
      <c r="K1016" s="2">
        <f>IF('mpi_dataset_summary_2017-2024'!$G1016=2024,1,0)</f>
        <v>1</v>
      </c>
      <c r="L1016" s="2">
        <f t="shared" si="30"/>
        <v>0</v>
      </c>
      <c r="M1016" s="2">
        <v>600</v>
      </c>
      <c r="N1016" s="2">
        <f t="shared" si="31"/>
        <v>0.71399999999999997</v>
      </c>
      <c r="O1016" s="2">
        <v>50.070673999999997</v>
      </c>
      <c r="P1016" s="2">
        <v>-110.70734</v>
      </c>
      <c r="Q1016" s="2" t="s">
        <v>2108</v>
      </c>
      <c r="R1016" s="3" t="s">
        <v>24</v>
      </c>
      <c r="S1016" s="2" t="s">
        <v>25</v>
      </c>
      <c r="T1016" s="2" t="s">
        <v>26</v>
      </c>
    </row>
    <row r="1017" spans="1:20" x14ac:dyDescent="0.2">
      <c r="A1017" s="2">
        <v>6085</v>
      </c>
      <c r="B1017" s="2" t="s">
        <v>1749</v>
      </c>
      <c r="C1017" s="2" t="s">
        <v>1750</v>
      </c>
      <c r="D1017" s="2" t="s">
        <v>110</v>
      </c>
      <c r="E1017" s="2" t="s">
        <v>20</v>
      </c>
      <c r="F1017" s="2">
        <v>2022</v>
      </c>
      <c r="G1017" s="2">
        <v>2023</v>
      </c>
      <c r="H1017" s="2">
        <f>'mpi_dataset_summary_2017-2024'!$G1017-'mpi_dataset_summary_2017-2024'!$F1017+1</f>
        <v>2</v>
      </c>
      <c r="I1017" s="2" t="s">
        <v>2111</v>
      </c>
      <c r="J1017" s="2" t="s">
        <v>2110</v>
      </c>
      <c r="K1017" s="2">
        <f>IF('mpi_dataset_summary_2017-2024'!$G1017=2024,1,0)</f>
        <v>0</v>
      </c>
      <c r="L1017" s="2">
        <f t="shared" si="30"/>
        <v>1</v>
      </c>
      <c r="M1017" s="2">
        <v>160</v>
      </c>
      <c r="N1017" s="2">
        <f t="shared" si="31"/>
        <v>0.45600000000000002</v>
      </c>
      <c r="O1017" s="2" t="s">
        <v>2114</v>
      </c>
      <c r="P1017" s="2" t="s">
        <v>2114</v>
      </c>
      <c r="Q1017" s="2" t="s">
        <v>2109</v>
      </c>
      <c r="R1017" s="3" t="s">
        <v>51</v>
      </c>
      <c r="S1017" s="2" t="s">
        <v>22</v>
      </c>
      <c r="T1017" s="2" t="s">
        <v>52</v>
      </c>
    </row>
    <row r="1018" spans="1:20" x14ac:dyDescent="0.2">
      <c r="A1018" s="2">
        <v>6086</v>
      </c>
      <c r="B1018" s="2" t="s">
        <v>1751</v>
      </c>
      <c r="C1018" s="2" t="s">
        <v>1752</v>
      </c>
      <c r="D1018" s="2" t="s">
        <v>66</v>
      </c>
      <c r="E1018" s="2" t="s">
        <v>20</v>
      </c>
      <c r="F1018" s="2">
        <v>2022</v>
      </c>
      <c r="G1018" s="2">
        <v>2024</v>
      </c>
      <c r="H1018" s="2">
        <f>'mpi_dataset_summary_2017-2024'!$G1018-'mpi_dataset_summary_2017-2024'!$F1018+1</f>
        <v>3</v>
      </c>
      <c r="I1018" s="2" t="s">
        <v>2111</v>
      </c>
      <c r="J1018" s="2" t="s">
        <v>2110</v>
      </c>
      <c r="K1018" s="2">
        <f>IF('mpi_dataset_summary_2017-2024'!$G1018=2024,1,0)</f>
        <v>1</v>
      </c>
      <c r="L1018" s="2">
        <f t="shared" si="30"/>
        <v>1</v>
      </c>
      <c r="M1018" s="2">
        <v>100</v>
      </c>
      <c r="N1018" s="2">
        <f t="shared" si="31"/>
        <v>0.34300000000000003</v>
      </c>
      <c r="O1018" s="2">
        <v>53.804239000000003</v>
      </c>
      <c r="P1018" s="2">
        <v>-113.08890599999999</v>
      </c>
      <c r="Q1018" s="2" t="s">
        <v>2108</v>
      </c>
      <c r="R1018" s="3" t="s">
        <v>49</v>
      </c>
      <c r="S1018" s="2" t="s">
        <v>25</v>
      </c>
      <c r="T1018" s="2" t="s">
        <v>50</v>
      </c>
    </row>
    <row r="1019" spans="1:20" x14ac:dyDescent="0.2">
      <c r="A1019" s="2">
        <v>6087</v>
      </c>
      <c r="B1019" s="2" t="s">
        <v>1753</v>
      </c>
      <c r="C1019" s="2" t="s">
        <v>1754</v>
      </c>
      <c r="D1019" s="2" t="s">
        <v>161</v>
      </c>
      <c r="E1019" s="2" t="s">
        <v>20</v>
      </c>
      <c r="F1019" s="2">
        <v>2022</v>
      </c>
      <c r="G1019" s="2">
        <v>2024</v>
      </c>
      <c r="H1019" s="2">
        <f>'mpi_dataset_summary_2017-2024'!$G1019-'mpi_dataset_summary_2017-2024'!$F1019+1</f>
        <v>3</v>
      </c>
      <c r="I1019" s="2" t="s">
        <v>2111</v>
      </c>
      <c r="J1019" s="2" t="s">
        <v>2111</v>
      </c>
      <c r="K1019" s="2">
        <f>IF('mpi_dataset_summary_2017-2024'!$G1019=2024,1,0)</f>
        <v>1</v>
      </c>
      <c r="L1019" s="2">
        <f t="shared" si="30"/>
        <v>0</v>
      </c>
      <c r="M1019" s="2">
        <v>232.9</v>
      </c>
      <c r="N1019" s="2">
        <f t="shared" si="31"/>
        <v>0.52700000000000002</v>
      </c>
      <c r="O1019" s="2">
        <v>46.291978999999998</v>
      </c>
      <c r="P1019" s="2">
        <v>-81.858789000000002</v>
      </c>
      <c r="Q1019" s="2" t="s">
        <v>2107</v>
      </c>
      <c r="R1019" s="3" t="s">
        <v>41</v>
      </c>
      <c r="S1019" s="2" t="s">
        <v>22</v>
      </c>
      <c r="T1019" s="2" t="s">
        <v>42</v>
      </c>
    </row>
    <row r="1020" spans="1:20" x14ac:dyDescent="0.2">
      <c r="A1020" s="2">
        <v>6088</v>
      </c>
      <c r="B1020" s="2" t="s">
        <v>1755</v>
      </c>
      <c r="C1020" s="2" t="s">
        <v>1756</v>
      </c>
      <c r="D1020" s="2" t="s">
        <v>66</v>
      </c>
      <c r="E1020" s="2" t="s">
        <v>20</v>
      </c>
      <c r="F1020" s="2">
        <v>2022</v>
      </c>
      <c r="G1020" s="2">
        <v>2024</v>
      </c>
      <c r="H1020" s="2">
        <f>'mpi_dataset_summary_2017-2024'!$G1020-'mpi_dataset_summary_2017-2024'!$F1020+1</f>
        <v>3</v>
      </c>
      <c r="I1020" s="2" t="s">
        <v>2111</v>
      </c>
      <c r="J1020" s="2" t="s">
        <v>2111</v>
      </c>
      <c r="K1020" s="2">
        <f>IF('mpi_dataset_summary_2017-2024'!$G1020=2024,1,0)</f>
        <v>1</v>
      </c>
      <c r="L1020" s="2">
        <f t="shared" si="30"/>
        <v>0</v>
      </c>
      <c r="M1020" s="2">
        <v>35</v>
      </c>
      <c r="N1020" s="2">
        <f t="shared" si="31"/>
        <v>0.158</v>
      </c>
      <c r="O1020" s="2">
        <v>55.265037999999997</v>
      </c>
      <c r="P1020" s="2">
        <v>-114.57517</v>
      </c>
      <c r="Q1020" s="2" t="s">
        <v>2108</v>
      </c>
      <c r="R1020" s="3" t="s">
        <v>27</v>
      </c>
      <c r="S1020" s="2" t="s">
        <v>25</v>
      </c>
      <c r="T1020" s="2" t="s">
        <v>28</v>
      </c>
    </row>
    <row r="1021" spans="1:20" x14ac:dyDescent="0.2">
      <c r="A1021" s="2">
        <v>6089</v>
      </c>
      <c r="B1021" s="2" t="s">
        <v>1693</v>
      </c>
      <c r="C1021" s="2" t="s">
        <v>1757</v>
      </c>
      <c r="D1021" s="2" t="s">
        <v>161</v>
      </c>
      <c r="E1021" s="2" t="s">
        <v>43</v>
      </c>
      <c r="F1021" s="2">
        <v>2022</v>
      </c>
      <c r="G1021" s="2">
        <v>2024</v>
      </c>
      <c r="H1021" s="2">
        <f>'mpi_dataset_summary_2017-2024'!$G1021-'mpi_dataset_summary_2017-2024'!$F1021+1</f>
        <v>3</v>
      </c>
      <c r="I1021" s="2" t="s">
        <v>2111</v>
      </c>
      <c r="J1021" s="2" t="s">
        <v>2111</v>
      </c>
      <c r="K1021" s="2">
        <f>IF('mpi_dataset_summary_2017-2024'!$G1021=2024,1,0)</f>
        <v>1</v>
      </c>
      <c r="L1021" s="2">
        <f t="shared" si="30"/>
        <v>0</v>
      </c>
      <c r="M1021" s="2">
        <v>250</v>
      </c>
      <c r="N1021" s="2">
        <f t="shared" si="31"/>
        <v>0.53500000000000003</v>
      </c>
      <c r="O1021" s="2" t="s">
        <v>2114</v>
      </c>
      <c r="P1021" s="2" t="s">
        <v>2114</v>
      </c>
      <c r="Q1021" s="2" t="s">
        <v>2108</v>
      </c>
      <c r="R1021" s="3" t="s">
        <v>35</v>
      </c>
      <c r="S1021" s="2" t="s">
        <v>22</v>
      </c>
      <c r="T1021" s="2" t="s">
        <v>36</v>
      </c>
    </row>
    <row r="1022" spans="1:20" x14ac:dyDescent="0.2">
      <c r="A1022" s="2">
        <v>6090</v>
      </c>
      <c r="B1022" s="2" t="s">
        <v>928</v>
      </c>
      <c r="C1022" s="2" t="s">
        <v>1758</v>
      </c>
      <c r="D1022" s="2" t="s">
        <v>66</v>
      </c>
      <c r="E1022" s="2" t="s">
        <v>20</v>
      </c>
      <c r="F1022" s="2">
        <v>2022</v>
      </c>
      <c r="G1022" s="2">
        <v>2024</v>
      </c>
      <c r="H1022" s="2">
        <f>'mpi_dataset_summary_2017-2024'!$G1022-'mpi_dataset_summary_2017-2024'!$F1022+1</f>
        <v>3</v>
      </c>
      <c r="I1022" s="2" t="s">
        <v>2111</v>
      </c>
      <c r="J1022" s="2" t="s">
        <v>2110</v>
      </c>
      <c r="K1022" s="2">
        <f>IF('mpi_dataset_summary_2017-2024'!$G1022=2024,1,0)</f>
        <v>1</v>
      </c>
      <c r="L1022" s="2">
        <f t="shared" si="30"/>
        <v>1</v>
      </c>
      <c r="M1022" s="2">
        <v>720</v>
      </c>
      <c r="N1022" s="2">
        <f t="shared" si="31"/>
        <v>0.752</v>
      </c>
      <c r="O1022" s="2">
        <v>53.546092999999999</v>
      </c>
      <c r="P1022" s="2">
        <v>-113.384158</v>
      </c>
      <c r="Q1022" s="2" t="s">
        <v>2108</v>
      </c>
      <c r="R1022" s="3" t="s">
        <v>44</v>
      </c>
      <c r="S1022" s="2" t="s">
        <v>25</v>
      </c>
      <c r="T1022" s="2" t="s">
        <v>45</v>
      </c>
    </row>
    <row r="1023" spans="1:20" x14ac:dyDescent="0.2">
      <c r="A1023" s="2">
        <v>6091</v>
      </c>
      <c r="B1023" s="2" t="s">
        <v>1759</v>
      </c>
      <c r="C1023" s="2" t="s">
        <v>1760</v>
      </c>
      <c r="D1023" s="2" t="s">
        <v>66</v>
      </c>
      <c r="E1023" s="2" t="s">
        <v>20</v>
      </c>
      <c r="F1023" s="2">
        <v>2022</v>
      </c>
      <c r="G1023" s="2">
        <v>2024</v>
      </c>
      <c r="H1023" s="2">
        <f>'mpi_dataset_summary_2017-2024'!$G1023-'mpi_dataset_summary_2017-2024'!$F1023+1</f>
        <v>3</v>
      </c>
      <c r="I1023" s="2" t="s">
        <v>2111</v>
      </c>
      <c r="J1023" s="2" t="s">
        <v>2111</v>
      </c>
      <c r="K1023" s="2">
        <f>IF('mpi_dataset_summary_2017-2024'!$G1023=2024,1,0)</f>
        <v>1</v>
      </c>
      <c r="L1023" s="2">
        <f t="shared" si="30"/>
        <v>0</v>
      </c>
      <c r="M1023" s="2">
        <v>3532</v>
      </c>
      <c r="N1023" s="2">
        <f t="shared" si="31"/>
        <v>0.93200000000000005</v>
      </c>
      <c r="O1023" s="2" t="s">
        <v>2114</v>
      </c>
      <c r="P1023" s="2" t="s">
        <v>2114</v>
      </c>
      <c r="Q1023" s="2" t="s">
        <v>2108</v>
      </c>
      <c r="R1023" s="3" t="s">
        <v>44</v>
      </c>
      <c r="S1023" s="2" t="s">
        <v>25</v>
      </c>
      <c r="T1023" s="2" t="s">
        <v>45</v>
      </c>
    </row>
    <row r="1024" spans="1:20" x14ac:dyDescent="0.2">
      <c r="A1024" s="2">
        <v>6092</v>
      </c>
      <c r="B1024" s="2" t="s">
        <v>342</v>
      </c>
      <c r="C1024" s="2" t="s">
        <v>1761</v>
      </c>
      <c r="D1024" s="2" t="s">
        <v>66</v>
      </c>
      <c r="E1024" s="2" t="s">
        <v>20</v>
      </c>
      <c r="F1024" s="2">
        <v>2022</v>
      </c>
      <c r="G1024" s="2">
        <v>2024</v>
      </c>
      <c r="H1024" s="2">
        <f>'mpi_dataset_summary_2017-2024'!$G1024-'mpi_dataset_summary_2017-2024'!$F1024+1</f>
        <v>3</v>
      </c>
      <c r="I1024" s="2" t="s">
        <v>2111</v>
      </c>
      <c r="J1024" s="2" t="s">
        <v>2111</v>
      </c>
      <c r="K1024" s="2">
        <f>IF('mpi_dataset_summary_2017-2024'!$G1024=2024,1,0)</f>
        <v>1</v>
      </c>
      <c r="L1024" s="2">
        <f t="shared" si="30"/>
        <v>0</v>
      </c>
      <c r="M1024" s="2">
        <v>52.5</v>
      </c>
      <c r="N1024" s="2">
        <f t="shared" si="31"/>
        <v>0.23499999999999999</v>
      </c>
      <c r="O1024" s="2">
        <v>57.380561</v>
      </c>
      <c r="P1024" s="2">
        <v>-111.509771</v>
      </c>
      <c r="Q1024" s="2" t="s">
        <v>2108</v>
      </c>
      <c r="R1024" s="3" t="s">
        <v>24</v>
      </c>
      <c r="S1024" s="2" t="s">
        <v>25</v>
      </c>
      <c r="T1024" s="2" t="s">
        <v>26</v>
      </c>
    </row>
    <row r="1025" spans="1:20" x14ac:dyDescent="0.2">
      <c r="A1025" s="2">
        <v>6093</v>
      </c>
      <c r="B1025" s="2" t="s">
        <v>170</v>
      </c>
      <c r="C1025" s="2" t="s">
        <v>1762</v>
      </c>
      <c r="D1025" s="2" t="s">
        <v>66</v>
      </c>
      <c r="E1025" s="2" t="s">
        <v>20</v>
      </c>
      <c r="F1025" s="2">
        <v>2022</v>
      </c>
      <c r="G1025" s="2">
        <v>2022</v>
      </c>
      <c r="H1025" s="2">
        <f>'mpi_dataset_summary_2017-2024'!$G1025-'mpi_dataset_summary_2017-2024'!$F1025+1</f>
        <v>1</v>
      </c>
      <c r="I1025" s="2" t="s">
        <v>2111</v>
      </c>
      <c r="J1025" s="2" t="s">
        <v>2111</v>
      </c>
      <c r="K1025" s="2">
        <f>IF('mpi_dataset_summary_2017-2024'!$G1025=2024,1,0)</f>
        <v>0</v>
      </c>
      <c r="L1025" s="2">
        <f t="shared" si="30"/>
        <v>0</v>
      </c>
      <c r="M1025" s="2">
        <v>0</v>
      </c>
      <c r="N1025" s="2">
        <f t="shared" si="31"/>
        <v>0</v>
      </c>
      <c r="O1025" s="2" t="s">
        <v>2114</v>
      </c>
      <c r="P1025" s="2" t="s">
        <v>2114</v>
      </c>
      <c r="Q1025" s="2" t="s">
        <v>2108</v>
      </c>
      <c r="R1025" s="3" t="s">
        <v>47</v>
      </c>
      <c r="S1025" s="2" t="s">
        <v>25</v>
      </c>
      <c r="T1025" s="2" t="s">
        <v>48</v>
      </c>
    </row>
    <row r="1026" spans="1:20" x14ac:dyDescent="0.2">
      <c r="A1026" s="2">
        <v>6094</v>
      </c>
      <c r="B1026" s="2" t="s">
        <v>173</v>
      </c>
      <c r="C1026" s="2" t="s">
        <v>1763</v>
      </c>
      <c r="D1026" s="2" t="s">
        <v>66</v>
      </c>
      <c r="E1026" s="2" t="s">
        <v>20</v>
      </c>
      <c r="F1026" s="2">
        <v>2022</v>
      </c>
      <c r="G1026" s="2">
        <v>2022</v>
      </c>
      <c r="H1026" s="2">
        <f>'mpi_dataset_summary_2017-2024'!$G1026-'mpi_dataset_summary_2017-2024'!$F1026+1</f>
        <v>1</v>
      </c>
      <c r="I1026" s="2" t="s">
        <v>2111</v>
      </c>
      <c r="J1026" s="2" t="s">
        <v>2111</v>
      </c>
      <c r="K1026" s="2">
        <f>IF('mpi_dataset_summary_2017-2024'!$G1026=2024,1,0)</f>
        <v>0</v>
      </c>
      <c r="L1026" s="2">
        <f t="shared" ref="L1026:L1089" si="32">IF(J1026="Under Construction",1,0)</f>
        <v>0</v>
      </c>
      <c r="M1026" s="2">
        <v>0</v>
      </c>
      <c r="N1026" s="2">
        <f t="shared" ref="N1026:N1089" si="33">_xlfn.PERCENTRANK.INC($M$2:$M$4056,M1026)</f>
        <v>0</v>
      </c>
      <c r="O1026" s="2" t="s">
        <v>2114</v>
      </c>
      <c r="P1026" s="2" t="s">
        <v>2114</v>
      </c>
      <c r="Q1026" s="2" t="s">
        <v>2108</v>
      </c>
      <c r="R1026" s="3" t="s">
        <v>24</v>
      </c>
      <c r="S1026" s="2" t="s">
        <v>25</v>
      </c>
      <c r="T1026" s="2" t="s">
        <v>26</v>
      </c>
    </row>
    <row r="1027" spans="1:20" x14ac:dyDescent="0.2">
      <c r="A1027" s="2">
        <v>6095</v>
      </c>
      <c r="B1027" s="2" t="s">
        <v>1336</v>
      </c>
      <c r="C1027" s="2" t="s">
        <v>1764</v>
      </c>
      <c r="D1027" s="2" t="s">
        <v>83</v>
      </c>
      <c r="E1027" s="2" t="s">
        <v>20</v>
      </c>
      <c r="F1027" s="2">
        <v>2022</v>
      </c>
      <c r="G1027" s="2">
        <v>2023</v>
      </c>
      <c r="H1027" s="2">
        <f>'mpi_dataset_summary_2017-2024'!$G1027-'mpi_dataset_summary_2017-2024'!$F1027+1</f>
        <v>2</v>
      </c>
      <c r="I1027" s="2" t="s">
        <v>2112</v>
      </c>
      <c r="J1027" s="2" t="s">
        <v>2112</v>
      </c>
      <c r="K1027" s="2">
        <f>IF('mpi_dataset_summary_2017-2024'!$G1027=2024,1,0)</f>
        <v>0</v>
      </c>
      <c r="L1027" s="2">
        <f t="shared" si="32"/>
        <v>0</v>
      </c>
      <c r="M1027" s="2">
        <v>52</v>
      </c>
      <c r="N1027" s="2">
        <f t="shared" si="33"/>
        <v>0.23300000000000001</v>
      </c>
      <c r="O1027" s="2" t="s">
        <v>2114</v>
      </c>
      <c r="P1027" s="2" t="s">
        <v>2114</v>
      </c>
      <c r="Q1027" s="2" t="s">
        <v>2108</v>
      </c>
      <c r="R1027" s="3" t="s">
        <v>39</v>
      </c>
      <c r="S1027" s="2" t="s">
        <v>22</v>
      </c>
      <c r="T1027" s="2" t="s">
        <v>40</v>
      </c>
    </row>
    <row r="1028" spans="1:20" x14ac:dyDescent="0.2">
      <c r="A1028" s="2">
        <v>6096</v>
      </c>
      <c r="B1028" s="2" t="s">
        <v>1765</v>
      </c>
      <c r="C1028" s="2" t="s">
        <v>1766</v>
      </c>
      <c r="D1028" s="2" t="s">
        <v>89</v>
      </c>
      <c r="E1028" s="2" t="s">
        <v>20</v>
      </c>
      <c r="F1028" s="2">
        <v>2024</v>
      </c>
      <c r="G1028" s="2">
        <v>2024</v>
      </c>
      <c r="H1028" s="2">
        <f>'mpi_dataset_summary_2017-2024'!$G1028-'mpi_dataset_summary_2017-2024'!$F1028+1</f>
        <v>1</v>
      </c>
      <c r="I1028" s="2" t="s">
        <v>2112</v>
      </c>
      <c r="J1028" s="2" t="s">
        <v>2112</v>
      </c>
      <c r="K1028" s="2">
        <f>IF('mpi_dataset_summary_2017-2024'!$G1028=2024,1,0)</f>
        <v>1</v>
      </c>
      <c r="L1028" s="2">
        <f t="shared" si="32"/>
        <v>0</v>
      </c>
      <c r="M1028" s="2">
        <v>449.5</v>
      </c>
      <c r="N1028" s="2">
        <f t="shared" si="33"/>
        <v>0.65400000000000003</v>
      </c>
      <c r="O1028" s="2">
        <v>51.011121000000003</v>
      </c>
      <c r="P1028" s="2">
        <v>-74.466633999999999</v>
      </c>
      <c r="Q1028" s="2" t="s">
        <v>2107</v>
      </c>
      <c r="R1028" s="3" t="s">
        <v>41</v>
      </c>
      <c r="S1028" s="2" t="s">
        <v>22</v>
      </c>
      <c r="T1028" s="2" t="s">
        <v>42</v>
      </c>
    </row>
    <row r="1029" spans="1:20" x14ac:dyDescent="0.2">
      <c r="A1029" s="2">
        <v>6097</v>
      </c>
      <c r="B1029" s="2" t="s">
        <v>159</v>
      </c>
      <c r="C1029" s="2" t="s">
        <v>488</v>
      </c>
      <c r="D1029" s="2" t="s">
        <v>161</v>
      </c>
      <c r="E1029" s="2" t="s">
        <v>20</v>
      </c>
      <c r="F1029" s="2">
        <v>2022</v>
      </c>
      <c r="G1029" s="2">
        <v>2024</v>
      </c>
      <c r="H1029" s="2">
        <f>'mpi_dataset_summary_2017-2024'!$G1029-'mpi_dataset_summary_2017-2024'!$F1029+1</f>
        <v>3</v>
      </c>
      <c r="I1029" s="2" t="s">
        <v>2111</v>
      </c>
      <c r="J1029" s="2" t="s">
        <v>2112</v>
      </c>
      <c r="K1029" s="2">
        <f>IF('mpi_dataset_summary_2017-2024'!$G1029=2024,1,0)</f>
        <v>1</v>
      </c>
      <c r="L1029" s="2">
        <f t="shared" si="32"/>
        <v>0</v>
      </c>
      <c r="M1029" s="2">
        <v>240.1</v>
      </c>
      <c r="N1029" s="2">
        <f t="shared" si="33"/>
        <v>0.53200000000000003</v>
      </c>
      <c r="O1029" s="2">
        <v>48.165061000000001</v>
      </c>
      <c r="P1029" s="2">
        <v>-79.764065000000002</v>
      </c>
      <c r="Q1029" s="2" t="s">
        <v>2107</v>
      </c>
      <c r="R1029" s="3" t="s">
        <v>41</v>
      </c>
      <c r="S1029" s="2" t="s">
        <v>22</v>
      </c>
      <c r="T1029" s="2" t="s">
        <v>42</v>
      </c>
    </row>
    <row r="1030" spans="1:20" x14ac:dyDescent="0.2">
      <c r="A1030" s="2">
        <v>6098</v>
      </c>
      <c r="B1030" s="2" t="s">
        <v>1767</v>
      </c>
      <c r="C1030" s="2" t="s">
        <v>1768</v>
      </c>
      <c r="D1030" s="2" t="s">
        <v>89</v>
      </c>
      <c r="E1030" s="2" t="s">
        <v>20</v>
      </c>
      <c r="F1030" s="2">
        <v>2022</v>
      </c>
      <c r="G1030" s="2">
        <v>2024</v>
      </c>
      <c r="H1030" s="2">
        <f>'mpi_dataset_summary_2017-2024'!$G1030-'mpi_dataset_summary_2017-2024'!$F1030+1</f>
        <v>3</v>
      </c>
      <c r="I1030" s="2" t="s">
        <v>2110</v>
      </c>
      <c r="J1030" s="2" t="s">
        <v>2110</v>
      </c>
      <c r="K1030" s="2">
        <f>IF('mpi_dataset_summary_2017-2024'!$G1030=2024,1,0)</f>
        <v>1</v>
      </c>
      <c r="L1030" s="2">
        <f t="shared" si="32"/>
        <v>1</v>
      </c>
      <c r="M1030" s="2">
        <v>46</v>
      </c>
      <c r="N1030" s="2">
        <f t="shared" si="33"/>
        <v>0.20399999999999999</v>
      </c>
      <c r="O1030" s="2">
        <v>48.412330087945698</v>
      </c>
      <c r="P1030" s="2">
        <v>-71.129848585243494</v>
      </c>
      <c r="Q1030" s="2" t="s">
        <v>2108</v>
      </c>
      <c r="R1030" s="3" t="s">
        <v>27</v>
      </c>
      <c r="S1030" s="2" t="s">
        <v>25</v>
      </c>
      <c r="T1030" s="2" t="s">
        <v>45</v>
      </c>
    </row>
    <row r="1031" spans="1:20" x14ac:dyDescent="0.2">
      <c r="A1031" s="2">
        <v>6100</v>
      </c>
      <c r="B1031" s="2" t="s">
        <v>1769</v>
      </c>
      <c r="C1031" s="2" t="s">
        <v>1770</v>
      </c>
      <c r="D1031" s="2" t="s">
        <v>89</v>
      </c>
      <c r="E1031" s="2" t="s">
        <v>20</v>
      </c>
      <c r="F1031" s="2">
        <v>2023</v>
      </c>
      <c r="G1031" s="2">
        <v>2024</v>
      </c>
      <c r="H1031" s="2">
        <f>'mpi_dataset_summary_2017-2024'!$G1031-'mpi_dataset_summary_2017-2024'!$F1031+1</f>
        <v>2</v>
      </c>
      <c r="I1031" s="2" t="s">
        <v>2111</v>
      </c>
      <c r="J1031" s="2" t="s">
        <v>2112</v>
      </c>
      <c r="K1031" s="2">
        <f>IF('mpi_dataset_summary_2017-2024'!$G1031=2024,1,0)</f>
        <v>1</v>
      </c>
      <c r="L1031" s="2">
        <f t="shared" si="32"/>
        <v>0</v>
      </c>
      <c r="M1031" s="2">
        <v>602</v>
      </c>
      <c r="N1031" s="2">
        <f t="shared" si="33"/>
        <v>0.72399999999999998</v>
      </c>
      <c r="O1031" s="2">
        <v>48.150027999999999</v>
      </c>
      <c r="P1031" s="2">
        <v>-77.500793000000002</v>
      </c>
      <c r="Q1031" s="2" t="s">
        <v>2107</v>
      </c>
      <c r="R1031" s="3" t="s">
        <v>29</v>
      </c>
      <c r="S1031" s="2" t="s">
        <v>22</v>
      </c>
      <c r="T1031" s="2" t="s">
        <v>30</v>
      </c>
    </row>
    <row r="1032" spans="1:20" x14ac:dyDescent="0.2">
      <c r="A1032" s="2">
        <v>6101</v>
      </c>
      <c r="B1032" s="2" t="s">
        <v>1771</v>
      </c>
      <c r="C1032" s="2" t="s">
        <v>1772</v>
      </c>
      <c r="D1032" s="2" t="s">
        <v>89</v>
      </c>
      <c r="E1032" s="2" t="s">
        <v>20</v>
      </c>
      <c r="F1032" s="2">
        <v>2022</v>
      </c>
      <c r="G1032" s="2">
        <v>2024</v>
      </c>
      <c r="H1032" s="2">
        <f>'mpi_dataset_summary_2017-2024'!$G1032-'mpi_dataset_summary_2017-2024'!$F1032+1</f>
        <v>3</v>
      </c>
      <c r="I1032" s="2" t="s">
        <v>2111</v>
      </c>
      <c r="J1032" s="2" t="s">
        <v>2111</v>
      </c>
      <c r="K1032" s="2">
        <f>IF('mpi_dataset_summary_2017-2024'!$G1032=2024,1,0)</f>
        <v>1</v>
      </c>
      <c r="L1032" s="2">
        <f t="shared" si="32"/>
        <v>0</v>
      </c>
      <c r="M1032" s="2">
        <v>43.8</v>
      </c>
      <c r="N1032" s="2">
        <f t="shared" si="33"/>
        <v>0.191</v>
      </c>
      <c r="O1032" s="2">
        <v>46.834699999999998</v>
      </c>
      <c r="P1032" s="2">
        <v>-71.203299999999999</v>
      </c>
      <c r="Q1032" s="2" t="s">
        <v>2108</v>
      </c>
      <c r="R1032" s="3" t="s">
        <v>41</v>
      </c>
      <c r="S1032" s="2" t="s">
        <v>25</v>
      </c>
      <c r="T1032" s="2" t="s">
        <v>46</v>
      </c>
    </row>
    <row r="1033" spans="1:20" x14ac:dyDescent="0.2">
      <c r="A1033" s="2">
        <v>6102</v>
      </c>
      <c r="B1033" s="2" t="s">
        <v>1773</v>
      </c>
      <c r="C1033" s="2" t="s">
        <v>1774</v>
      </c>
      <c r="D1033" s="2" t="s">
        <v>161</v>
      </c>
      <c r="E1033" s="2" t="s">
        <v>20</v>
      </c>
      <c r="F1033" s="2">
        <v>2022</v>
      </c>
      <c r="G1033" s="2">
        <v>2024</v>
      </c>
      <c r="H1033" s="2">
        <f>'mpi_dataset_summary_2017-2024'!$G1033-'mpi_dataset_summary_2017-2024'!$F1033+1</f>
        <v>3</v>
      </c>
      <c r="I1033" s="2" t="s">
        <v>2111</v>
      </c>
      <c r="J1033" s="2" t="s">
        <v>2111</v>
      </c>
      <c r="K1033" s="2">
        <f>IF('mpi_dataset_summary_2017-2024'!$G1033=2024,1,0)</f>
        <v>1</v>
      </c>
      <c r="L1033" s="2">
        <f t="shared" si="32"/>
        <v>0</v>
      </c>
      <c r="M1033" s="2">
        <v>149.6</v>
      </c>
      <c r="N1033" s="2">
        <f t="shared" si="33"/>
        <v>0.441</v>
      </c>
      <c r="O1033" s="2">
        <v>48.418089000000002</v>
      </c>
      <c r="P1033" s="2">
        <v>-81.483940000000004</v>
      </c>
      <c r="Q1033" s="2" t="s">
        <v>2107</v>
      </c>
      <c r="R1033" s="3" t="s">
        <v>29</v>
      </c>
      <c r="S1033" s="2" t="s">
        <v>22</v>
      </c>
      <c r="T1033" s="2" t="s">
        <v>30</v>
      </c>
    </row>
    <row r="1034" spans="1:20" x14ac:dyDescent="0.2">
      <c r="A1034" s="2">
        <v>6103</v>
      </c>
      <c r="B1034" s="2" t="s">
        <v>1775</v>
      </c>
      <c r="C1034" s="2" t="s">
        <v>462</v>
      </c>
      <c r="D1034" s="2" t="s">
        <v>69</v>
      </c>
      <c r="E1034" s="2" t="s">
        <v>20</v>
      </c>
      <c r="F1034" s="2">
        <v>2022</v>
      </c>
      <c r="G1034" s="2">
        <v>2024</v>
      </c>
      <c r="H1034" s="2">
        <f>'mpi_dataset_summary_2017-2024'!$G1034-'mpi_dataset_summary_2017-2024'!$F1034+1</f>
        <v>3</v>
      </c>
      <c r="I1034" s="2" t="s">
        <v>2111</v>
      </c>
      <c r="J1034" s="2" t="s">
        <v>2113</v>
      </c>
      <c r="K1034" s="2">
        <f>IF('mpi_dataset_summary_2017-2024'!$G1034=2024,1,0)</f>
        <v>1</v>
      </c>
      <c r="L1034" s="2">
        <f t="shared" si="32"/>
        <v>0</v>
      </c>
      <c r="M1034" s="2">
        <v>6700</v>
      </c>
      <c r="N1034" s="2">
        <f t="shared" si="33"/>
        <v>0.96399999999999997</v>
      </c>
      <c r="O1034" s="2" t="s">
        <v>2114</v>
      </c>
      <c r="P1034" s="2" t="s">
        <v>2114</v>
      </c>
      <c r="Q1034" s="2" t="s">
        <v>2108</v>
      </c>
      <c r="R1034" s="3" t="s">
        <v>35</v>
      </c>
      <c r="S1034" s="2" t="s">
        <v>22</v>
      </c>
      <c r="T1034" s="2" t="s">
        <v>36</v>
      </c>
    </row>
    <row r="1035" spans="1:20" x14ac:dyDescent="0.2">
      <c r="A1035" s="2">
        <v>6104</v>
      </c>
      <c r="B1035" s="2" t="s">
        <v>899</v>
      </c>
      <c r="C1035" s="2" t="s">
        <v>1776</v>
      </c>
      <c r="D1035" s="2" t="s">
        <v>126</v>
      </c>
      <c r="E1035" s="2" t="s">
        <v>20</v>
      </c>
      <c r="F1035" s="2">
        <v>2022</v>
      </c>
      <c r="G1035" s="2">
        <v>2024</v>
      </c>
      <c r="H1035" s="2">
        <f>'mpi_dataset_summary_2017-2024'!$G1035-'mpi_dataset_summary_2017-2024'!$F1035+1</f>
        <v>3</v>
      </c>
      <c r="I1035" s="2" t="s">
        <v>2111</v>
      </c>
      <c r="J1035" s="2" t="s">
        <v>2111</v>
      </c>
      <c r="K1035" s="2">
        <f>IF('mpi_dataset_summary_2017-2024'!$G1035=2024,1,0)</f>
        <v>1</v>
      </c>
      <c r="L1035" s="2">
        <f t="shared" si="32"/>
        <v>0</v>
      </c>
      <c r="M1035" s="2">
        <v>41.5</v>
      </c>
      <c r="N1035" s="2">
        <f t="shared" si="33"/>
        <v>0.186</v>
      </c>
      <c r="O1035" s="2">
        <v>63.252420999999998</v>
      </c>
      <c r="P1035" s="2">
        <v>-116.735563</v>
      </c>
      <c r="Q1035" s="2" t="s">
        <v>2108</v>
      </c>
      <c r="R1035" s="3" t="s">
        <v>35</v>
      </c>
      <c r="S1035" s="2" t="s">
        <v>22</v>
      </c>
      <c r="T1035" s="2" t="s">
        <v>36</v>
      </c>
    </row>
    <row r="1036" spans="1:20" x14ac:dyDescent="0.2">
      <c r="A1036" s="2">
        <v>6105</v>
      </c>
      <c r="B1036" s="2" t="s">
        <v>263</v>
      </c>
      <c r="C1036" s="2" t="s">
        <v>1777</v>
      </c>
      <c r="D1036" s="2" t="s">
        <v>66</v>
      </c>
      <c r="E1036" s="2" t="s">
        <v>20</v>
      </c>
      <c r="F1036" s="2">
        <v>2022</v>
      </c>
      <c r="G1036" s="2">
        <v>2023</v>
      </c>
      <c r="H1036" s="2">
        <f>'mpi_dataset_summary_2017-2024'!$G1036-'mpi_dataset_summary_2017-2024'!$F1036+1</f>
        <v>2</v>
      </c>
      <c r="I1036" s="2" t="s">
        <v>2111</v>
      </c>
      <c r="J1036" s="2" t="s">
        <v>2110</v>
      </c>
      <c r="K1036" s="2">
        <f>IF('mpi_dataset_summary_2017-2024'!$G1036=2024,1,0)</f>
        <v>0</v>
      </c>
      <c r="L1036" s="2">
        <f t="shared" si="32"/>
        <v>1</v>
      </c>
      <c r="M1036" s="2">
        <v>120</v>
      </c>
      <c r="N1036" s="2">
        <f t="shared" si="33"/>
        <v>0.38900000000000001</v>
      </c>
      <c r="O1036" s="2">
        <v>50.267766999999999</v>
      </c>
      <c r="P1036" s="2">
        <v>-112.33617700000001</v>
      </c>
      <c r="Q1036" s="2" t="s">
        <v>2108</v>
      </c>
      <c r="R1036" s="3" t="s">
        <v>24</v>
      </c>
      <c r="S1036" s="2" t="s">
        <v>25</v>
      </c>
      <c r="T1036" s="2" t="s">
        <v>26</v>
      </c>
    </row>
    <row r="1037" spans="1:20" x14ac:dyDescent="0.2">
      <c r="A1037" s="2">
        <v>6106</v>
      </c>
      <c r="B1037" s="2" t="s">
        <v>1586</v>
      </c>
      <c r="C1037" s="2" t="s">
        <v>1778</v>
      </c>
      <c r="D1037" s="2" t="s">
        <v>66</v>
      </c>
      <c r="E1037" s="2" t="s">
        <v>20</v>
      </c>
      <c r="F1037" s="2">
        <v>2022</v>
      </c>
      <c r="G1037" s="2">
        <v>2022</v>
      </c>
      <c r="H1037" s="2">
        <f>'mpi_dataset_summary_2017-2024'!$G1037-'mpi_dataset_summary_2017-2024'!$F1037+1</f>
        <v>1</v>
      </c>
      <c r="I1037" s="2" t="s">
        <v>2111</v>
      </c>
      <c r="J1037" s="2" t="s">
        <v>2111</v>
      </c>
      <c r="K1037" s="2">
        <f>IF('mpi_dataset_summary_2017-2024'!$G1037=2024,1,0)</f>
        <v>0</v>
      </c>
      <c r="L1037" s="2">
        <f t="shared" si="32"/>
        <v>0</v>
      </c>
      <c r="M1037" s="2">
        <v>0</v>
      </c>
      <c r="N1037" s="2">
        <f t="shared" si="33"/>
        <v>0</v>
      </c>
      <c r="O1037" s="2" t="s">
        <v>2114</v>
      </c>
      <c r="P1037" s="2" t="s">
        <v>2114</v>
      </c>
      <c r="Q1037" s="2" t="s">
        <v>2108</v>
      </c>
      <c r="R1037" s="3" t="s">
        <v>47</v>
      </c>
      <c r="S1037" s="2" t="s">
        <v>25</v>
      </c>
      <c r="T1037" s="2" t="s">
        <v>48</v>
      </c>
    </row>
    <row r="1038" spans="1:20" x14ac:dyDescent="0.2">
      <c r="A1038" s="2">
        <v>7000</v>
      </c>
      <c r="B1038" s="2" t="s">
        <v>1779</v>
      </c>
      <c r="C1038" s="2" t="s">
        <v>1780</v>
      </c>
      <c r="D1038" s="2" t="s">
        <v>89</v>
      </c>
      <c r="E1038" s="2" t="s">
        <v>20</v>
      </c>
      <c r="F1038" s="2">
        <v>2023</v>
      </c>
      <c r="G1038" s="2">
        <v>2023</v>
      </c>
      <c r="H1038" s="2">
        <f>'mpi_dataset_summary_2017-2024'!$G1038-'mpi_dataset_summary_2017-2024'!$F1038+1</f>
        <v>1</v>
      </c>
      <c r="I1038" s="2" t="s">
        <v>2111</v>
      </c>
      <c r="J1038" s="2" t="s">
        <v>2111</v>
      </c>
      <c r="K1038" s="2">
        <f>IF('mpi_dataset_summary_2017-2024'!$G1038=2024,1,0)</f>
        <v>0</v>
      </c>
      <c r="L1038" s="2">
        <f t="shared" si="32"/>
        <v>0</v>
      </c>
      <c r="M1038" s="2">
        <v>1471</v>
      </c>
      <c r="N1038" s="2">
        <f t="shared" si="33"/>
        <v>0.86199999999999999</v>
      </c>
      <c r="O1038" s="2">
        <v>49.800452999999997</v>
      </c>
      <c r="P1038" s="2">
        <v>-74.062112999999997</v>
      </c>
      <c r="Q1038" s="2" t="s">
        <v>2107</v>
      </c>
      <c r="R1038" s="3" t="s">
        <v>41</v>
      </c>
      <c r="S1038" s="2" t="s">
        <v>22</v>
      </c>
      <c r="T1038" s="2" t="s">
        <v>42</v>
      </c>
    </row>
    <row r="1039" spans="1:20" x14ac:dyDescent="0.2">
      <c r="A1039" s="2">
        <v>7001</v>
      </c>
      <c r="B1039" s="2" t="s">
        <v>1781</v>
      </c>
      <c r="C1039" s="2" t="s">
        <v>1782</v>
      </c>
      <c r="D1039" s="2" t="s">
        <v>380</v>
      </c>
      <c r="E1039" s="2" t="s">
        <v>20</v>
      </c>
      <c r="F1039" s="2">
        <v>2023</v>
      </c>
      <c r="G1039" s="2">
        <v>2023</v>
      </c>
      <c r="H1039" s="2">
        <f>'mpi_dataset_summary_2017-2024'!$G1039-'mpi_dataset_summary_2017-2024'!$F1039+1</f>
        <v>1</v>
      </c>
      <c r="I1039" s="2" t="s">
        <v>2111</v>
      </c>
      <c r="J1039" s="2" t="s">
        <v>2111</v>
      </c>
      <c r="K1039" s="2">
        <f>IF('mpi_dataset_summary_2017-2024'!$G1039=2024,1,0)</f>
        <v>0</v>
      </c>
      <c r="L1039" s="2">
        <f t="shared" si="32"/>
        <v>0</v>
      </c>
      <c r="M1039" s="2">
        <v>132.30000000000001</v>
      </c>
      <c r="N1039" s="2">
        <f t="shared" si="33"/>
        <v>0.41599999999999998</v>
      </c>
      <c r="O1039" s="2">
        <v>64.058019999999999</v>
      </c>
      <c r="P1039" s="2">
        <v>-138.20379</v>
      </c>
      <c r="Q1039" s="2" t="s">
        <v>2107</v>
      </c>
      <c r="R1039" s="3" t="s">
        <v>29</v>
      </c>
      <c r="S1039" s="2" t="s">
        <v>22</v>
      </c>
      <c r="T1039" s="2" t="s">
        <v>30</v>
      </c>
    </row>
    <row r="1040" spans="1:20" x14ac:dyDescent="0.2">
      <c r="A1040" s="2">
        <v>7002</v>
      </c>
      <c r="B1040" s="2" t="s">
        <v>1783</v>
      </c>
      <c r="C1040" s="2" t="s">
        <v>1784</v>
      </c>
      <c r="D1040" s="2" t="s">
        <v>89</v>
      </c>
      <c r="E1040" s="2" t="s">
        <v>20</v>
      </c>
      <c r="F1040" s="2">
        <v>2023</v>
      </c>
      <c r="G1040" s="2">
        <v>2023</v>
      </c>
      <c r="H1040" s="2">
        <f>'mpi_dataset_summary_2017-2024'!$G1040-'mpi_dataset_summary_2017-2024'!$F1040+1</f>
        <v>1</v>
      </c>
      <c r="I1040" s="2" t="s">
        <v>2111</v>
      </c>
      <c r="J1040" s="2" t="s">
        <v>2111</v>
      </c>
      <c r="K1040" s="2">
        <f>IF('mpi_dataset_summary_2017-2024'!$G1040=2024,1,0)</f>
        <v>0</v>
      </c>
      <c r="L1040" s="2">
        <f t="shared" si="32"/>
        <v>0</v>
      </c>
      <c r="M1040" s="2">
        <v>157</v>
      </c>
      <c r="N1040" s="2">
        <f t="shared" si="33"/>
        <v>0.45500000000000002</v>
      </c>
      <c r="O1040" s="2">
        <v>49.74183</v>
      </c>
      <c r="P1040" s="2">
        <v>-74.239769999999993</v>
      </c>
      <c r="Q1040" s="2" t="s">
        <v>2107</v>
      </c>
      <c r="R1040" s="3" t="s">
        <v>33</v>
      </c>
      <c r="S1040" s="2" t="s">
        <v>25</v>
      </c>
      <c r="T1040" s="2" t="s">
        <v>34</v>
      </c>
    </row>
    <row r="1041" spans="1:20" x14ac:dyDescent="0.2">
      <c r="A1041" s="2">
        <v>7003</v>
      </c>
      <c r="B1041" s="2" t="s">
        <v>1785</v>
      </c>
      <c r="C1041" s="2" t="s">
        <v>1786</v>
      </c>
      <c r="D1041" s="2" t="s">
        <v>89</v>
      </c>
      <c r="E1041" s="2" t="s">
        <v>20</v>
      </c>
      <c r="F1041" s="2">
        <v>2023</v>
      </c>
      <c r="G1041" s="2">
        <v>2024</v>
      </c>
      <c r="H1041" s="2">
        <f>'mpi_dataset_summary_2017-2024'!$G1041-'mpi_dataset_summary_2017-2024'!$F1041+1</f>
        <v>2</v>
      </c>
      <c r="I1041" s="2" t="s">
        <v>2113</v>
      </c>
      <c r="J1041" s="2" t="s">
        <v>2113</v>
      </c>
      <c r="K1041" s="2">
        <f>IF('mpi_dataset_summary_2017-2024'!$G1041=2024,1,0)</f>
        <v>1</v>
      </c>
      <c r="L1041" s="2">
        <f t="shared" si="32"/>
        <v>0</v>
      </c>
      <c r="M1041" s="2">
        <v>1485</v>
      </c>
      <c r="N1041" s="2">
        <f t="shared" si="33"/>
        <v>0.86299999999999999</v>
      </c>
      <c r="O1041" s="2">
        <v>48.429000000000002</v>
      </c>
      <c r="P1041" s="2">
        <v>-71.162000000000006</v>
      </c>
      <c r="Q1041" s="2" t="s">
        <v>2107</v>
      </c>
      <c r="R1041" s="3" t="s">
        <v>33</v>
      </c>
      <c r="S1041" s="2" t="s">
        <v>25</v>
      </c>
      <c r="T1041" s="2" t="s">
        <v>34</v>
      </c>
    </row>
    <row r="1042" spans="1:20" x14ac:dyDescent="0.2">
      <c r="A1042" s="2">
        <v>7004</v>
      </c>
      <c r="B1042" s="2" t="s">
        <v>1787</v>
      </c>
      <c r="C1042" s="2" t="s">
        <v>1788</v>
      </c>
      <c r="D1042" s="2" t="s">
        <v>89</v>
      </c>
      <c r="E1042" s="2" t="s">
        <v>20</v>
      </c>
      <c r="F1042" s="2">
        <v>2023</v>
      </c>
      <c r="G1042" s="2">
        <v>2023</v>
      </c>
      <c r="H1042" s="2">
        <f>'mpi_dataset_summary_2017-2024'!$G1042-'mpi_dataset_summary_2017-2024'!$F1042+1</f>
        <v>1</v>
      </c>
      <c r="I1042" s="2" t="s">
        <v>2111</v>
      </c>
      <c r="J1042" s="2" t="s">
        <v>2111</v>
      </c>
      <c r="K1042" s="2">
        <f>IF('mpi_dataset_summary_2017-2024'!$G1042=2024,1,0)</f>
        <v>0</v>
      </c>
      <c r="L1042" s="2">
        <f t="shared" si="32"/>
        <v>0</v>
      </c>
      <c r="M1042" s="2">
        <v>1417</v>
      </c>
      <c r="N1042" s="2">
        <f t="shared" si="33"/>
        <v>0.86099999999999999</v>
      </c>
      <c r="O1042" s="2">
        <v>51.12903</v>
      </c>
      <c r="P1042" s="2">
        <v>-69.067920000000001</v>
      </c>
      <c r="Q1042" s="2" t="s">
        <v>2107</v>
      </c>
      <c r="R1042" s="3" t="s">
        <v>33</v>
      </c>
      <c r="S1042" s="2" t="s">
        <v>25</v>
      </c>
      <c r="T1042" s="2" t="s">
        <v>34</v>
      </c>
    </row>
    <row r="1043" spans="1:20" x14ac:dyDescent="0.2">
      <c r="A1043" s="2">
        <v>7005</v>
      </c>
      <c r="B1043" s="2" t="s">
        <v>1789</v>
      </c>
      <c r="C1043" s="2" t="s">
        <v>1790</v>
      </c>
      <c r="D1043" s="2" t="s">
        <v>89</v>
      </c>
      <c r="E1043" s="2" t="s">
        <v>20</v>
      </c>
      <c r="F1043" s="2">
        <v>2023</v>
      </c>
      <c r="G1043" s="2">
        <v>2023</v>
      </c>
      <c r="H1043" s="2">
        <f>'mpi_dataset_summary_2017-2024'!$G1043-'mpi_dataset_summary_2017-2024'!$F1043+1</f>
        <v>1</v>
      </c>
      <c r="I1043" s="2" t="s">
        <v>2111</v>
      </c>
      <c r="J1043" s="2" t="s">
        <v>2111</v>
      </c>
      <c r="K1043" s="2">
        <f>IF('mpi_dataset_summary_2017-2024'!$G1043=2024,1,0)</f>
        <v>0</v>
      </c>
      <c r="L1043" s="2">
        <f t="shared" si="32"/>
        <v>0</v>
      </c>
      <c r="M1043" s="2">
        <v>870.1</v>
      </c>
      <c r="N1043" s="2">
        <f t="shared" si="33"/>
        <v>0.79100000000000004</v>
      </c>
      <c r="O1043" s="2">
        <v>55.350250000000003</v>
      </c>
      <c r="P1043" s="2">
        <v>-63.899099999999997</v>
      </c>
      <c r="Q1043" s="2" t="s">
        <v>2107</v>
      </c>
      <c r="R1043" s="3" t="s">
        <v>41</v>
      </c>
      <c r="S1043" s="2" t="s">
        <v>22</v>
      </c>
      <c r="T1043" s="2" t="s">
        <v>42</v>
      </c>
    </row>
    <row r="1044" spans="1:20" x14ac:dyDescent="0.2">
      <c r="A1044" s="2">
        <v>7006</v>
      </c>
      <c r="B1044" s="2" t="s">
        <v>1791</v>
      </c>
      <c r="C1044" s="2" t="s">
        <v>1792</v>
      </c>
      <c r="D1044" s="2" t="s">
        <v>89</v>
      </c>
      <c r="E1044" s="2" t="s">
        <v>20</v>
      </c>
      <c r="F1044" s="2">
        <v>2023</v>
      </c>
      <c r="G1044" s="2">
        <v>2024</v>
      </c>
      <c r="H1044" s="2">
        <f>'mpi_dataset_summary_2017-2024'!$G1044-'mpi_dataset_summary_2017-2024'!$F1044+1</f>
        <v>2</v>
      </c>
      <c r="I1044" s="2" t="s">
        <v>2110</v>
      </c>
      <c r="J1044" s="2" t="s">
        <v>2110</v>
      </c>
      <c r="K1044" s="2">
        <f>IF('mpi_dataset_summary_2017-2024'!$G1044=2024,1,0)</f>
        <v>1</v>
      </c>
      <c r="L1044" s="2">
        <f t="shared" si="32"/>
        <v>1</v>
      </c>
      <c r="M1044" s="2">
        <v>1300</v>
      </c>
      <c r="N1044" s="2">
        <f t="shared" si="33"/>
        <v>0.84299999999999997</v>
      </c>
      <c r="O1044" s="2" t="s">
        <v>2114</v>
      </c>
      <c r="P1044" s="2" t="s">
        <v>2114</v>
      </c>
      <c r="Q1044" s="2" t="s">
        <v>2108</v>
      </c>
      <c r="R1044" s="3" t="s">
        <v>27</v>
      </c>
      <c r="S1044" s="2" t="s">
        <v>25</v>
      </c>
      <c r="T1044" s="2" t="s">
        <v>28</v>
      </c>
    </row>
    <row r="1045" spans="1:20" x14ac:dyDescent="0.2">
      <c r="A1045" s="2">
        <v>7007</v>
      </c>
      <c r="B1045" s="2" t="s">
        <v>1793</v>
      </c>
      <c r="C1045" s="2" t="s">
        <v>1794</v>
      </c>
      <c r="D1045" s="2" t="s">
        <v>110</v>
      </c>
      <c r="E1045" s="2" t="s">
        <v>43</v>
      </c>
      <c r="F1045" s="2">
        <v>2023</v>
      </c>
      <c r="G1045" s="2">
        <v>2024</v>
      </c>
      <c r="H1045" s="2">
        <f>'mpi_dataset_summary_2017-2024'!$G1045-'mpi_dataset_summary_2017-2024'!$F1045+1</f>
        <v>2</v>
      </c>
      <c r="I1045" s="2" t="s">
        <v>2112</v>
      </c>
      <c r="J1045" s="2" t="s">
        <v>2110</v>
      </c>
      <c r="K1045" s="2">
        <f>IF('mpi_dataset_summary_2017-2024'!$G1045=2024,1,0)</f>
        <v>1</v>
      </c>
      <c r="L1045" s="2">
        <f t="shared" si="32"/>
        <v>1</v>
      </c>
      <c r="M1045" s="2">
        <v>1253</v>
      </c>
      <c r="N1045" s="2">
        <f t="shared" si="33"/>
        <v>0.84</v>
      </c>
      <c r="O1045" s="2" t="s">
        <v>2114</v>
      </c>
      <c r="P1045" s="2" t="s">
        <v>2114</v>
      </c>
      <c r="Q1045" s="2" t="s">
        <v>2108</v>
      </c>
      <c r="R1045" s="3" t="s">
        <v>44</v>
      </c>
      <c r="S1045" s="2" t="s">
        <v>25</v>
      </c>
      <c r="T1045" s="2" t="s">
        <v>45</v>
      </c>
    </row>
    <row r="1046" spans="1:20" x14ac:dyDescent="0.2">
      <c r="A1046" s="2">
        <v>7008</v>
      </c>
      <c r="B1046" s="2" t="s">
        <v>727</v>
      </c>
      <c r="C1046" s="2" t="s">
        <v>1795</v>
      </c>
      <c r="D1046" s="2" t="s">
        <v>66</v>
      </c>
      <c r="E1046" s="2" t="s">
        <v>20</v>
      </c>
      <c r="F1046" s="2">
        <v>2023</v>
      </c>
      <c r="G1046" s="2">
        <v>2023</v>
      </c>
      <c r="H1046" s="2">
        <f>'mpi_dataset_summary_2017-2024'!$G1046-'mpi_dataset_summary_2017-2024'!$F1046+1</f>
        <v>1</v>
      </c>
      <c r="I1046" s="2" t="s">
        <v>2111</v>
      </c>
      <c r="J1046" s="2" t="s">
        <v>2111</v>
      </c>
      <c r="K1046" s="2">
        <f>IF('mpi_dataset_summary_2017-2024'!$G1046=2024,1,0)</f>
        <v>0</v>
      </c>
      <c r="L1046" s="2">
        <f t="shared" si="32"/>
        <v>0</v>
      </c>
      <c r="M1046" s="2">
        <v>1000</v>
      </c>
      <c r="N1046" s="2">
        <f t="shared" si="33"/>
        <v>0.80500000000000005</v>
      </c>
      <c r="O1046" s="2" t="s">
        <v>2114</v>
      </c>
      <c r="P1046" s="2" t="s">
        <v>2114</v>
      </c>
      <c r="Q1046" s="2" t="s">
        <v>2108</v>
      </c>
      <c r="R1046" s="3" t="s">
        <v>53</v>
      </c>
      <c r="S1046" s="2" t="s">
        <v>22</v>
      </c>
      <c r="T1046" s="2" t="s">
        <v>54</v>
      </c>
    </row>
    <row r="1047" spans="1:20" x14ac:dyDescent="0.2">
      <c r="A1047" s="2">
        <v>7009</v>
      </c>
      <c r="B1047" s="2" t="s">
        <v>1796</v>
      </c>
      <c r="C1047" s="2" t="s">
        <v>1797</v>
      </c>
      <c r="D1047" s="2" t="s">
        <v>89</v>
      </c>
      <c r="E1047" s="2" t="s">
        <v>20</v>
      </c>
      <c r="F1047" s="2">
        <v>2023</v>
      </c>
      <c r="G1047" s="2">
        <v>2024</v>
      </c>
      <c r="H1047" s="2">
        <f>'mpi_dataset_summary_2017-2024'!$G1047-'mpi_dataset_summary_2017-2024'!$F1047+1</f>
        <v>2</v>
      </c>
      <c r="I1047" s="2" t="s">
        <v>2111</v>
      </c>
      <c r="J1047" s="2" t="s">
        <v>2112</v>
      </c>
      <c r="K1047" s="2">
        <f>IF('mpi_dataset_summary_2017-2024'!$G1047=2024,1,0)</f>
        <v>1</v>
      </c>
      <c r="L1047" s="2">
        <f t="shared" si="32"/>
        <v>0</v>
      </c>
      <c r="M1047" s="2">
        <v>1390.0832645</v>
      </c>
      <c r="N1047" s="2">
        <f t="shared" si="33"/>
        <v>0.85599999999999998</v>
      </c>
      <c r="O1047" s="2" t="s">
        <v>2114</v>
      </c>
      <c r="P1047" s="2" t="s">
        <v>2114</v>
      </c>
      <c r="Q1047" s="2" t="s">
        <v>2108</v>
      </c>
      <c r="R1047" s="3" t="s">
        <v>27</v>
      </c>
      <c r="S1047" s="2" t="s">
        <v>25</v>
      </c>
      <c r="T1047" s="2" t="s">
        <v>28</v>
      </c>
    </row>
    <row r="1048" spans="1:20" x14ac:dyDescent="0.2">
      <c r="A1048" s="2">
        <v>7010</v>
      </c>
      <c r="B1048" s="2" t="s">
        <v>1798</v>
      </c>
      <c r="C1048" s="2" t="s">
        <v>1799</v>
      </c>
      <c r="D1048" s="2" t="s">
        <v>161</v>
      </c>
      <c r="E1048" s="2" t="s">
        <v>20</v>
      </c>
      <c r="F1048" s="2">
        <v>2023</v>
      </c>
      <c r="G1048" s="2">
        <v>2024</v>
      </c>
      <c r="H1048" s="2">
        <f>'mpi_dataset_summary_2017-2024'!$G1048-'mpi_dataset_summary_2017-2024'!$F1048+1</f>
        <v>2</v>
      </c>
      <c r="I1048" s="2" t="s">
        <v>2112</v>
      </c>
      <c r="J1048" s="2" t="s">
        <v>2113</v>
      </c>
      <c r="K1048" s="2">
        <f>IF('mpi_dataset_summary_2017-2024'!$G1048=2024,1,0)</f>
        <v>1</v>
      </c>
      <c r="L1048" s="2">
        <f t="shared" si="32"/>
        <v>0</v>
      </c>
      <c r="M1048" s="2">
        <v>122.79</v>
      </c>
      <c r="N1048" s="2">
        <f t="shared" si="33"/>
        <v>0.4</v>
      </c>
      <c r="O1048" s="2" t="s">
        <v>2114</v>
      </c>
      <c r="P1048" s="2" t="s">
        <v>2114</v>
      </c>
      <c r="Q1048" s="2" t="s">
        <v>2108</v>
      </c>
      <c r="R1048" s="3" t="s">
        <v>53</v>
      </c>
      <c r="S1048" s="2" t="s">
        <v>22</v>
      </c>
      <c r="T1048" s="2" t="s">
        <v>54</v>
      </c>
    </row>
    <row r="1049" spans="1:20" x14ac:dyDescent="0.2">
      <c r="A1049" s="2">
        <v>7011</v>
      </c>
      <c r="B1049" s="2" t="s">
        <v>1800</v>
      </c>
      <c r="C1049" s="2" t="s">
        <v>1801</v>
      </c>
      <c r="D1049" s="2" t="s">
        <v>89</v>
      </c>
      <c r="E1049" s="2" t="s">
        <v>20</v>
      </c>
      <c r="F1049" s="2">
        <v>2023</v>
      </c>
      <c r="G1049" s="2">
        <v>2023</v>
      </c>
      <c r="H1049" s="2">
        <f>'mpi_dataset_summary_2017-2024'!$G1049-'mpi_dataset_summary_2017-2024'!$F1049+1</f>
        <v>1</v>
      </c>
      <c r="I1049" s="2" t="s">
        <v>2111</v>
      </c>
      <c r="J1049" s="2" t="s">
        <v>2111</v>
      </c>
      <c r="K1049" s="2">
        <f>IF('mpi_dataset_summary_2017-2024'!$G1049=2024,1,0)</f>
        <v>0</v>
      </c>
      <c r="L1049" s="2">
        <f t="shared" si="32"/>
        <v>0</v>
      </c>
      <c r="M1049" s="2">
        <v>35</v>
      </c>
      <c r="N1049" s="2">
        <f t="shared" si="33"/>
        <v>0.158</v>
      </c>
      <c r="O1049" s="2" t="s">
        <v>2114</v>
      </c>
      <c r="P1049" s="2" t="s">
        <v>2114</v>
      </c>
      <c r="Q1049" s="2" t="s">
        <v>2108</v>
      </c>
      <c r="R1049" s="3" t="s">
        <v>27</v>
      </c>
      <c r="S1049" s="2" t="s">
        <v>25</v>
      </c>
      <c r="T1049" s="2" t="s">
        <v>28</v>
      </c>
    </row>
    <row r="1050" spans="1:20" x14ac:dyDescent="0.2">
      <c r="A1050" s="2">
        <v>7012</v>
      </c>
      <c r="B1050" s="2" t="s">
        <v>1802</v>
      </c>
      <c r="C1050" s="2" t="s">
        <v>1803</v>
      </c>
      <c r="D1050" s="2" t="s">
        <v>185</v>
      </c>
      <c r="E1050" s="2" t="s">
        <v>20</v>
      </c>
      <c r="F1050" s="2">
        <v>2023</v>
      </c>
      <c r="G1050" s="2">
        <v>2024</v>
      </c>
      <c r="H1050" s="2">
        <f>'mpi_dataset_summary_2017-2024'!$G1050-'mpi_dataset_summary_2017-2024'!$F1050+1</f>
        <v>2</v>
      </c>
      <c r="I1050" s="2" t="s">
        <v>2111</v>
      </c>
      <c r="J1050" s="2" t="s">
        <v>2111</v>
      </c>
      <c r="K1050" s="2">
        <f>IF('mpi_dataset_summary_2017-2024'!$G1050=2024,1,0)</f>
        <v>1</v>
      </c>
      <c r="L1050" s="2">
        <f t="shared" si="32"/>
        <v>0</v>
      </c>
      <c r="M1050" s="2">
        <v>50</v>
      </c>
      <c r="N1050" s="2">
        <f t="shared" si="33"/>
        <v>0.214</v>
      </c>
      <c r="O1050" s="2" t="s">
        <v>2114</v>
      </c>
      <c r="P1050" s="2" t="s">
        <v>2114</v>
      </c>
      <c r="Q1050" s="2" t="s">
        <v>2108</v>
      </c>
      <c r="R1050" s="3" t="s">
        <v>41</v>
      </c>
      <c r="S1050" s="2" t="s">
        <v>25</v>
      </c>
      <c r="T1050" s="2" t="s">
        <v>46</v>
      </c>
    </row>
    <row r="1051" spans="1:20" x14ac:dyDescent="0.2">
      <c r="A1051" s="2">
        <v>7013</v>
      </c>
      <c r="B1051" s="2" t="s">
        <v>1798</v>
      </c>
      <c r="C1051" s="2" t="s">
        <v>1804</v>
      </c>
      <c r="D1051" s="2" t="s">
        <v>161</v>
      </c>
      <c r="E1051" s="2" t="s">
        <v>20</v>
      </c>
      <c r="F1051" s="2">
        <v>2023</v>
      </c>
      <c r="G1051" s="2">
        <v>2023</v>
      </c>
      <c r="H1051" s="2">
        <f>'mpi_dataset_summary_2017-2024'!$G1051-'mpi_dataset_summary_2017-2024'!$F1051+1</f>
        <v>1</v>
      </c>
      <c r="I1051" s="2" t="s">
        <v>2110</v>
      </c>
      <c r="J1051" s="2" t="s">
        <v>2110</v>
      </c>
      <c r="K1051" s="2">
        <f>IF('mpi_dataset_summary_2017-2024'!$G1051=2024,1,0)</f>
        <v>0</v>
      </c>
      <c r="L1051" s="2">
        <f t="shared" si="32"/>
        <v>1</v>
      </c>
      <c r="M1051" s="2">
        <v>250.7</v>
      </c>
      <c r="N1051" s="2">
        <f t="shared" si="33"/>
        <v>0.55000000000000004</v>
      </c>
      <c r="O1051" s="2">
        <v>42.85</v>
      </c>
      <c r="P1051" s="2">
        <v>-82.21</v>
      </c>
      <c r="Q1051" s="2" t="s">
        <v>2108</v>
      </c>
      <c r="R1051" s="3" t="s">
        <v>39</v>
      </c>
      <c r="S1051" s="2" t="s">
        <v>22</v>
      </c>
      <c r="T1051" s="2" t="s">
        <v>40</v>
      </c>
    </row>
    <row r="1052" spans="1:20" x14ac:dyDescent="0.2">
      <c r="A1052" s="2">
        <v>7014</v>
      </c>
      <c r="B1052" s="2" t="s">
        <v>1805</v>
      </c>
      <c r="C1052" s="2" t="s">
        <v>1806</v>
      </c>
      <c r="D1052" s="2" t="s">
        <v>161</v>
      </c>
      <c r="E1052" s="2" t="s">
        <v>20</v>
      </c>
      <c r="F1052" s="2">
        <v>2023</v>
      </c>
      <c r="G1052" s="2">
        <v>2024</v>
      </c>
      <c r="H1052" s="2">
        <f>'mpi_dataset_summary_2017-2024'!$G1052-'mpi_dataset_summary_2017-2024'!$F1052+1</f>
        <v>2</v>
      </c>
      <c r="I1052" s="2" t="s">
        <v>2111</v>
      </c>
      <c r="J1052" s="2" t="s">
        <v>2111</v>
      </c>
      <c r="K1052" s="2">
        <f>IF('mpi_dataset_summary_2017-2024'!$G1052=2024,1,0)</f>
        <v>1</v>
      </c>
      <c r="L1052" s="2">
        <f t="shared" si="32"/>
        <v>0</v>
      </c>
      <c r="M1052" s="2">
        <v>200</v>
      </c>
      <c r="N1052" s="2">
        <f t="shared" si="33"/>
        <v>0.49099999999999999</v>
      </c>
      <c r="O1052" s="2" t="s">
        <v>2114</v>
      </c>
      <c r="P1052" s="2" t="s">
        <v>2114</v>
      </c>
      <c r="Q1052" s="2" t="s">
        <v>2108</v>
      </c>
      <c r="R1052" s="3" t="s">
        <v>49</v>
      </c>
      <c r="S1052" s="2" t="s">
        <v>25</v>
      </c>
      <c r="T1052" s="2" t="s">
        <v>50</v>
      </c>
    </row>
    <row r="1053" spans="1:20" x14ac:dyDescent="0.2">
      <c r="A1053" s="2">
        <v>7015</v>
      </c>
      <c r="B1053" s="2" t="s">
        <v>1807</v>
      </c>
      <c r="C1053" s="2" t="s">
        <v>1807</v>
      </c>
      <c r="D1053" s="2" t="s">
        <v>69</v>
      </c>
      <c r="E1053" s="2" t="s">
        <v>20</v>
      </c>
      <c r="F1053" s="2">
        <v>2023</v>
      </c>
      <c r="G1053" s="2">
        <v>2023</v>
      </c>
      <c r="H1053" s="2">
        <f>'mpi_dataset_summary_2017-2024'!$G1053-'mpi_dataset_summary_2017-2024'!$F1053+1</f>
        <v>1</v>
      </c>
      <c r="I1053" s="2" t="s">
        <v>2111</v>
      </c>
      <c r="J1053" s="2" t="s">
        <v>2111</v>
      </c>
      <c r="K1053" s="2">
        <f>IF('mpi_dataset_summary_2017-2024'!$G1053=2024,1,0)</f>
        <v>0</v>
      </c>
      <c r="L1053" s="2">
        <f t="shared" si="32"/>
        <v>0</v>
      </c>
      <c r="M1053" s="2">
        <v>450</v>
      </c>
      <c r="N1053" s="2">
        <f t="shared" si="33"/>
        <v>0.65500000000000003</v>
      </c>
      <c r="O1053" s="2" t="s">
        <v>2114</v>
      </c>
      <c r="P1053" s="2" t="s">
        <v>2114</v>
      </c>
      <c r="Q1053" s="2" t="s">
        <v>2108</v>
      </c>
      <c r="R1053" s="3" t="s">
        <v>24</v>
      </c>
      <c r="S1053" s="2" t="s">
        <v>25</v>
      </c>
      <c r="T1053" s="2" t="s">
        <v>26</v>
      </c>
    </row>
    <row r="1054" spans="1:20" x14ac:dyDescent="0.2">
      <c r="A1054" s="2">
        <v>7016</v>
      </c>
      <c r="B1054" s="2" t="s">
        <v>1808</v>
      </c>
      <c r="C1054" s="2" t="s">
        <v>1809</v>
      </c>
      <c r="D1054" s="2" t="s">
        <v>110</v>
      </c>
      <c r="E1054" s="2" t="s">
        <v>20</v>
      </c>
      <c r="F1054" s="2">
        <v>2023</v>
      </c>
      <c r="G1054" s="2">
        <v>2024</v>
      </c>
      <c r="H1054" s="2">
        <f>'mpi_dataset_summary_2017-2024'!$G1054-'mpi_dataset_summary_2017-2024'!$F1054+1</f>
        <v>2</v>
      </c>
      <c r="I1054" s="2" t="s">
        <v>2110</v>
      </c>
      <c r="J1054" s="2" t="s">
        <v>2110</v>
      </c>
      <c r="K1054" s="2">
        <f>IF('mpi_dataset_summary_2017-2024'!$G1054=2024,1,0)</f>
        <v>1</v>
      </c>
      <c r="L1054" s="2">
        <f t="shared" si="32"/>
        <v>1</v>
      </c>
      <c r="M1054" s="2">
        <v>350</v>
      </c>
      <c r="N1054" s="2">
        <f t="shared" si="33"/>
        <v>0.60299999999999998</v>
      </c>
      <c r="O1054" s="2" t="s">
        <v>2114</v>
      </c>
      <c r="P1054" s="2" t="s">
        <v>2114</v>
      </c>
      <c r="Q1054" s="2" t="s">
        <v>2108</v>
      </c>
      <c r="R1054" s="3" t="s">
        <v>24</v>
      </c>
      <c r="S1054" s="2" t="s">
        <v>25</v>
      </c>
      <c r="T1054" s="2" t="s">
        <v>26</v>
      </c>
    </row>
    <row r="1055" spans="1:20" x14ac:dyDescent="0.2">
      <c r="A1055" s="2">
        <v>7017</v>
      </c>
      <c r="B1055" s="2" t="s">
        <v>1810</v>
      </c>
      <c r="C1055" s="2" t="s">
        <v>1811</v>
      </c>
      <c r="D1055" s="2" t="s">
        <v>83</v>
      </c>
      <c r="E1055" s="2" t="s">
        <v>20</v>
      </c>
      <c r="F1055" s="2">
        <v>2023</v>
      </c>
      <c r="G1055" s="2">
        <v>2023</v>
      </c>
      <c r="H1055" s="2">
        <f>'mpi_dataset_summary_2017-2024'!$G1055-'mpi_dataset_summary_2017-2024'!$F1055+1</f>
        <v>1</v>
      </c>
      <c r="I1055" s="2" t="s">
        <v>2110</v>
      </c>
      <c r="J1055" s="2" t="s">
        <v>2110</v>
      </c>
      <c r="K1055" s="2">
        <f>IF('mpi_dataset_summary_2017-2024'!$G1055=2024,1,0)</f>
        <v>0</v>
      </c>
      <c r="L1055" s="2">
        <f t="shared" si="32"/>
        <v>1</v>
      </c>
      <c r="M1055" s="2">
        <v>48</v>
      </c>
      <c r="N1055" s="2">
        <f t="shared" si="33"/>
        <v>0.20799999999999999</v>
      </c>
      <c r="O1055" s="2">
        <v>53.594608000000001</v>
      </c>
      <c r="P1055" s="2">
        <v>-64.308031</v>
      </c>
      <c r="Q1055" s="2" t="s">
        <v>2108</v>
      </c>
      <c r="R1055" s="3" t="s">
        <v>41</v>
      </c>
      <c r="S1055" s="2" t="s">
        <v>25</v>
      </c>
      <c r="T1055" s="2" t="s">
        <v>46</v>
      </c>
    </row>
    <row r="1056" spans="1:20" x14ac:dyDescent="0.2">
      <c r="A1056" s="2">
        <v>7018</v>
      </c>
      <c r="B1056" s="2" t="s">
        <v>622</v>
      </c>
      <c r="C1056" s="2" t="s">
        <v>1812</v>
      </c>
      <c r="D1056" s="2" t="s">
        <v>83</v>
      </c>
      <c r="E1056" s="2" t="s">
        <v>43</v>
      </c>
      <c r="F1056" s="2">
        <v>2023</v>
      </c>
      <c r="G1056" s="2">
        <v>2023</v>
      </c>
      <c r="H1056" s="2">
        <f>'mpi_dataset_summary_2017-2024'!$G1056-'mpi_dataset_summary_2017-2024'!$F1056+1</f>
        <v>1</v>
      </c>
      <c r="I1056" s="2" t="s">
        <v>2110</v>
      </c>
      <c r="J1056" s="2" t="s">
        <v>2110</v>
      </c>
      <c r="K1056" s="2">
        <f>IF('mpi_dataset_summary_2017-2024'!$G1056=2024,1,0)</f>
        <v>0</v>
      </c>
      <c r="L1056" s="2">
        <f t="shared" si="32"/>
        <v>1</v>
      </c>
      <c r="M1056" s="2">
        <v>111.3</v>
      </c>
      <c r="N1056" s="2">
        <f t="shared" si="33"/>
        <v>0.378</v>
      </c>
      <c r="O1056" s="2">
        <v>54.18</v>
      </c>
      <c r="P1056" s="2">
        <v>-58.43</v>
      </c>
      <c r="Q1056" s="2" t="s">
        <v>2108</v>
      </c>
      <c r="R1056" s="3" t="s">
        <v>24</v>
      </c>
      <c r="S1056" s="2" t="s">
        <v>25</v>
      </c>
      <c r="T1056" s="2" t="s">
        <v>26</v>
      </c>
    </row>
    <row r="1057" spans="1:20" x14ac:dyDescent="0.2">
      <c r="A1057" s="2">
        <v>7019</v>
      </c>
      <c r="B1057" s="2" t="s">
        <v>836</v>
      </c>
      <c r="C1057" s="2" t="s">
        <v>1813</v>
      </c>
      <c r="D1057" s="2" t="s">
        <v>83</v>
      </c>
      <c r="E1057" s="2" t="s">
        <v>20</v>
      </c>
      <c r="F1057" s="2">
        <v>2023</v>
      </c>
      <c r="G1057" s="2">
        <v>2023</v>
      </c>
      <c r="H1057" s="2">
        <f>'mpi_dataset_summary_2017-2024'!$G1057-'mpi_dataset_summary_2017-2024'!$F1057+1</f>
        <v>1</v>
      </c>
      <c r="I1057" s="2" t="s">
        <v>2110</v>
      </c>
      <c r="J1057" s="2" t="s">
        <v>2110</v>
      </c>
      <c r="K1057" s="2">
        <f>IF('mpi_dataset_summary_2017-2024'!$G1057=2024,1,0)</f>
        <v>0</v>
      </c>
      <c r="L1057" s="2">
        <f t="shared" si="32"/>
        <v>1</v>
      </c>
      <c r="M1057" s="2">
        <v>112.8</v>
      </c>
      <c r="N1057" s="2">
        <f t="shared" si="33"/>
        <v>0.38</v>
      </c>
      <c r="O1057" s="2">
        <v>48.55</v>
      </c>
      <c r="P1057" s="2">
        <v>-58.43</v>
      </c>
      <c r="Q1057" s="2" t="s">
        <v>2108</v>
      </c>
      <c r="R1057" s="3" t="s">
        <v>35</v>
      </c>
      <c r="S1057" s="2" t="s">
        <v>22</v>
      </c>
      <c r="T1057" s="2" t="s">
        <v>45</v>
      </c>
    </row>
    <row r="1058" spans="1:20" x14ac:dyDescent="0.2">
      <c r="A1058" s="2">
        <v>7020</v>
      </c>
      <c r="B1058" s="2" t="s">
        <v>1810</v>
      </c>
      <c r="C1058" s="2" t="s">
        <v>1814</v>
      </c>
      <c r="D1058" s="2" t="s">
        <v>83</v>
      </c>
      <c r="E1058" s="2" t="s">
        <v>20</v>
      </c>
      <c r="F1058" s="2">
        <v>2023</v>
      </c>
      <c r="G1058" s="2">
        <v>2023</v>
      </c>
      <c r="H1058" s="2">
        <f>'mpi_dataset_summary_2017-2024'!$G1058-'mpi_dataset_summary_2017-2024'!$F1058+1</f>
        <v>1</v>
      </c>
      <c r="I1058" s="2" t="s">
        <v>2110</v>
      </c>
      <c r="J1058" s="2" t="s">
        <v>2110</v>
      </c>
      <c r="K1058" s="2">
        <f>IF('mpi_dataset_summary_2017-2024'!$G1058=2024,1,0)</f>
        <v>0</v>
      </c>
      <c r="L1058" s="2">
        <f t="shared" si="32"/>
        <v>1</v>
      </c>
      <c r="M1058" s="2">
        <v>69</v>
      </c>
      <c r="N1058" s="2">
        <f t="shared" si="33"/>
        <v>0.27100000000000002</v>
      </c>
      <c r="O1058" s="2">
        <v>53.594608000000001</v>
      </c>
      <c r="P1058" s="2">
        <v>-64.308031</v>
      </c>
      <c r="Q1058" s="2" t="s">
        <v>2108</v>
      </c>
      <c r="R1058" s="3" t="s">
        <v>41</v>
      </c>
      <c r="S1058" s="2" t="s">
        <v>25</v>
      </c>
      <c r="T1058" s="2" t="s">
        <v>46</v>
      </c>
    </row>
    <row r="1059" spans="1:20" x14ac:dyDescent="0.2">
      <c r="A1059" s="2">
        <v>7021</v>
      </c>
      <c r="B1059" s="2" t="s">
        <v>622</v>
      </c>
      <c r="C1059" s="2" t="s">
        <v>1815</v>
      </c>
      <c r="D1059" s="2" t="s">
        <v>83</v>
      </c>
      <c r="E1059" s="2" t="s">
        <v>43</v>
      </c>
      <c r="F1059" s="2">
        <v>2023</v>
      </c>
      <c r="G1059" s="2">
        <v>2023</v>
      </c>
      <c r="H1059" s="2">
        <f>'mpi_dataset_summary_2017-2024'!$G1059-'mpi_dataset_summary_2017-2024'!$F1059+1</f>
        <v>1</v>
      </c>
      <c r="I1059" s="2" t="s">
        <v>2110</v>
      </c>
      <c r="J1059" s="2" t="s">
        <v>2110</v>
      </c>
      <c r="K1059" s="2">
        <f>IF('mpi_dataset_summary_2017-2024'!$G1059=2024,1,0)</f>
        <v>0</v>
      </c>
      <c r="L1059" s="2">
        <f t="shared" si="32"/>
        <v>1</v>
      </c>
      <c r="M1059" s="2">
        <v>109.65</v>
      </c>
      <c r="N1059" s="2">
        <f t="shared" si="33"/>
        <v>0.371</v>
      </c>
      <c r="O1059" s="2">
        <v>54.18</v>
      </c>
      <c r="P1059" s="2">
        <v>-58.43</v>
      </c>
      <c r="Q1059" s="2" t="s">
        <v>2108</v>
      </c>
      <c r="R1059" s="3" t="s">
        <v>24</v>
      </c>
      <c r="S1059" s="2" t="s">
        <v>25</v>
      </c>
      <c r="T1059" s="2" t="s">
        <v>26</v>
      </c>
    </row>
    <row r="1060" spans="1:20" x14ac:dyDescent="0.2">
      <c r="A1060" s="2">
        <v>7022</v>
      </c>
      <c r="B1060" s="2" t="s">
        <v>836</v>
      </c>
      <c r="C1060" s="2" t="s">
        <v>1816</v>
      </c>
      <c r="D1060" s="2" t="s">
        <v>83</v>
      </c>
      <c r="E1060" s="2" t="s">
        <v>20</v>
      </c>
      <c r="F1060" s="2">
        <v>2023</v>
      </c>
      <c r="G1060" s="2">
        <v>2023</v>
      </c>
      <c r="H1060" s="2">
        <f>'mpi_dataset_summary_2017-2024'!$G1060-'mpi_dataset_summary_2017-2024'!$F1060+1</f>
        <v>1</v>
      </c>
      <c r="I1060" s="2" t="s">
        <v>2110</v>
      </c>
      <c r="J1060" s="2" t="s">
        <v>2110</v>
      </c>
      <c r="K1060" s="2">
        <f>IF('mpi_dataset_summary_2017-2024'!$G1060=2024,1,0)</f>
        <v>0</v>
      </c>
      <c r="L1060" s="2">
        <f t="shared" si="32"/>
        <v>1</v>
      </c>
      <c r="M1060" s="2">
        <v>108.1</v>
      </c>
      <c r="N1060" s="2">
        <f t="shared" si="33"/>
        <v>0.36899999999999999</v>
      </c>
      <c r="O1060" s="2">
        <v>48.55</v>
      </c>
      <c r="P1060" s="2">
        <v>-58.43</v>
      </c>
      <c r="Q1060" s="2" t="s">
        <v>2108</v>
      </c>
      <c r="R1060" s="3" t="s">
        <v>35</v>
      </c>
      <c r="S1060" s="2" t="s">
        <v>22</v>
      </c>
      <c r="T1060" s="2" t="s">
        <v>45</v>
      </c>
    </row>
    <row r="1061" spans="1:20" x14ac:dyDescent="0.2">
      <c r="A1061" s="2">
        <v>7023</v>
      </c>
      <c r="B1061" s="2" t="s">
        <v>836</v>
      </c>
      <c r="C1061" s="2" t="s">
        <v>1817</v>
      </c>
      <c r="D1061" s="2" t="s">
        <v>83</v>
      </c>
      <c r="E1061" s="2" t="s">
        <v>20</v>
      </c>
      <c r="F1061" s="2">
        <v>2023</v>
      </c>
      <c r="G1061" s="2">
        <v>2023</v>
      </c>
      <c r="H1061" s="2">
        <f>'mpi_dataset_summary_2017-2024'!$G1061-'mpi_dataset_summary_2017-2024'!$F1061+1</f>
        <v>1</v>
      </c>
      <c r="I1061" s="2" t="s">
        <v>2112</v>
      </c>
      <c r="J1061" s="2" t="s">
        <v>2112</v>
      </c>
      <c r="K1061" s="2">
        <f>IF('mpi_dataset_summary_2017-2024'!$G1061=2024,1,0)</f>
        <v>0</v>
      </c>
      <c r="L1061" s="2">
        <f t="shared" si="32"/>
        <v>0</v>
      </c>
      <c r="M1061" s="2">
        <v>124.48</v>
      </c>
      <c r="N1061" s="2">
        <f t="shared" si="33"/>
        <v>0.40200000000000002</v>
      </c>
      <c r="O1061" s="2">
        <v>48.55</v>
      </c>
      <c r="P1061" s="2">
        <v>-58.43</v>
      </c>
      <c r="Q1061" s="2" t="s">
        <v>2108</v>
      </c>
      <c r="R1061" s="3" t="s">
        <v>24</v>
      </c>
      <c r="S1061" s="2" t="s">
        <v>25</v>
      </c>
      <c r="T1061" s="2" t="s">
        <v>26</v>
      </c>
    </row>
    <row r="1062" spans="1:20" x14ac:dyDescent="0.2">
      <c r="A1062" s="2">
        <v>7024</v>
      </c>
      <c r="B1062" s="2" t="s">
        <v>1810</v>
      </c>
      <c r="C1062" s="2" t="s">
        <v>1818</v>
      </c>
      <c r="D1062" s="2" t="s">
        <v>83</v>
      </c>
      <c r="E1062" s="2" t="s">
        <v>20</v>
      </c>
      <c r="F1062" s="2">
        <v>2023</v>
      </c>
      <c r="G1062" s="2">
        <v>2023</v>
      </c>
      <c r="H1062" s="2">
        <f>'mpi_dataset_summary_2017-2024'!$G1062-'mpi_dataset_summary_2017-2024'!$F1062+1</f>
        <v>1</v>
      </c>
      <c r="I1062" s="2" t="s">
        <v>2110</v>
      </c>
      <c r="J1062" s="2" t="s">
        <v>2110</v>
      </c>
      <c r="K1062" s="2">
        <f>IF('mpi_dataset_summary_2017-2024'!$G1062=2024,1,0)</f>
        <v>0</v>
      </c>
      <c r="L1062" s="2">
        <f t="shared" si="32"/>
        <v>1</v>
      </c>
      <c r="M1062" s="2">
        <v>69</v>
      </c>
      <c r="N1062" s="2">
        <f t="shared" si="33"/>
        <v>0.27100000000000002</v>
      </c>
      <c r="O1062" s="2">
        <v>53.594608000000001</v>
      </c>
      <c r="P1062" s="2">
        <v>-64.308031</v>
      </c>
      <c r="Q1062" s="2" t="s">
        <v>2108</v>
      </c>
      <c r="R1062" s="3" t="s">
        <v>41</v>
      </c>
      <c r="S1062" s="2" t="s">
        <v>25</v>
      </c>
      <c r="T1062" s="2" t="s">
        <v>46</v>
      </c>
    </row>
    <row r="1063" spans="1:20" x14ac:dyDescent="0.2">
      <c r="A1063" s="2">
        <v>7025</v>
      </c>
      <c r="B1063" s="2" t="s">
        <v>622</v>
      </c>
      <c r="C1063" s="2" t="s">
        <v>1819</v>
      </c>
      <c r="D1063" s="2" t="s">
        <v>83</v>
      </c>
      <c r="E1063" s="2" t="s">
        <v>43</v>
      </c>
      <c r="F1063" s="2">
        <v>2023</v>
      </c>
      <c r="G1063" s="2">
        <v>2023</v>
      </c>
      <c r="H1063" s="2">
        <f>'mpi_dataset_summary_2017-2024'!$G1063-'mpi_dataset_summary_2017-2024'!$F1063+1</f>
        <v>1</v>
      </c>
      <c r="I1063" s="2" t="s">
        <v>2113</v>
      </c>
      <c r="J1063" s="2" t="s">
        <v>2113</v>
      </c>
      <c r="K1063" s="2">
        <f>IF('mpi_dataset_summary_2017-2024'!$G1063=2024,1,0)</f>
        <v>0</v>
      </c>
      <c r="L1063" s="2">
        <f t="shared" si="32"/>
        <v>0</v>
      </c>
      <c r="M1063" s="2">
        <v>141.43</v>
      </c>
      <c r="N1063" s="2">
        <f t="shared" si="33"/>
        <v>0.433</v>
      </c>
      <c r="O1063" s="2">
        <v>54.18</v>
      </c>
      <c r="P1063" s="2">
        <v>-58.43</v>
      </c>
      <c r="Q1063" s="2" t="s">
        <v>2108</v>
      </c>
      <c r="R1063" s="3" t="s">
        <v>24</v>
      </c>
      <c r="S1063" s="2" t="s">
        <v>25</v>
      </c>
      <c r="T1063" s="2" t="s">
        <v>26</v>
      </c>
    </row>
    <row r="1064" spans="1:20" x14ac:dyDescent="0.2">
      <c r="A1064" s="2">
        <v>7026</v>
      </c>
      <c r="B1064" s="2" t="s">
        <v>1820</v>
      </c>
      <c r="C1064" s="2" t="s">
        <v>1821</v>
      </c>
      <c r="D1064" s="2" t="s">
        <v>66</v>
      </c>
      <c r="E1064" s="2" t="s">
        <v>20</v>
      </c>
      <c r="F1064" s="2">
        <v>2023</v>
      </c>
      <c r="G1064" s="2">
        <v>2024</v>
      </c>
      <c r="H1064" s="2">
        <f>'mpi_dataset_summary_2017-2024'!$G1064-'mpi_dataset_summary_2017-2024'!$F1064+1</f>
        <v>2</v>
      </c>
      <c r="I1064" s="2" t="s">
        <v>2110</v>
      </c>
      <c r="J1064" s="2" t="s">
        <v>2110</v>
      </c>
      <c r="K1064" s="2">
        <f>IF('mpi_dataset_summary_2017-2024'!$G1064=2024,1,0)</f>
        <v>1</v>
      </c>
      <c r="L1064" s="2">
        <f t="shared" si="32"/>
        <v>1</v>
      </c>
      <c r="M1064" s="2">
        <v>200</v>
      </c>
      <c r="N1064" s="2">
        <f t="shared" si="33"/>
        <v>0.49099999999999999</v>
      </c>
      <c r="O1064" s="2">
        <v>51.045318000000002</v>
      </c>
      <c r="P1064" s="2">
        <v>-114.08</v>
      </c>
      <c r="Q1064" s="2" t="s">
        <v>2108</v>
      </c>
      <c r="R1064" s="3" t="s">
        <v>35</v>
      </c>
      <c r="S1064" s="2" t="s">
        <v>22</v>
      </c>
      <c r="T1064" s="2" t="s">
        <v>36</v>
      </c>
    </row>
    <row r="1065" spans="1:20" x14ac:dyDescent="0.2">
      <c r="A1065" s="2">
        <v>7027</v>
      </c>
      <c r="B1065" s="2" t="s">
        <v>235</v>
      </c>
      <c r="C1065" s="2" t="s">
        <v>1822</v>
      </c>
      <c r="D1065" s="2" t="s">
        <v>86</v>
      </c>
      <c r="E1065" s="2" t="s">
        <v>43</v>
      </c>
      <c r="F1065" s="2">
        <v>2023</v>
      </c>
      <c r="G1065" s="2">
        <v>2024</v>
      </c>
      <c r="H1065" s="2">
        <f>'mpi_dataset_summary_2017-2024'!$G1065-'mpi_dataset_summary_2017-2024'!$F1065+1</f>
        <v>2</v>
      </c>
      <c r="I1065" s="2" t="s">
        <v>2113</v>
      </c>
      <c r="J1065" s="2" t="s">
        <v>2110</v>
      </c>
      <c r="K1065" s="2">
        <f>IF('mpi_dataset_summary_2017-2024'!$G1065=2024,1,0)</f>
        <v>1</v>
      </c>
      <c r="L1065" s="2">
        <f t="shared" si="32"/>
        <v>1</v>
      </c>
      <c r="M1065" s="2">
        <v>25.1</v>
      </c>
      <c r="N1065" s="2">
        <f t="shared" si="33"/>
        <v>0.13100000000000001</v>
      </c>
      <c r="O1065" s="2" t="s">
        <v>2114</v>
      </c>
      <c r="P1065" s="2" t="s">
        <v>2114</v>
      </c>
      <c r="Q1065" s="2" t="s">
        <v>2108</v>
      </c>
      <c r="R1065" s="3" t="s">
        <v>24</v>
      </c>
      <c r="S1065" s="2" t="s">
        <v>25</v>
      </c>
      <c r="T1065" s="2" t="s">
        <v>26</v>
      </c>
    </row>
    <row r="1066" spans="1:20" x14ac:dyDescent="0.2">
      <c r="A1066" s="2">
        <v>7028</v>
      </c>
      <c r="B1066" s="2" t="s">
        <v>1060</v>
      </c>
      <c r="C1066" s="2" t="s">
        <v>1823</v>
      </c>
      <c r="D1066" s="2" t="s">
        <v>110</v>
      </c>
      <c r="E1066" s="2" t="s">
        <v>43</v>
      </c>
      <c r="F1066" s="2">
        <v>2023</v>
      </c>
      <c r="G1066" s="2">
        <v>2024</v>
      </c>
      <c r="H1066" s="2">
        <f>'mpi_dataset_summary_2017-2024'!$G1066-'mpi_dataset_summary_2017-2024'!$F1066+1</f>
        <v>2</v>
      </c>
      <c r="I1066" s="2" t="s">
        <v>2110</v>
      </c>
      <c r="J1066" s="2" t="s">
        <v>2110</v>
      </c>
      <c r="K1066" s="2">
        <f>IF('mpi_dataset_summary_2017-2024'!$G1066=2024,1,0)</f>
        <v>1</v>
      </c>
      <c r="L1066" s="2">
        <f t="shared" si="32"/>
        <v>1</v>
      </c>
      <c r="M1066" s="2">
        <v>379</v>
      </c>
      <c r="N1066" s="2">
        <f t="shared" si="33"/>
        <v>0.626</v>
      </c>
      <c r="O1066" s="2" t="s">
        <v>2114</v>
      </c>
      <c r="P1066" s="2" t="s">
        <v>2114</v>
      </c>
      <c r="Q1066" s="2" t="s">
        <v>2108</v>
      </c>
      <c r="R1066" s="3" t="s">
        <v>41</v>
      </c>
      <c r="S1066" s="2" t="s">
        <v>25</v>
      </c>
      <c r="T1066" s="2" t="s">
        <v>46</v>
      </c>
    </row>
    <row r="1067" spans="1:20" x14ac:dyDescent="0.2">
      <c r="A1067" s="2">
        <v>7029</v>
      </c>
      <c r="B1067" s="2" t="s">
        <v>1824</v>
      </c>
      <c r="C1067" s="2" t="s">
        <v>1825</v>
      </c>
      <c r="D1067" s="2" t="s">
        <v>110</v>
      </c>
      <c r="E1067" s="2" t="s">
        <v>20</v>
      </c>
      <c r="F1067" s="2">
        <v>2023</v>
      </c>
      <c r="G1067" s="2">
        <v>2024</v>
      </c>
      <c r="H1067" s="2">
        <f>'mpi_dataset_summary_2017-2024'!$G1067-'mpi_dataset_summary_2017-2024'!$F1067+1</f>
        <v>2</v>
      </c>
      <c r="I1067" s="2" t="s">
        <v>2111</v>
      </c>
      <c r="J1067" s="2" t="s">
        <v>2111</v>
      </c>
      <c r="K1067" s="2">
        <f>IF('mpi_dataset_summary_2017-2024'!$G1067=2024,1,0)</f>
        <v>1</v>
      </c>
      <c r="L1067" s="2">
        <f t="shared" si="32"/>
        <v>0</v>
      </c>
      <c r="M1067" s="2">
        <v>2000</v>
      </c>
      <c r="N1067" s="2">
        <f t="shared" si="33"/>
        <v>0.89400000000000002</v>
      </c>
      <c r="O1067" s="2" t="s">
        <v>2114</v>
      </c>
      <c r="P1067" s="2" t="s">
        <v>2114</v>
      </c>
      <c r="Q1067" s="2" t="s">
        <v>2108</v>
      </c>
      <c r="R1067" s="3" t="s">
        <v>27</v>
      </c>
      <c r="S1067" s="2" t="s">
        <v>25</v>
      </c>
      <c r="T1067" s="2" t="s">
        <v>28</v>
      </c>
    </row>
    <row r="1068" spans="1:20" x14ac:dyDescent="0.2">
      <c r="A1068" s="2">
        <v>7031</v>
      </c>
      <c r="B1068" s="2" t="s">
        <v>1826</v>
      </c>
      <c r="C1068" s="2" t="s">
        <v>1827</v>
      </c>
      <c r="D1068" s="2" t="s">
        <v>69</v>
      </c>
      <c r="E1068" s="2" t="s">
        <v>20</v>
      </c>
      <c r="F1068" s="2">
        <v>2023</v>
      </c>
      <c r="G1068" s="2">
        <v>2024</v>
      </c>
      <c r="H1068" s="2">
        <f>'mpi_dataset_summary_2017-2024'!$G1068-'mpi_dataset_summary_2017-2024'!$F1068+1</f>
        <v>2</v>
      </c>
      <c r="I1068" s="2" t="s">
        <v>2111</v>
      </c>
      <c r="J1068" s="2" t="s">
        <v>2111</v>
      </c>
      <c r="K1068" s="2">
        <f>IF('mpi_dataset_summary_2017-2024'!$G1068=2024,1,0)</f>
        <v>1</v>
      </c>
      <c r="L1068" s="2">
        <f t="shared" si="32"/>
        <v>0</v>
      </c>
      <c r="M1068" s="2">
        <v>1200</v>
      </c>
      <c r="N1068" s="2">
        <f t="shared" si="33"/>
        <v>0.82899999999999996</v>
      </c>
      <c r="O1068" s="2" t="s">
        <v>2114</v>
      </c>
      <c r="P1068" s="2" t="s">
        <v>2114</v>
      </c>
      <c r="Q1068" s="2" t="s">
        <v>2108</v>
      </c>
      <c r="R1068" s="3" t="s">
        <v>44</v>
      </c>
      <c r="S1068" s="2" t="s">
        <v>25</v>
      </c>
      <c r="T1068" s="2" t="s">
        <v>45</v>
      </c>
    </row>
    <row r="1069" spans="1:20" x14ac:dyDescent="0.2">
      <c r="A1069" s="2">
        <v>7032</v>
      </c>
      <c r="B1069" s="2" t="s">
        <v>1828</v>
      </c>
      <c r="C1069" s="2" t="s">
        <v>1829</v>
      </c>
      <c r="D1069" s="2" t="s">
        <v>66</v>
      </c>
      <c r="E1069" s="2" t="s">
        <v>20</v>
      </c>
      <c r="F1069" s="2">
        <v>2023</v>
      </c>
      <c r="G1069" s="2">
        <v>2024</v>
      </c>
      <c r="H1069" s="2">
        <f>'mpi_dataset_summary_2017-2024'!$G1069-'mpi_dataset_summary_2017-2024'!$F1069+1</f>
        <v>2</v>
      </c>
      <c r="I1069" s="2" t="s">
        <v>2110</v>
      </c>
      <c r="J1069" s="2" t="s">
        <v>2110</v>
      </c>
      <c r="K1069" s="2">
        <f>IF('mpi_dataset_summary_2017-2024'!$G1069=2024,1,0)</f>
        <v>1</v>
      </c>
      <c r="L1069" s="2">
        <f t="shared" si="32"/>
        <v>1</v>
      </c>
      <c r="M1069" s="2">
        <v>400</v>
      </c>
      <c r="N1069" s="2">
        <f t="shared" si="33"/>
        <v>0.63500000000000001</v>
      </c>
      <c r="O1069" s="2">
        <v>49.792834999999997</v>
      </c>
      <c r="P1069" s="2">
        <v>-111.18600000000001</v>
      </c>
      <c r="Q1069" s="2" t="s">
        <v>2108</v>
      </c>
      <c r="R1069" s="3" t="s">
        <v>24</v>
      </c>
      <c r="S1069" s="2" t="s">
        <v>25</v>
      </c>
      <c r="T1069" s="2" t="s">
        <v>26</v>
      </c>
    </row>
    <row r="1070" spans="1:20" x14ac:dyDescent="0.2">
      <c r="A1070" s="2">
        <v>7033</v>
      </c>
      <c r="B1070" s="2" t="s">
        <v>1830</v>
      </c>
      <c r="C1070" s="2" t="s">
        <v>1831</v>
      </c>
      <c r="D1070" s="2" t="s">
        <v>66</v>
      </c>
      <c r="E1070" s="2" t="s">
        <v>20</v>
      </c>
      <c r="F1070" s="2">
        <v>2023</v>
      </c>
      <c r="G1070" s="2">
        <v>2023</v>
      </c>
      <c r="H1070" s="2">
        <f>'mpi_dataset_summary_2017-2024'!$G1070-'mpi_dataset_summary_2017-2024'!$F1070+1</f>
        <v>1</v>
      </c>
      <c r="I1070" s="2" t="s">
        <v>2110</v>
      </c>
      <c r="J1070" s="2" t="s">
        <v>2110</v>
      </c>
      <c r="K1070" s="2">
        <f>IF('mpi_dataset_summary_2017-2024'!$G1070=2024,1,0)</f>
        <v>0</v>
      </c>
      <c r="L1070" s="2">
        <f t="shared" si="32"/>
        <v>1</v>
      </c>
      <c r="M1070" s="2">
        <v>120</v>
      </c>
      <c r="N1070" s="2">
        <f t="shared" si="33"/>
        <v>0.38900000000000001</v>
      </c>
      <c r="O1070" s="2">
        <v>51.610861</v>
      </c>
      <c r="P1070" s="2">
        <v>-112.173</v>
      </c>
      <c r="Q1070" s="2" t="s">
        <v>2108</v>
      </c>
      <c r="R1070" s="3" t="s">
        <v>24</v>
      </c>
      <c r="S1070" s="2" t="s">
        <v>25</v>
      </c>
      <c r="T1070" s="2" t="s">
        <v>26</v>
      </c>
    </row>
    <row r="1071" spans="1:20" x14ac:dyDescent="0.2">
      <c r="A1071" s="2">
        <v>7034</v>
      </c>
      <c r="B1071" s="2" t="s">
        <v>1832</v>
      </c>
      <c r="C1071" s="2" t="s">
        <v>1833</v>
      </c>
      <c r="D1071" s="2" t="s">
        <v>69</v>
      </c>
      <c r="E1071" s="2" t="s">
        <v>20</v>
      </c>
      <c r="F1071" s="2">
        <v>2023</v>
      </c>
      <c r="G1071" s="2">
        <v>2024</v>
      </c>
      <c r="H1071" s="2">
        <f>'mpi_dataset_summary_2017-2024'!$G1071-'mpi_dataset_summary_2017-2024'!$F1071+1</f>
        <v>2</v>
      </c>
      <c r="I1071" s="2" t="s">
        <v>2110</v>
      </c>
      <c r="J1071" s="2" t="s">
        <v>2110</v>
      </c>
      <c r="K1071" s="2">
        <f>IF('mpi_dataset_summary_2017-2024'!$G1071=2024,1,0)</f>
        <v>1</v>
      </c>
      <c r="L1071" s="2">
        <f t="shared" si="32"/>
        <v>1</v>
      </c>
      <c r="M1071" s="2">
        <v>600</v>
      </c>
      <c r="N1071" s="2">
        <f t="shared" si="33"/>
        <v>0.71399999999999997</v>
      </c>
      <c r="O1071" s="2" t="s">
        <v>2114</v>
      </c>
      <c r="P1071" s="2" t="s">
        <v>2114</v>
      </c>
      <c r="Q1071" s="2" t="s">
        <v>2108</v>
      </c>
      <c r="R1071" s="3" t="s">
        <v>37</v>
      </c>
      <c r="S1071" s="2" t="s">
        <v>22</v>
      </c>
      <c r="T1071" s="2" t="s">
        <v>38</v>
      </c>
    </row>
    <row r="1072" spans="1:20" x14ac:dyDescent="0.2">
      <c r="A1072" s="2">
        <v>7035</v>
      </c>
      <c r="B1072" s="2" t="s">
        <v>1834</v>
      </c>
      <c r="C1072" s="2" t="s">
        <v>1835</v>
      </c>
      <c r="D1072" s="2" t="s">
        <v>66</v>
      </c>
      <c r="E1072" s="2" t="s">
        <v>20</v>
      </c>
      <c r="F1072" s="2">
        <v>2023</v>
      </c>
      <c r="G1072" s="2">
        <v>2024</v>
      </c>
      <c r="H1072" s="2">
        <f>'mpi_dataset_summary_2017-2024'!$G1072-'mpi_dataset_summary_2017-2024'!$F1072+1</f>
        <v>2</v>
      </c>
      <c r="I1072" s="2" t="s">
        <v>2111</v>
      </c>
      <c r="J1072" s="2" t="s">
        <v>2111</v>
      </c>
      <c r="K1072" s="2">
        <f>IF('mpi_dataset_summary_2017-2024'!$G1072=2024,1,0)</f>
        <v>1</v>
      </c>
      <c r="L1072" s="2">
        <f t="shared" si="32"/>
        <v>0</v>
      </c>
      <c r="M1072" s="2">
        <v>1200</v>
      </c>
      <c r="N1072" s="2">
        <f t="shared" si="33"/>
        <v>0.82899999999999996</v>
      </c>
      <c r="O1072" s="2">
        <v>51.010133000000003</v>
      </c>
      <c r="P1072" s="2">
        <v>-113.914</v>
      </c>
      <c r="Q1072" s="2" t="s">
        <v>2108</v>
      </c>
      <c r="R1072" s="3" t="s">
        <v>44</v>
      </c>
      <c r="S1072" s="2" t="s">
        <v>25</v>
      </c>
      <c r="T1072" s="2" t="s">
        <v>45</v>
      </c>
    </row>
    <row r="1073" spans="1:20" x14ac:dyDescent="0.2">
      <c r="A1073" s="2">
        <v>7036</v>
      </c>
      <c r="B1073" s="2" t="s">
        <v>235</v>
      </c>
      <c r="C1073" s="2" t="s">
        <v>1836</v>
      </c>
      <c r="D1073" s="2" t="s">
        <v>86</v>
      </c>
      <c r="E1073" s="2" t="s">
        <v>43</v>
      </c>
      <c r="F1073" s="2">
        <v>2023</v>
      </c>
      <c r="G1073" s="2">
        <v>2023</v>
      </c>
      <c r="H1073" s="2">
        <f>'mpi_dataset_summary_2017-2024'!$G1073-'mpi_dataset_summary_2017-2024'!$F1073+1</f>
        <v>1</v>
      </c>
      <c r="I1073" s="2" t="s">
        <v>2110</v>
      </c>
      <c r="J1073" s="2" t="s">
        <v>2110</v>
      </c>
      <c r="K1073" s="2">
        <f>IF('mpi_dataset_summary_2017-2024'!$G1073=2024,1,0)</f>
        <v>0</v>
      </c>
      <c r="L1073" s="2">
        <f t="shared" si="32"/>
        <v>1</v>
      </c>
      <c r="M1073" s="2">
        <v>21.2</v>
      </c>
      <c r="N1073" s="2">
        <f t="shared" si="33"/>
        <v>0.107</v>
      </c>
      <c r="O1073" s="2" t="s">
        <v>2114</v>
      </c>
      <c r="P1073" s="2" t="s">
        <v>2114</v>
      </c>
      <c r="Q1073" s="2" t="s">
        <v>2108</v>
      </c>
      <c r="R1073" s="3" t="s">
        <v>24</v>
      </c>
      <c r="S1073" s="2" t="s">
        <v>25</v>
      </c>
      <c r="T1073" s="2" t="s">
        <v>26</v>
      </c>
    </row>
    <row r="1074" spans="1:20" x14ac:dyDescent="0.2">
      <c r="A1074" s="2">
        <v>7037</v>
      </c>
      <c r="B1074" s="2" t="s">
        <v>1837</v>
      </c>
      <c r="C1074" s="2" t="s">
        <v>1838</v>
      </c>
      <c r="D1074" s="2" t="s">
        <v>83</v>
      </c>
      <c r="E1074" s="2" t="s">
        <v>20</v>
      </c>
      <c r="F1074" s="2">
        <v>2023</v>
      </c>
      <c r="G1074" s="2">
        <v>2023</v>
      </c>
      <c r="H1074" s="2">
        <f>'mpi_dataset_summary_2017-2024'!$G1074-'mpi_dataset_summary_2017-2024'!$F1074+1</f>
        <v>1</v>
      </c>
      <c r="I1074" s="2" t="s">
        <v>2111</v>
      </c>
      <c r="J1074" s="2" t="s">
        <v>2111</v>
      </c>
      <c r="K1074" s="2">
        <f>IF('mpi_dataset_summary_2017-2024'!$G1074=2024,1,0)</f>
        <v>0</v>
      </c>
      <c r="L1074" s="2">
        <f t="shared" si="32"/>
        <v>0</v>
      </c>
      <c r="M1074" s="2">
        <v>5300</v>
      </c>
      <c r="N1074" s="2">
        <f t="shared" si="33"/>
        <v>0.95499999999999996</v>
      </c>
      <c r="O1074" s="2" t="s">
        <v>2114</v>
      </c>
      <c r="P1074" s="2" t="s">
        <v>2114</v>
      </c>
      <c r="Q1074" s="2" t="s">
        <v>2108</v>
      </c>
      <c r="R1074" s="3" t="s">
        <v>44</v>
      </c>
      <c r="S1074" s="2" t="s">
        <v>25</v>
      </c>
      <c r="T1074" s="2" t="s">
        <v>45</v>
      </c>
    </row>
    <row r="1075" spans="1:20" x14ac:dyDescent="0.2">
      <c r="A1075" s="2">
        <v>7038</v>
      </c>
      <c r="B1075" s="2" t="s">
        <v>1839</v>
      </c>
      <c r="C1075" s="2" t="s">
        <v>1840</v>
      </c>
      <c r="D1075" s="2" t="s">
        <v>86</v>
      </c>
      <c r="E1075" s="2" t="s">
        <v>20</v>
      </c>
      <c r="F1075" s="2">
        <v>2023</v>
      </c>
      <c r="G1075" s="2">
        <v>2024</v>
      </c>
      <c r="H1075" s="2">
        <f>'mpi_dataset_summary_2017-2024'!$G1075-'mpi_dataset_summary_2017-2024'!$F1075+1</f>
        <v>2</v>
      </c>
      <c r="I1075" s="2" t="s">
        <v>2111</v>
      </c>
      <c r="J1075" s="2" t="s">
        <v>2111</v>
      </c>
      <c r="K1075" s="2">
        <f>IF('mpi_dataset_summary_2017-2024'!$G1075=2024,1,0)</f>
        <v>1</v>
      </c>
      <c r="L1075" s="2">
        <f t="shared" si="32"/>
        <v>0</v>
      </c>
      <c r="M1075" s="2">
        <v>20</v>
      </c>
      <c r="N1075" s="2">
        <f t="shared" si="33"/>
        <v>8.8999999999999996E-2</v>
      </c>
      <c r="O1075" s="2" t="s">
        <v>2114</v>
      </c>
      <c r="P1075" s="2" t="s">
        <v>2114</v>
      </c>
      <c r="Q1075" s="2" t="s">
        <v>2108</v>
      </c>
      <c r="R1075" s="3" t="s">
        <v>44</v>
      </c>
      <c r="S1075" s="2" t="s">
        <v>25</v>
      </c>
      <c r="T1075" s="2" t="s">
        <v>45</v>
      </c>
    </row>
    <row r="1076" spans="1:20" x14ac:dyDescent="0.2">
      <c r="A1076" s="2">
        <v>7039</v>
      </c>
      <c r="B1076" s="2" t="s">
        <v>1841</v>
      </c>
      <c r="C1076" s="2" t="s">
        <v>1842</v>
      </c>
      <c r="D1076" s="2" t="s">
        <v>69</v>
      </c>
      <c r="E1076" s="2" t="s">
        <v>20</v>
      </c>
      <c r="F1076" s="2">
        <v>2023</v>
      </c>
      <c r="G1076" s="2">
        <v>2024</v>
      </c>
      <c r="H1076" s="2">
        <f>'mpi_dataset_summary_2017-2024'!$G1076-'mpi_dataset_summary_2017-2024'!$F1076+1</f>
        <v>2</v>
      </c>
      <c r="I1076" s="2" t="s">
        <v>2111</v>
      </c>
      <c r="J1076" s="2" t="s">
        <v>2111</v>
      </c>
      <c r="K1076" s="2">
        <f>IF('mpi_dataset_summary_2017-2024'!$G1076=2024,1,0)</f>
        <v>1</v>
      </c>
      <c r="L1076" s="2">
        <f t="shared" si="32"/>
        <v>0</v>
      </c>
      <c r="M1076" s="2">
        <v>11.25</v>
      </c>
      <c r="N1076" s="2">
        <f t="shared" si="33"/>
        <v>6.9000000000000006E-2</v>
      </c>
      <c r="O1076" s="2" t="s">
        <v>2114</v>
      </c>
      <c r="P1076" s="2" t="s">
        <v>2114</v>
      </c>
      <c r="Q1076" s="2" t="s">
        <v>2108</v>
      </c>
      <c r="R1076" s="3" t="s">
        <v>44</v>
      </c>
      <c r="S1076" s="2" t="s">
        <v>25</v>
      </c>
      <c r="T1076" s="2" t="s">
        <v>45</v>
      </c>
    </row>
    <row r="1077" spans="1:20" x14ac:dyDescent="0.2">
      <c r="A1077" s="2">
        <v>7040</v>
      </c>
      <c r="B1077" s="2" t="s">
        <v>1843</v>
      </c>
      <c r="C1077" s="2" t="s">
        <v>1844</v>
      </c>
      <c r="D1077" s="2" t="s">
        <v>66</v>
      </c>
      <c r="E1077" s="2" t="s">
        <v>20</v>
      </c>
      <c r="F1077" s="2">
        <v>2023</v>
      </c>
      <c r="G1077" s="2">
        <v>2024</v>
      </c>
      <c r="H1077" s="2">
        <f>'mpi_dataset_summary_2017-2024'!$G1077-'mpi_dataset_summary_2017-2024'!$F1077+1</f>
        <v>2</v>
      </c>
      <c r="I1077" s="2" t="s">
        <v>2111</v>
      </c>
      <c r="J1077" s="2" t="s">
        <v>2111</v>
      </c>
      <c r="K1077" s="2">
        <f>IF('mpi_dataset_summary_2017-2024'!$G1077=2024,1,0)</f>
        <v>1</v>
      </c>
      <c r="L1077" s="2">
        <f t="shared" si="32"/>
        <v>0</v>
      </c>
      <c r="M1077" s="2">
        <v>1360</v>
      </c>
      <c r="N1077" s="2">
        <f t="shared" si="33"/>
        <v>0.85299999999999998</v>
      </c>
      <c r="O1077" s="2">
        <v>53.579799999999999</v>
      </c>
      <c r="P1077" s="2">
        <v>-113.60599999999999</v>
      </c>
      <c r="Q1077" s="2" t="s">
        <v>2108</v>
      </c>
      <c r="R1077" s="3" t="s">
        <v>47</v>
      </c>
      <c r="S1077" s="2" t="s">
        <v>25</v>
      </c>
      <c r="T1077" s="2" t="s">
        <v>48</v>
      </c>
    </row>
    <row r="1078" spans="1:20" x14ac:dyDescent="0.2">
      <c r="A1078" s="2">
        <v>7042</v>
      </c>
      <c r="B1078" s="2" t="s">
        <v>1845</v>
      </c>
      <c r="C1078" s="2" t="s">
        <v>1846</v>
      </c>
      <c r="D1078" s="2" t="s">
        <v>66</v>
      </c>
      <c r="E1078" s="2" t="s">
        <v>20</v>
      </c>
      <c r="F1078" s="2">
        <v>2023</v>
      </c>
      <c r="G1078" s="2">
        <v>2024</v>
      </c>
      <c r="H1078" s="2">
        <f>'mpi_dataset_summary_2017-2024'!$G1078-'mpi_dataset_summary_2017-2024'!$F1078+1</f>
        <v>2</v>
      </c>
      <c r="I1078" s="2" t="s">
        <v>2111</v>
      </c>
      <c r="J1078" s="2" t="s">
        <v>2111</v>
      </c>
      <c r="K1078" s="2">
        <f>IF('mpi_dataset_summary_2017-2024'!$G1078=2024,1,0)</f>
        <v>1</v>
      </c>
      <c r="L1078" s="2">
        <f t="shared" si="32"/>
        <v>0</v>
      </c>
      <c r="M1078" s="2">
        <v>500</v>
      </c>
      <c r="N1078" s="2">
        <f t="shared" si="33"/>
        <v>0.67800000000000005</v>
      </c>
      <c r="O1078" s="2">
        <v>49.981414000000001</v>
      </c>
      <c r="P1078" s="2">
        <v>-113.446</v>
      </c>
      <c r="Q1078" s="2" t="s">
        <v>2108</v>
      </c>
      <c r="R1078" s="3" t="s">
        <v>24</v>
      </c>
      <c r="S1078" s="2" t="s">
        <v>25</v>
      </c>
      <c r="T1078" s="2" t="s">
        <v>26</v>
      </c>
    </row>
    <row r="1079" spans="1:20" x14ac:dyDescent="0.2">
      <c r="A1079" s="2">
        <v>7043</v>
      </c>
      <c r="B1079" s="2" t="s">
        <v>1847</v>
      </c>
      <c r="C1079" s="2" t="s">
        <v>1848</v>
      </c>
      <c r="D1079" s="2" t="s">
        <v>66</v>
      </c>
      <c r="E1079" s="2" t="s">
        <v>20</v>
      </c>
      <c r="F1079" s="2">
        <v>2023</v>
      </c>
      <c r="G1079" s="2">
        <v>2023</v>
      </c>
      <c r="H1079" s="2">
        <f>'mpi_dataset_summary_2017-2024'!$G1079-'mpi_dataset_summary_2017-2024'!$F1079+1</f>
        <v>1</v>
      </c>
      <c r="I1079" s="2" t="s">
        <v>2111</v>
      </c>
      <c r="J1079" s="2" t="s">
        <v>2111</v>
      </c>
      <c r="K1079" s="2">
        <f>IF('mpi_dataset_summary_2017-2024'!$G1079=2024,1,0)</f>
        <v>0</v>
      </c>
      <c r="L1079" s="2">
        <f t="shared" si="32"/>
        <v>0</v>
      </c>
      <c r="M1079" s="2">
        <v>1000</v>
      </c>
      <c r="N1079" s="2">
        <f t="shared" si="33"/>
        <v>0.80500000000000005</v>
      </c>
      <c r="O1079" s="2" t="s">
        <v>2114</v>
      </c>
      <c r="P1079" s="2" t="s">
        <v>2114</v>
      </c>
      <c r="Q1079" s="2" t="s">
        <v>2108</v>
      </c>
      <c r="R1079" s="3" t="s">
        <v>24</v>
      </c>
      <c r="S1079" s="2" t="s">
        <v>25</v>
      </c>
      <c r="T1079" s="2" t="s">
        <v>26</v>
      </c>
    </row>
    <row r="1080" spans="1:20" x14ac:dyDescent="0.2">
      <c r="A1080" s="2">
        <v>7044</v>
      </c>
      <c r="B1080" s="2" t="s">
        <v>1849</v>
      </c>
      <c r="C1080" s="2" t="s">
        <v>1850</v>
      </c>
      <c r="D1080" s="2" t="s">
        <v>69</v>
      </c>
      <c r="E1080" s="2" t="s">
        <v>20</v>
      </c>
      <c r="F1080" s="2">
        <v>2023</v>
      </c>
      <c r="G1080" s="2">
        <v>2024</v>
      </c>
      <c r="H1080" s="2">
        <f>'mpi_dataset_summary_2017-2024'!$G1080-'mpi_dataset_summary_2017-2024'!$F1080+1</f>
        <v>2</v>
      </c>
      <c r="I1080" s="2" t="s">
        <v>2112</v>
      </c>
      <c r="J1080" s="2" t="s">
        <v>2112</v>
      </c>
      <c r="K1080" s="2">
        <f>IF('mpi_dataset_summary_2017-2024'!$G1080=2024,1,0)</f>
        <v>1</v>
      </c>
      <c r="L1080" s="2">
        <f t="shared" si="32"/>
        <v>0</v>
      </c>
      <c r="M1080" s="2">
        <v>200</v>
      </c>
      <c r="N1080" s="2">
        <f t="shared" si="33"/>
        <v>0.49099999999999999</v>
      </c>
      <c r="O1080" s="2" t="s">
        <v>2114</v>
      </c>
      <c r="P1080" s="2" t="s">
        <v>2114</v>
      </c>
      <c r="Q1080" s="2" t="s">
        <v>2108</v>
      </c>
      <c r="R1080" s="3" t="s">
        <v>44</v>
      </c>
      <c r="S1080" s="2" t="s">
        <v>25</v>
      </c>
      <c r="T1080" s="2" t="s">
        <v>45</v>
      </c>
    </row>
    <row r="1081" spans="1:20" x14ac:dyDescent="0.2">
      <c r="A1081" s="2">
        <v>7045</v>
      </c>
      <c r="B1081" s="2" t="s">
        <v>1851</v>
      </c>
      <c r="C1081" s="2" t="s">
        <v>1852</v>
      </c>
      <c r="D1081" s="2" t="s">
        <v>69</v>
      </c>
      <c r="E1081" s="2" t="s">
        <v>20</v>
      </c>
      <c r="F1081" s="2">
        <v>2023</v>
      </c>
      <c r="G1081" s="2">
        <v>2024</v>
      </c>
      <c r="H1081" s="2">
        <f>'mpi_dataset_summary_2017-2024'!$G1081-'mpi_dataset_summary_2017-2024'!$F1081+1</f>
        <v>2</v>
      </c>
      <c r="I1081" s="2" t="s">
        <v>2111</v>
      </c>
      <c r="J1081" s="2" t="s">
        <v>2110</v>
      </c>
      <c r="K1081" s="2">
        <f>IF('mpi_dataset_summary_2017-2024'!$G1081=2024,1,0)</f>
        <v>1</v>
      </c>
      <c r="L1081" s="2">
        <f t="shared" si="32"/>
        <v>1</v>
      </c>
      <c r="M1081" s="2">
        <v>62</v>
      </c>
      <c r="N1081" s="2">
        <f t="shared" si="33"/>
        <v>0.26100000000000001</v>
      </c>
      <c r="O1081" s="2" t="s">
        <v>2114</v>
      </c>
      <c r="P1081" s="2" t="s">
        <v>2114</v>
      </c>
      <c r="Q1081" s="2" t="s">
        <v>2108</v>
      </c>
      <c r="R1081" s="3" t="s">
        <v>44</v>
      </c>
      <c r="S1081" s="2" t="s">
        <v>25</v>
      </c>
      <c r="T1081" s="2" t="s">
        <v>45</v>
      </c>
    </row>
    <row r="1082" spans="1:20" x14ac:dyDescent="0.2">
      <c r="A1082" s="2">
        <v>7046</v>
      </c>
      <c r="B1082" s="2" t="s">
        <v>235</v>
      </c>
      <c r="C1082" s="2" t="s">
        <v>1853</v>
      </c>
      <c r="D1082" s="2" t="s">
        <v>86</v>
      </c>
      <c r="E1082" s="2" t="s">
        <v>43</v>
      </c>
      <c r="F1082" s="2">
        <v>2023</v>
      </c>
      <c r="G1082" s="2">
        <v>2023</v>
      </c>
      <c r="H1082" s="2">
        <f>'mpi_dataset_summary_2017-2024'!$G1082-'mpi_dataset_summary_2017-2024'!$F1082+1</f>
        <v>1</v>
      </c>
      <c r="I1082" s="2" t="s">
        <v>2113</v>
      </c>
      <c r="J1082" s="2" t="s">
        <v>2113</v>
      </c>
      <c r="K1082" s="2">
        <f>IF('mpi_dataset_summary_2017-2024'!$G1082=2024,1,0)</f>
        <v>0</v>
      </c>
      <c r="L1082" s="2">
        <f t="shared" si="32"/>
        <v>0</v>
      </c>
      <c r="M1082" s="2">
        <v>53.4</v>
      </c>
      <c r="N1082" s="2">
        <f t="shared" si="33"/>
        <v>0.23899999999999999</v>
      </c>
      <c r="O1082" s="2">
        <v>54.54</v>
      </c>
      <c r="P1082" s="2">
        <v>-98.03</v>
      </c>
      <c r="Q1082" s="2" t="s">
        <v>2108</v>
      </c>
      <c r="R1082" s="3" t="s">
        <v>24</v>
      </c>
      <c r="S1082" s="2" t="s">
        <v>25</v>
      </c>
      <c r="T1082" s="2" t="s">
        <v>26</v>
      </c>
    </row>
    <row r="1083" spans="1:20" x14ac:dyDescent="0.2">
      <c r="A1083" s="2">
        <v>7047</v>
      </c>
      <c r="B1083" s="2" t="s">
        <v>1854</v>
      </c>
      <c r="C1083" s="2" t="s">
        <v>1855</v>
      </c>
      <c r="D1083" s="2" t="s">
        <v>66</v>
      </c>
      <c r="E1083" s="2" t="s">
        <v>20</v>
      </c>
      <c r="F1083" s="2">
        <v>2023</v>
      </c>
      <c r="G1083" s="2">
        <v>2024</v>
      </c>
      <c r="H1083" s="2">
        <f>'mpi_dataset_summary_2017-2024'!$G1083-'mpi_dataset_summary_2017-2024'!$F1083+1</f>
        <v>2</v>
      </c>
      <c r="I1083" s="2" t="s">
        <v>2111</v>
      </c>
      <c r="J1083" s="2" t="s">
        <v>2110</v>
      </c>
      <c r="K1083" s="2">
        <f>IF('mpi_dataset_summary_2017-2024'!$G1083=2024,1,0)</f>
        <v>1</v>
      </c>
      <c r="L1083" s="2">
        <f t="shared" si="32"/>
        <v>1</v>
      </c>
      <c r="M1083" s="2">
        <v>500</v>
      </c>
      <c r="N1083" s="2">
        <f t="shared" si="33"/>
        <v>0.67800000000000005</v>
      </c>
      <c r="O1083" s="2">
        <v>50.663204</v>
      </c>
      <c r="P1083" s="2">
        <v>-111.116</v>
      </c>
      <c r="Q1083" s="2" t="s">
        <v>2108</v>
      </c>
      <c r="R1083" s="3" t="s">
        <v>49</v>
      </c>
      <c r="S1083" s="2" t="s">
        <v>25</v>
      </c>
      <c r="T1083" s="2" t="s">
        <v>50</v>
      </c>
    </row>
    <row r="1084" spans="1:20" x14ac:dyDescent="0.2">
      <c r="A1084" s="2">
        <v>7048</v>
      </c>
      <c r="B1084" s="2" t="s">
        <v>235</v>
      </c>
      <c r="C1084" s="2" t="s">
        <v>1856</v>
      </c>
      <c r="D1084" s="2" t="s">
        <v>86</v>
      </c>
      <c r="E1084" s="2" t="s">
        <v>43</v>
      </c>
      <c r="F1084" s="2">
        <v>2023</v>
      </c>
      <c r="G1084" s="2">
        <v>2024</v>
      </c>
      <c r="H1084" s="2">
        <f>'mpi_dataset_summary_2017-2024'!$G1084-'mpi_dataset_summary_2017-2024'!$F1084+1</f>
        <v>2</v>
      </c>
      <c r="I1084" s="2" t="s">
        <v>2113</v>
      </c>
      <c r="J1084" s="2" t="s">
        <v>2113</v>
      </c>
      <c r="K1084" s="2">
        <f>IF('mpi_dataset_summary_2017-2024'!$G1084=2024,1,0)</f>
        <v>1</v>
      </c>
      <c r="L1084" s="2">
        <f t="shared" si="32"/>
        <v>0</v>
      </c>
      <c r="M1084" s="2">
        <v>22.9</v>
      </c>
      <c r="N1084" s="2">
        <f t="shared" si="33"/>
        <v>0.11600000000000001</v>
      </c>
      <c r="O1084" s="2" t="s">
        <v>2114</v>
      </c>
      <c r="P1084" s="2" t="s">
        <v>2114</v>
      </c>
      <c r="Q1084" s="2" t="s">
        <v>2108</v>
      </c>
      <c r="R1084" s="3" t="s">
        <v>24</v>
      </c>
      <c r="S1084" s="2" t="s">
        <v>25</v>
      </c>
      <c r="T1084" s="2" t="s">
        <v>26</v>
      </c>
    </row>
    <row r="1085" spans="1:20" x14ac:dyDescent="0.2">
      <c r="A1085" s="2">
        <v>7049</v>
      </c>
      <c r="B1085" s="2" t="s">
        <v>235</v>
      </c>
      <c r="C1085" s="2" t="s">
        <v>1857</v>
      </c>
      <c r="D1085" s="2" t="s">
        <v>86</v>
      </c>
      <c r="E1085" s="2" t="s">
        <v>43</v>
      </c>
      <c r="F1085" s="2">
        <v>2023</v>
      </c>
      <c r="G1085" s="2">
        <v>2023</v>
      </c>
      <c r="H1085" s="2">
        <f>'mpi_dataset_summary_2017-2024'!$G1085-'mpi_dataset_summary_2017-2024'!$F1085+1</f>
        <v>1</v>
      </c>
      <c r="I1085" s="2" t="s">
        <v>2113</v>
      </c>
      <c r="J1085" s="2" t="s">
        <v>2113</v>
      </c>
      <c r="K1085" s="2">
        <f>IF('mpi_dataset_summary_2017-2024'!$G1085=2024,1,0)</f>
        <v>0</v>
      </c>
      <c r="L1085" s="2">
        <f t="shared" si="32"/>
        <v>0</v>
      </c>
      <c r="M1085" s="2">
        <v>24.9</v>
      </c>
      <c r="N1085" s="2">
        <f t="shared" si="33"/>
        <v>0.124</v>
      </c>
      <c r="O1085" s="2">
        <v>56.384285774867699</v>
      </c>
      <c r="P1085" s="2">
        <v>-94.635010730368506</v>
      </c>
      <c r="Q1085" s="2" t="s">
        <v>2108</v>
      </c>
      <c r="R1085" s="3" t="s">
        <v>24</v>
      </c>
      <c r="S1085" s="2" t="s">
        <v>25</v>
      </c>
      <c r="T1085" s="2" t="s">
        <v>26</v>
      </c>
    </row>
    <row r="1086" spans="1:20" x14ac:dyDescent="0.2">
      <c r="A1086" s="2">
        <v>7050</v>
      </c>
      <c r="B1086" s="2" t="s">
        <v>235</v>
      </c>
      <c r="C1086" s="2" t="s">
        <v>1858</v>
      </c>
      <c r="D1086" s="2" t="s">
        <v>86</v>
      </c>
      <c r="E1086" s="2" t="s">
        <v>43</v>
      </c>
      <c r="F1086" s="2">
        <v>2023</v>
      </c>
      <c r="G1086" s="2">
        <v>2023</v>
      </c>
      <c r="H1086" s="2">
        <f>'mpi_dataset_summary_2017-2024'!$G1086-'mpi_dataset_summary_2017-2024'!$F1086+1</f>
        <v>1</v>
      </c>
      <c r="I1086" s="2" t="s">
        <v>2113</v>
      </c>
      <c r="J1086" s="2" t="s">
        <v>2113</v>
      </c>
      <c r="K1086" s="2">
        <f>IF('mpi_dataset_summary_2017-2024'!$G1086=2024,1,0)</f>
        <v>0</v>
      </c>
      <c r="L1086" s="2">
        <f t="shared" si="32"/>
        <v>0</v>
      </c>
      <c r="M1086" s="2">
        <v>24.4</v>
      </c>
      <c r="N1086" s="2">
        <f t="shared" si="33"/>
        <v>0.123</v>
      </c>
      <c r="O1086" s="2">
        <v>56.384285774867699</v>
      </c>
      <c r="P1086" s="2">
        <v>-94.635010730368506</v>
      </c>
      <c r="Q1086" s="2" t="s">
        <v>2108</v>
      </c>
      <c r="R1086" s="3" t="s">
        <v>24</v>
      </c>
      <c r="S1086" s="2" t="s">
        <v>25</v>
      </c>
      <c r="T1086" s="2" t="s">
        <v>26</v>
      </c>
    </row>
    <row r="1087" spans="1:20" x14ac:dyDescent="0.2">
      <c r="A1087" s="2">
        <v>7051</v>
      </c>
      <c r="B1087" s="2" t="s">
        <v>235</v>
      </c>
      <c r="C1087" s="2" t="s">
        <v>1859</v>
      </c>
      <c r="D1087" s="2" t="s">
        <v>86</v>
      </c>
      <c r="E1087" s="2" t="s">
        <v>43</v>
      </c>
      <c r="F1087" s="2">
        <v>2023</v>
      </c>
      <c r="G1087" s="2">
        <v>2024</v>
      </c>
      <c r="H1087" s="2">
        <f>'mpi_dataset_summary_2017-2024'!$G1087-'mpi_dataset_summary_2017-2024'!$F1087+1</f>
        <v>2</v>
      </c>
      <c r="I1087" s="2" t="s">
        <v>2110</v>
      </c>
      <c r="J1087" s="2" t="s">
        <v>2110</v>
      </c>
      <c r="K1087" s="2">
        <f>IF('mpi_dataset_summary_2017-2024'!$G1087=2024,1,0)</f>
        <v>1</v>
      </c>
      <c r="L1087" s="2">
        <f t="shared" si="32"/>
        <v>1</v>
      </c>
      <c r="M1087" s="2">
        <v>40.9</v>
      </c>
      <c r="N1087" s="2">
        <f t="shared" si="33"/>
        <v>0.186</v>
      </c>
      <c r="O1087" s="2" t="s">
        <v>2114</v>
      </c>
      <c r="P1087" s="2" t="s">
        <v>2114</v>
      </c>
      <c r="Q1087" s="2" t="s">
        <v>2108</v>
      </c>
      <c r="R1087" s="3" t="s">
        <v>24</v>
      </c>
      <c r="S1087" s="2" t="s">
        <v>25</v>
      </c>
      <c r="T1087" s="2" t="s">
        <v>26</v>
      </c>
    </row>
    <row r="1088" spans="1:20" x14ac:dyDescent="0.2">
      <c r="A1088" s="2">
        <v>7052</v>
      </c>
      <c r="B1088" s="2" t="s">
        <v>235</v>
      </c>
      <c r="C1088" s="2" t="s">
        <v>1860</v>
      </c>
      <c r="D1088" s="2" t="s">
        <v>86</v>
      </c>
      <c r="E1088" s="2" t="s">
        <v>43</v>
      </c>
      <c r="F1088" s="2">
        <v>2023</v>
      </c>
      <c r="G1088" s="2">
        <v>2023</v>
      </c>
      <c r="H1088" s="2">
        <f>'mpi_dataset_summary_2017-2024'!$G1088-'mpi_dataset_summary_2017-2024'!$F1088+1</f>
        <v>1</v>
      </c>
      <c r="I1088" s="2" t="s">
        <v>2110</v>
      </c>
      <c r="J1088" s="2" t="s">
        <v>2110</v>
      </c>
      <c r="K1088" s="2">
        <f>IF('mpi_dataset_summary_2017-2024'!$G1088=2024,1,0)</f>
        <v>0</v>
      </c>
      <c r="L1088" s="2">
        <f t="shared" si="32"/>
        <v>1</v>
      </c>
      <c r="M1088" s="2">
        <v>23.3</v>
      </c>
      <c r="N1088" s="2">
        <f t="shared" si="33"/>
        <v>0.11899999999999999</v>
      </c>
      <c r="O1088" s="2" t="s">
        <v>2114</v>
      </c>
      <c r="P1088" s="2" t="s">
        <v>2114</v>
      </c>
      <c r="Q1088" s="2" t="s">
        <v>2108</v>
      </c>
      <c r="R1088" s="3" t="s">
        <v>24</v>
      </c>
      <c r="S1088" s="2" t="s">
        <v>25</v>
      </c>
      <c r="T1088" s="2" t="s">
        <v>26</v>
      </c>
    </row>
    <row r="1089" spans="1:20" x14ac:dyDescent="0.2">
      <c r="A1089" s="2">
        <v>7053</v>
      </c>
      <c r="B1089" s="2" t="s">
        <v>235</v>
      </c>
      <c r="C1089" s="2" t="s">
        <v>1861</v>
      </c>
      <c r="D1089" s="2" t="s">
        <v>86</v>
      </c>
      <c r="E1089" s="2" t="s">
        <v>43</v>
      </c>
      <c r="F1089" s="2">
        <v>2023</v>
      </c>
      <c r="G1089" s="2">
        <v>2023</v>
      </c>
      <c r="H1089" s="2">
        <f>'mpi_dataset_summary_2017-2024'!$G1089-'mpi_dataset_summary_2017-2024'!$F1089+1</f>
        <v>1</v>
      </c>
      <c r="I1089" s="2" t="s">
        <v>2113</v>
      </c>
      <c r="J1089" s="2" t="s">
        <v>2113</v>
      </c>
      <c r="K1089" s="2">
        <f>IF('mpi_dataset_summary_2017-2024'!$G1089=2024,1,0)</f>
        <v>0</v>
      </c>
      <c r="L1089" s="2">
        <f t="shared" si="32"/>
        <v>0</v>
      </c>
      <c r="M1089" s="2">
        <v>25.5</v>
      </c>
      <c r="N1089" s="2">
        <f t="shared" si="33"/>
        <v>0.13200000000000001</v>
      </c>
      <c r="O1089" s="2">
        <v>56.384285774867699</v>
      </c>
      <c r="P1089" s="2">
        <v>-94.635010730368506</v>
      </c>
      <c r="Q1089" s="2" t="s">
        <v>2108</v>
      </c>
      <c r="R1089" s="3" t="s">
        <v>24</v>
      </c>
      <c r="S1089" s="2" t="s">
        <v>25</v>
      </c>
      <c r="T1089" s="2" t="s">
        <v>26</v>
      </c>
    </row>
    <row r="1090" spans="1:20" x14ac:dyDescent="0.2">
      <c r="A1090" s="2">
        <v>7054</v>
      </c>
      <c r="B1090" s="2" t="s">
        <v>235</v>
      </c>
      <c r="C1090" s="2" t="s">
        <v>1862</v>
      </c>
      <c r="D1090" s="2" t="s">
        <v>86</v>
      </c>
      <c r="E1090" s="2" t="s">
        <v>43</v>
      </c>
      <c r="F1090" s="2">
        <v>2023</v>
      </c>
      <c r="G1090" s="2">
        <v>2023</v>
      </c>
      <c r="H1090" s="2">
        <f>'mpi_dataset_summary_2017-2024'!$G1090-'mpi_dataset_summary_2017-2024'!$F1090+1</f>
        <v>1</v>
      </c>
      <c r="I1090" s="2" t="s">
        <v>2113</v>
      </c>
      <c r="J1090" s="2" t="s">
        <v>2113</v>
      </c>
      <c r="K1090" s="2">
        <f>IF('mpi_dataset_summary_2017-2024'!$G1090=2024,1,0)</f>
        <v>0</v>
      </c>
      <c r="L1090" s="2">
        <f t="shared" ref="L1090:L1153" si="34">IF(J1090="Under Construction",1,0)</f>
        <v>0</v>
      </c>
      <c r="M1090" s="2">
        <v>27.3</v>
      </c>
      <c r="N1090" s="2">
        <f t="shared" ref="N1090:N1153" si="35">_xlfn.PERCENTRANK.INC($M$2:$M$4056,M1090)</f>
        <v>0.14000000000000001</v>
      </c>
      <c r="O1090" s="2">
        <v>56.384285774867699</v>
      </c>
      <c r="P1090" s="2">
        <v>-94.635010730368506</v>
      </c>
      <c r="Q1090" s="2" t="s">
        <v>2108</v>
      </c>
      <c r="R1090" s="3" t="s">
        <v>24</v>
      </c>
      <c r="S1090" s="2" t="s">
        <v>25</v>
      </c>
      <c r="T1090" s="2" t="s">
        <v>26</v>
      </c>
    </row>
    <row r="1091" spans="1:20" x14ac:dyDescent="0.2">
      <c r="A1091" s="2">
        <v>7055</v>
      </c>
      <c r="B1091" s="2" t="s">
        <v>1845</v>
      </c>
      <c r="C1091" s="2" t="s">
        <v>1863</v>
      </c>
      <c r="D1091" s="2" t="s">
        <v>66</v>
      </c>
      <c r="E1091" s="2" t="s">
        <v>20</v>
      </c>
      <c r="F1091" s="2">
        <v>2023</v>
      </c>
      <c r="G1091" s="2">
        <v>2024</v>
      </c>
      <c r="H1091" s="2">
        <f>'mpi_dataset_summary_2017-2024'!$G1091-'mpi_dataset_summary_2017-2024'!$F1091+1</f>
        <v>2</v>
      </c>
      <c r="I1091" s="2" t="s">
        <v>2111</v>
      </c>
      <c r="J1091" s="2" t="s">
        <v>2111</v>
      </c>
      <c r="K1091" s="2">
        <f>IF('mpi_dataset_summary_2017-2024'!$G1091=2024,1,0)</f>
        <v>1</v>
      </c>
      <c r="L1091" s="2">
        <f t="shared" si="34"/>
        <v>0</v>
      </c>
      <c r="M1091" s="2">
        <v>320</v>
      </c>
      <c r="N1091" s="2">
        <f t="shared" si="35"/>
        <v>0.58799999999999997</v>
      </c>
      <c r="O1091" s="2">
        <v>52.238021000000003</v>
      </c>
      <c r="P1091" s="2">
        <v>-114.157</v>
      </c>
      <c r="Q1091" s="2" t="s">
        <v>2108</v>
      </c>
      <c r="R1091" s="3" t="s">
        <v>24</v>
      </c>
      <c r="S1091" s="2" t="s">
        <v>25</v>
      </c>
      <c r="T1091" s="2" t="s">
        <v>26</v>
      </c>
    </row>
    <row r="1092" spans="1:20" x14ac:dyDescent="0.2">
      <c r="A1092" s="2">
        <v>7056</v>
      </c>
      <c r="B1092" s="2" t="s">
        <v>1864</v>
      </c>
      <c r="C1092" s="2" t="s">
        <v>1865</v>
      </c>
      <c r="D1092" s="2" t="s">
        <v>69</v>
      </c>
      <c r="E1092" s="2" t="s">
        <v>20</v>
      </c>
      <c r="F1092" s="2">
        <v>2023</v>
      </c>
      <c r="G1092" s="2">
        <v>2024</v>
      </c>
      <c r="H1092" s="2">
        <f>'mpi_dataset_summary_2017-2024'!$G1092-'mpi_dataset_summary_2017-2024'!$F1092+1</f>
        <v>2</v>
      </c>
      <c r="I1092" s="2" t="s">
        <v>2110</v>
      </c>
      <c r="J1092" s="2" t="s">
        <v>2110</v>
      </c>
      <c r="K1092" s="2">
        <f>IF('mpi_dataset_summary_2017-2024'!$G1092=2024,1,0)</f>
        <v>1</v>
      </c>
      <c r="L1092" s="2">
        <f t="shared" si="34"/>
        <v>1</v>
      </c>
      <c r="M1092" s="2">
        <v>11.2</v>
      </c>
      <c r="N1092" s="2">
        <f t="shared" si="35"/>
        <v>6.8000000000000005E-2</v>
      </c>
      <c r="O1092" s="2" t="s">
        <v>2114</v>
      </c>
      <c r="P1092" s="2" t="s">
        <v>2114</v>
      </c>
      <c r="Q1092" s="2" t="s">
        <v>2108</v>
      </c>
      <c r="R1092" s="3" t="s">
        <v>27</v>
      </c>
      <c r="S1092" s="2" t="s">
        <v>25</v>
      </c>
      <c r="T1092" s="2" t="s">
        <v>28</v>
      </c>
    </row>
    <row r="1093" spans="1:20" x14ac:dyDescent="0.2">
      <c r="A1093" s="2">
        <v>7057</v>
      </c>
      <c r="B1093" s="2" t="s">
        <v>1866</v>
      </c>
      <c r="C1093" s="2" t="s">
        <v>1867</v>
      </c>
      <c r="D1093" s="2" t="s">
        <v>66</v>
      </c>
      <c r="E1093" s="2" t="s">
        <v>20</v>
      </c>
      <c r="F1093" s="2">
        <v>2023</v>
      </c>
      <c r="G1093" s="2">
        <v>2024</v>
      </c>
      <c r="H1093" s="2">
        <f>'mpi_dataset_summary_2017-2024'!$G1093-'mpi_dataset_summary_2017-2024'!$F1093+1</f>
        <v>2</v>
      </c>
      <c r="I1093" s="2" t="s">
        <v>2111</v>
      </c>
      <c r="J1093" s="2" t="s">
        <v>2110</v>
      </c>
      <c r="K1093" s="2">
        <f>IF('mpi_dataset_summary_2017-2024'!$G1093=2024,1,0)</f>
        <v>1</v>
      </c>
      <c r="L1093" s="2">
        <f t="shared" si="34"/>
        <v>1</v>
      </c>
      <c r="M1093" s="2">
        <v>700</v>
      </c>
      <c r="N1093" s="2">
        <f t="shared" si="35"/>
        <v>0.74299999999999999</v>
      </c>
      <c r="O1093" s="2">
        <v>50.603768000000002</v>
      </c>
      <c r="P1093" s="2">
        <v>-112.236</v>
      </c>
      <c r="Q1093" s="2" t="s">
        <v>2108</v>
      </c>
      <c r="R1093" s="3" t="s">
        <v>24</v>
      </c>
      <c r="S1093" s="2" t="s">
        <v>25</v>
      </c>
      <c r="T1093" s="2" t="s">
        <v>26</v>
      </c>
    </row>
    <row r="1094" spans="1:20" x14ac:dyDescent="0.2">
      <c r="A1094" s="2">
        <v>7058</v>
      </c>
      <c r="B1094" s="2" t="s">
        <v>1866</v>
      </c>
      <c r="C1094" s="2" t="s">
        <v>1868</v>
      </c>
      <c r="D1094" s="2" t="s">
        <v>66</v>
      </c>
      <c r="E1094" s="2" t="s">
        <v>20</v>
      </c>
      <c r="F1094" s="2">
        <v>2023</v>
      </c>
      <c r="G1094" s="2">
        <v>2024</v>
      </c>
      <c r="H1094" s="2">
        <f>'mpi_dataset_summary_2017-2024'!$G1094-'mpi_dataset_summary_2017-2024'!$F1094+1</f>
        <v>2</v>
      </c>
      <c r="I1094" s="2" t="s">
        <v>2111</v>
      </c>
      <c r="J1094" s="2" t="s">
        <v>2113</v>
      </c>
      <c r="K1094" s="2">
        <f>IF('mpi_dataset_summary_2017-2024'!$G1094=2024,1,0)</f>
        <v>1</v>
      </c>
      <c r="L1094" s="2">
        <f t="shared" si="34"/>
        <v>0</v>
      </c>
      <c r="M1094" s="2">
        <v>700</v>
      </c>
      <c r="N1094" s="2">
        <f t="shared" si="35"/>
        <v>0.74299999999999999</v>
      </c>
      <c r="O1094" s="2">
        <v>50.582388999999999</v>
      </c>
      <c r="P1094" s="2">
        <v>-112.246</v>
      </c>
      <c r="Q1094" s="2" t="s">
        <v>2108</v>
      </c>
      <c r="R1094" s="3" t="s">
        <v>24</v>
      </c>
      <c r="S1094" s="2" t="s">
        <v>25</v>
      </c>
      <c r="T1094" s="2" t="s">
        <v>26</v>
      </c>
    </row>
    <row r="1095" spans="1:20" x14ac:dyDescent="0.2">
      <c r="A1095" s="2">
        <v>7059</v>
      </c>
      <c r="B1095" s="2" t="s">
        <v>1869</v>
      </c>
      <c r="C1095" s="2" t="s">
        <v>1870</v>
      </c>
      <c r="D1095" s="2" t="s">
        <v>69</v>
      </c>
      <c r="E1095" s="2" t="s">
        <v>20</v>
      </c>
      <c r="F1095" s="2">
        <v>2023</v>
      </c>
      <c r="G1095" s="2">
        <v>2024</v>
      </c>
      <c r="H1095" s="2">
        <f>'mpi_dataset_summary_2017-2024'!$G1095-'mpi_dataset_summary_2017-2024'!$F1095+1</f>
        <v>2</v>
      </c>
      <c r="I1095" s="2" t="s">
        <v>2111</v>
      </c>
      <c r="J1095" s="2" t="s">
        <v>2111</v>
      </c>
      <c r="K1095" s="2">
        <f>IF('mpi_dataset_summary_2017-2024'!$G1095=2024,1,0)</f>
        <v>1</v>
      </c>
      <c r="L1095" s="2">
        <f t="shared" si="34"/>
        <v>0</v>
      </c>
      <c r="M1095" s="2">
        <v>5000</v>
      </c>
      <c r="N1095" s="2">
        <f t="shared" si="35"/>
        <v>0.94699999999999995</v>
      </c>
      <c r="O1095" s="2" t="s">
        <v>2114</v>
      </c>
      <c r="P1095" s="2" t="s">
        <v>2114</v>
      </c>
      <c r="Q1095" s="2" t="s">
        <v>2108</v>
      </c>
      <c r="R1095" s="3" t="s">
        <v>44</v>
      </c>
      <c r="S1095" s="2" t="s">
        <v>25</v>
      </c>
      <c r="T1095" s="2" t="s">
        <v>45</v>
      </c>
    </row>
    <row r="1096" spans="1:20" x14ac:dyDescent="0.2">
      <c r="A1096" s="2">
        <v>7060</v>
      </c>
      <c r="B1096" s="2" t="s">
        <v>1871</v>
      </c>
      <c r="C1096" s="2" t="s">
        <v>1872</v>
      </c>
      <c r="D1096" s="2" t="s">
        <v>110</v>
      </c>
      <c r="E1096" s="2" t="s">
        <v>20</v>
      </c>
      <c r="F1096" s="2">
        <v>2023</v>
      </c>
      <c r="G1096" s="2">
        <v>2023</v>
      </c>
      <c r="H1096" s="2">
        <f>'mpi_dataset_summary_2017-2024'!$G1096-'mpi_dataset_summary_2017-2024'!$F1096+1</f>
        <v>1</v>
      </c>
      <c r="I1096" s="2" t="s">
        <v>2110</v>
      </c>
      <c r="J1096" s="2" t="s">
        <v>2110</v>
      </c>
      <c r="K1096" s="2">
        <f>IF('mpi_dataset_summary_2017-2024'!$G1096=2024,1,0)</f>
        <v>0</v>
      </c>
      <c r="L1096" s="2">
        <f t="shared" si="34"/>
        <v>1</v>
      </c>
      <c r="M1096" s="2">
        <v>350</v>
      </c>
      <c r="N1096" s="2">
        <f t="shared" si="35"/>
        <v>0.60299999999999998</v>
      </c>
      <c r="O1096" s="2" t="s">
        <v>2114</v>
      </c>
      <c r="P1096" s="2" t="s">
        <v>2114</v>
      </c>
      <c r="Q1096" s="2" t="s">
        <v>2108</v>
      </c>
      <c r="R1096" s="3" t="s">
        <v>39</v>
      </c>
      <c r="S1096" s="2" t="s">
        <v>22</v>
      </c>
      <c r="T1096" s="2" t="s">
        <v>40</v>
      </c>
    </row>
    <row r="1097" spans="1:20" x14ac:dyDescent="0.2">
      <c r="A1097" s="2">
        <v>7061</v>
      </c>
      <c r="B1097" s="2" t="s">
        <v>1873</v>
      </c>
      <c r="C1097" s="2" t="s">
        <v>1874</v>
      </c>
      <c r="D1097" s="2" t="s">
        <v>69</v>
      </c>
      <c r="E1097" s="2" t="s">
        <v>20</v>
      </c>
      <c r="F1097" s="2">
        <v>2023</v>
      </c>
      <c r="G1097" s="2">
        <v>2024</v>
      </c>
      <c r="H1097" s="2">
        <f>'mpi_dataset_summary_2017-2024'!$G1097-'mpi_dataset_summary_2017-2024'!$F1097+1</f>
        <v>2</v>
      </c>
      <c r="I1097" s="2" t="s">
        <v>2111</v>
      </c>
      <c r="J1097" s="2" t="s">
        <v>2111</v>
      </c>
      <c r="K1097" s="2">
        <f>IF('mpi_dataset_summary_2017-2024'!$G1097=2024,1,0)</f>
        <v>1</v>
      </c>
      <c r="L1097" s="2">
        <f t="shared" si="34"/>
        <v>0</v>
      </c>
      <c r="M1097" s="2">
        <v>75</v>
      </c>
      <c r="N1097" s="2">
        <f t="shared" si="35"/>
        <v>0.29299999999999998</v>
      </c>
      <c r="O1097" s="2" t="s">
        <v>2114</v>
      </c>
      <c r="P1097" s="2" t="s">
        <v>2114</v>
      </c>
      <c r="Q1097" s="2" t="s">
        <v>2108</v>
      </c>
      <c r="R1097" s="3" t="s">
        <v>24</v>
      </c>
      <c r="S1097" s="2" t="s">
        <v>25</v>
      </c>
      <c r="T1097" s="2" t="s">
        <v>26</v>
      </c>
    </row>
    <row r="1098" spans="1:20" x14ac:dyDescent="0.2">
      <c r="A1098" s="2">
        <v>7062</v>
      </c>
      <c r="B1098" s="2" t="s">
        <v>1866</v>
      </c>
      <c r="C1098" s="2" t="s">
        <v>1875</v>
      </c>
      <c r="D1098" s="2" t="s">
        <v>66</v>
      </c>
      <c r="E1098" s="2" t="s">
        <v>20</v>
      </c>
      <c r="F1098" s="2">
        <v>2023</v>
      </c>
      <c r="G1098" s="2">
        <v>2023</v>
      </c>
      <c r="H1098" s="2">
        <f>'mpi_dataset_summary_2017-2024'!$G1098-'mpi_dataset_summary_2017-2024'!$F1098+1</f>
        <v>1</v>
      </c>
      <c r="I1098" s="2" t="s">
        <v>2111</v>
      </c>
      <c r="J1098" s="2" t="s">
        <v>2111</v>
      </c>
      <c r="K1098" s="2">
        <f>IF('mpi_dataset_summary_2017-2024'!$G1098=2024,1,0)</f>
        <v>0</v>
      </c>
      <c r="L1098" s="2">
        <f t="shared" si="34"/>
        <v>0</v>
      </c>
      <c r="M1098" s="2">
        <v>700</v>
      </c>
      <c r="N1098" s="2">
        <f t="shared" si="35"/>
        <v>0.74299999999999999</v>
      </c>
      <c r="O1098" s="2">
        <v>50.101692999999997</v>
      </c>
      <c r="P1098" s="2">
        <v>-110.72199999999999</v>
      </c>
      <c r="Q1098" s="2" t="s">
        <v>2108</v>
      </c>
      <c r="R1098" s="3" t="s">
        <v>49</v>
      </c>
      <c r="S1098" s="2" t="s">
        <v>25</v>
      </c>
      <c r="T1098" s="2" t="s">
        <v>50</v>
      </c>
    </row>
    <row r="1099" spans="1:20" x14ac:dyDescent="0.2">
      <c r="A1099" s="2">
        <v>7063</v>
      </c>
      <c r="B1099" s="2" t="s">
        <v>1876</v>
      </c>
      <c r="C1099" s="2" t="s">
        <v>1877</v>
      </c>
      <c r="D1099" s="2" t="s">
        <v>89</v>
      </c>
      <c r="E1099" s="2" t="s">
        <v>20</v>
      </c>
      <c r="F1099" s="2">
        <v>2023</v>
      </c>
      <c r="G1099" s="2">
        <v>2024</v>
      </c>
      <c r="H1099" s="2">
        <f>'mpi_dataset_summary_2017-2024'!$G1099-'mpi_dataset_summary_2017-2024'!$F1099+1</f>
        <v>2</v>
      </c>
      <c r="I1099" s="2" t="s">
        <v>2111</v>
      </c>
      <c r="J1099" s="2" t="s">
        <v>2110</v>
      </c>
      <c r="K1099" s="2">
        <f>IF('mpi_dataset_summary_2017-2024'!$G1099=2024,1,0)</f>
        <v>1</v>
      </c>
      <c r="L1099" s="2">
        <f t="shared" si="34"/>
        <v>1</v>
      </c>
      <c r="M1099" s="2">
        <v>310</v>
      </c>
      <c r="N1099" s="2">
        <f t="shared" si="35"/>
        <v>0.58399999999999996</v>
      </c>
      <c r="O1099" s="2" t="s">
        <v>2114</v>
      </c>
      <c r="P1099" s="2" t="s">
        <v>2114</v>
      </c>
      <c r="Q1099" s="2" t="s">
        <v>2109</v>
      </c>
      <c r="R1099" s="3" t="s">
        <v>58</v>
      </c>
      <c r="S1099" s="2" t="s">
        <v>22</v>
      </c>
      <c r="T1099" s="2" t="s">
        <v>59</v>
      </c>
    </row>
    <row r="1100" spans="1:20" x14ac:dyDescent="0.2">
      <c r="A1100" s="2">
        <v>7064</v>
      </c>
      <c r="B1100" s="2" t="s">
        <v>1878</v>
      </c>
      <c r="C1100" s="2" t="s">
        <v>1879</v>
      </c>
      <c r="D1100" s="2" t="s">
        <v>161</v>
      </c>
      <c r="E1100" s="2" t="s">
        <v>20</v>
      </c>
      <c r="F1100" s="2">
        <v>2023</v>
      </c>
      <c r="G1100" s="2">
        <v>2023</v>
      </c>
      <c r="H1100" s="2">
        <f>'mpi_dataset_summary_2017-2024'!$G1100-'mpi_dataset_summary_2017-2024'!$F1100+1</f>
        <v>1</v>
      </c>
      <c r="I1100" s="2" t="s">
        <v>2110</v>
      </c>
      <c r="J1100" s="2" t="s">
        <v>2110</v>
      </c>
      <c r="K1100" s="2">
        <f>IF('mpi_dataset_summary_2017-2024'!$G1100=2024,1,0)</f>
        <v>0</v>
      </c>
      <c r="L1100" s="2">
        <f t="shared" si="34"/>
        <v>1</v>
      </c>
      <c r="M1100" s="2">
        <v>42</v>
      </c>
      <c r="N1100" s="2">
        <f t="shared" si="35"/>
        <v>0.187</v>
      </c>
      <c r="O1100" s="2" t="s">
        <v>2114</v>
      </c>
      <c r="P1100" s="2" t="s">
        <v>2114</v>
      </c>
      <c r="Q1100" s="2" t="s">
        <v>2108</v>
      </c>
      <c r="R1100" s="3" t="s">
        <v>53</v>
      </c>
      <c r="S1100" s="2" t="s">
        <v>22</v>
      </c>
      <c r="T1100" s="2" t="s">
        <v>54</v>
      </c>
    </row>
    <row r="1101" spans="1:20" x14ac:dyDescent="0.2">
      <c r="A1101" s="2">
        <v>7065</v>
      </c>
      <c r="B1101" s="2" t="s">
        <v>1308</v>
      </c>
      <c r="C1101" s="2" t="s">
        <v>1880</v>
      </c>
      <c r="D1101" s="2" t="s">
        <v>66</v>
      </c>
      <c r="E1101" s="2" t="s">
        <v>20</v>
      </c>
      <c r="F1101" s="2">
        <v>2023</v>
      </c>
      <c r="G1101" s="2">
        <v>2023</v>
      </c>
      <c r="H1101" s="2">
        <f>'mpi_dataset_summary_2017-2024'!$G1101-'mpi_dataset_summary_2017-2024'!$F1101+1</f>
        <v>1</v>
      </c>
      <c r="I1101" s="2" t="s">
        <v>2110</v>
      </c>
      <c r="J1101" s="2" t="s">
        <v>2110</v>
      </c>
      <c r="K1101" s="2">
        <f>IF('mpi_dataset_summary_2017-2024'!$G1101=2024,1,0)</f>
        <v>0</v>
      </c>
      <c r="L1101" s="2">
        <f t="shared" si="34"/>
        <v>1</v>
      </c>
      <c r="M1101" s="2">
        <v>297</v>
      </c>
      <c r="N1101" s="2">
        <f t="shared" si="35"/>
        <v>0.57099999999999995</v>
      </c>
      <c r="O1101" s="2">
        <v>52.114635999999997</v>
      </c>
      <c r="P1101" s="2">
        <v>-112.134</v>
      </c>
      <c r="Q1101" s="2" t="s">
        <v>2108</v>
      </c>
      <c r="R1101" s="3" t="s">
        <v>24</v>
      </c>
      <c r="S1101" s="2" t="s">
        <v>25</v>
      </c>
      <c r="T1101" s="2" t="s">
        <v>26</v>
      </c>
    </row>
    <row r="1102" spans="1:20" x14ac:dyDescent="0.2">
      <c r="A1102" s="2">
        <v>7066</v>
      </c>
      <c r="B1102" s="2" t="s">
        <v>1881</v>
      </c>
      <c r="C1102" s="2" t="s">
        <v>1882</v>
      </c>
      <c r="D1102" s="2" t="s">
        <v>161</v>
      </c>
      <c r="E1102" s="2" t="s">
        <v>20</v>
      </c>
      <c r="F1102" s="2">
        <v>2023</v>
      </c>
      <c r="G1102" s="2">
        <v>2024</v>
      </c>
      <c r="H1102" s="2">
        <f>'mpi_dataset_summary_2017-2024'!$G1102-'mpi_dataset_summary_2017-2024'!$F1102+1</f>
        <v>2</v>
      </c>
      <c r="I1102" s="2" t="s">
        <v>2111</v>
      </c>
      <c r="J1102" s="2" t="s">
        <v>2111</v>
      </c>
      <c r="K1102" s="2">
        <f>IF('mpi_dataset_summary_2017-2024'!$G1102=2024,1,0)</f>
        <v>1</v>
      </c>
      <c r="L1102" s="2">
        <f t="shared" si="34"/>
        <v>0</v>
      </c>
      <c r="M1102" s="2">
        <v>520.52</v>
      </c>
      <c r="N1102" s="2">
        <f t="shared" si="35"/>
        <v>0.69599999999999995</v>
      </c>
      <c r="O1102" s="2">
        <v>48.522252999999999</v>
      </c>
      <c r="P1102" s="2">
        <v>-81.120491999999999</v>
      </c>
      <c r="Q1102" s="2" t="s">
        <v>2107</v>
      </c>
      <c r="R1102" s="3" t="s">
        <v>41</v>
      </c>
      <c r="S1102" s="2" t="s">
        <v>22</v>
      </c>
      <c r="T1102" s="2" t="s">
        <v>42</v>
      </c>
    </row>
    <row r="1103" spans="1:20" x14ac:dyDescent="0.2">
      <c r="A1103" s="2">
        <v>7067</v>
      </c>
      <c r="B1103" s="2" t="s">
        <v>1798</v>
      </c>
      <c r="C1103" s="2" t="s">
        <v>1883</v>
      </c>
      <c r="D1103" s="2" t="s">
        <v>161</v>
      </c>
      <c r="E1103" s="2" t="s">
        <v>20</v>
      </c>
      <c r="F1103" s="2">
        <v>2024</v>
      </c>
      <c r="G1103" s="2">
        <v>2024</v>
      </c>
      <c r="H1103" s="2">
        <f>'mpi_dataset_summary_2017-2024'!$G1103-'mpi_dataset_summary_2017-2024'!$F1103+1</f>
        <v>1</v>
      </c>
      <c r="I1103" s="2" t="s">
        <v>2113</v>
      </c>
      <c r="J1103" s="2" t="s">
        <v>2113</v>
      </c>
      <c r="K1103" s="2">
        <f>IF('mpi_dataset_summary_2017-2024'!$G1103=2024,1,0)</f>
        <v>1</v>
      </c>
      <c r="L1103" s="2">
        <f t="shared" si="34"/>
        <v>0</v>
      </c>
      <c r="M1103" s="2">
        <v>358</v>
      </c>
      <c r="N1103" s="2">
        <f t="shared" si="35"/>
        <v>0.62</v>
      </c>
      <c r="O1103" s="2">
        <v>42.370631000000003</v>
      </c>
      <c r="P1103" s="2">
        <v>-82.388726000000005</v>
      </c>
      <c r="Q1103" s="2" t="s">
        <v>2108</v>
      </c>
      <c r="R1103" s="3" t="s">
        <v>41</v>
      </c>
      <c r="S1103" s="2" t="s">
        <v>25</v>
      </c>
      <c r="T1103" s="2" t="s">
        <v>46</v>
      </c>
    </row>
    <row r="1104" spans="1:20" x14ac:dyDescent="0.2">
      <c r="A1104" s="2">
        <v>7068</v>
      </c>
      <c r="B1104" s="2" t="s">
        <v>1884</v>
      </c>
      <c r="C1104" s="2" t="s">
        <v>1885</v>
      </c>
      <c r="D1104" s="2" t="s">
        <v>89</v>
      </c>
      <c r="E1104" s="2" t="s">
        <v>20</v>
      </c>
      <c r="F1104" s="2">
        <v>2023</v>
      </c>
      <c r="G1104" s="2">
        <v>2024</v>
      </c>
      <c r="H1104" s="2">
        <f>'mpi_dataset_summary_2017-2024'!$G1104-'mpi_dataset_summary_2017-2024'!$F1104+1</f>
        <v>2</v>
      </c>
      <c r="I1104" s="2" t="s">
        <v>2112</v>
      </c>
      <c r="J1104" s="2" t="s">
        <v>2112</v>
      </c>
      <c r="K1104" s="2">
        <f>IF('mpi_dataset_summary_2017-2024'!$G1104=2024,1,0)</f>
        <v>1</v>
      </c>
      <c r="L1104" s="2">
        <f t="shared" si="34"/>
        <v>0</v>
      </c>
      <c r="M1104" s="2">
        <v>70</v>
      </c>
      <c r="N1104" s="2">
        <f t="shared" si="35"/>
        <v>0.27600000000000002</v>
      </c>
      <c r="O1104" s="2" t="s">
        <v>2114</v>
      </c>
      <c r="P1104" s="2" t="s">
        <v>2114</v>
      </c>
      <c r="Q1104" s="2" t="s">
        <v>2108</v>
      </c>
      <c r="R1104" s="3" t="s">
        <v>49</v>
      </c>
      <c r="S1104" s="2" t="s">
        <v>25</v>
      </c>
      <c r="T1104" s="2" t="s">
        <v>50</v>
      </c>
    </row>
    <row r="1105" spans="1:20" x14ac:dyDescent="0.2">
      <c r="A1105" s="2">
        <v>7069</v>
      </c>
      <c r="B1105" s="2" t="s">
        <v>1886</v>
      </c>
      <c r="C1105" s="2" t="s">
        <v>1887</v>
      </c>
      <c r="D1105" s="2" t="s">
        <v>66</v>
      </c>
      <c r="E1105" s="2" t="s">
        <v>20</v>
      </c>
      <c r="F1105" s="2">
        <v>2023</v>
      </c>
      <c r="G1105" s="2">
        <v>2024</v>
      </c>
      <c r="H1105" s="2">
        <f>'mpi_dataset_summary_2017-2024'!$G1105-'mpi_dataset_summary_2017-2024'!$F1105+1</f>
        <v>2</v>
      </c>
      <c r="I1105" s="2" t="s">
        <v>2111</v>
      </c>
      <c r="J1105" s="2" t="s">
        <v>2111</v>
      </c>
      <c r="K1105" s="2">
        <f>IF('mpi_dataset_summary_2017-2024'!$G1105=2024,1,0)</f>
        <v>1</v>
      </c>
      <c r="L1105" s="2">
        <f t="shared" si="34"/>
        <v>0</v>
      </c>
      <c r="M1105" s="2">
        <v>16500</v>
      </c>
      <c r="N1105" s="2">
        <f t="shared" si="35"/>
        <v>0.99</v>
      </c>
      <c r="O1105" s="2">
        <v>58.152833000000001</v>
      </c>
      <c r="P1105" s="2">
        <v>-112.285</v>
      </c>
      <c r="Q1105" s="2" t="s">
        <v>2108</v>
      </c>
      <c r="R1105" s="3" t="s">
        <v>47</v>
      </c>
      <c r="S1105" s="2" t="s">
        <v>25</v>
      </c>
      <c r="T1105" s="2" t="s">
        <v>48</v>
      </c>
    </row>
    <row r="1106" spans="1:20" x14ac:dyDescent="0.2">
      <c r="A1106" s="2">
        <v>7070</v>
      </c>
      <c r="B1106" s="2" t="s">
        <v>1888</v>
      </c>
      <c r="C1106" s="2" t="s">
        <v>1889</v>
      </c>
      <c r="D1106" s="2" t="s">
        <v>66</v>
      </c>
      <c r="E1106" s="2" t="s">
        <v>20</v>
      </c>
      <c r="F1106" s="2">
        <v>2023</v>
      </c>
      <c r="G1106" s="2">
        <v>2023</v>
      </c>
      <c r="H1106" s="2">
        <f>'mpi_dataset_summary_2017-2024'!$G1106-'mpi_dataset_summary_2017-2024'!$F1106+1</f>
        <v>1</v>
      </c>
      <c r="I1106" s="2" t="s">
        <v>2111</v>
      </c>
      <c r="J1106" s="2" t="s">
        <v>2111</v>
      </c>
      <c r="K1106" s="2">
        <f>IF('mpi_dataset_summary_2017-2024'!$G1106=2024,1,0)</f>
        <v>0</v>
      </c>
      <c r="L1106" s="2">
        <f t="shared" si="34"/>
        <v>0</v>
      </c>
      <c r="M1106" s="2">
        <v>1000</v>
      </c>
      <c r="N1106" s="2">
        <f t="shared" si="35"/>
        <v>0.80500000000000005</v>
      </c>
      <c r="O1106" s="2" t="s">
        <v>2114</v>
      </c>
      <c r="P1106" s="2" t="s">
        <v>2114</v>
      </c>
      <c r="Q1106" s="2" t="s">
        <v>2108</v>
      </c>
      <c r="R1106" s="3" t="s">
        <v>35</v>
      </c>
      <c r="S1106" s="2" t="s">
        <v>22</v>
      </c>
      <c r="T1106" s="2" t="s">
        <v>36</v>
      </c>
    </row>
    <row r="1107" spans="1:20" x14ac:dyDescent="0.2">
      <c r="A1107" s="2">
        <v>7073</v>
      </c>
      <c r="B1107" s="2" t="s">
        <v>235</v>
      </c>
      <c r="C1107" s="2" t="s">
        <v>1890</v>
      </c>
      <c r="D1107" s="2" t="s">
        <v>86</v>
      </c>
      <c r="E1107" s="2" t="s">
        <v>43</v>
      </c>
      <c r="F1107" s="2">
        <v>2023</v>
      </c>
      <c r="G1107" s="2">
        <v>2024</v>
      </c>
      <c r="H1107" s="2">
        <f>'mpi_dataset_summary_2017-2024'!$G1107-'mpi_dataset_summary_2017-2024'!$F1107+1</f>
        <v>2</v>
      </c>
      <c r="I1107" s="2" t="s">
        <v>2110</v>
      </c>
      <c r="J1107" s="2" t="s">
        <v>2110</v>
      </c>
      <c r="K1107" s="2">
        <f>IF('mpi_dataset_summary_2017-2024'!$G1107=2024,1,0)</f>
        <v>1</v>
      </c>
      <c r="L1107" s="2">
        <f t="shared" si="34"/>
        <v>1</v>
      </c>
      <c r="M1107" s="2">
        <v>387.3</v>
      </c>
      <c r="N1107" s="2">
        <f t="shared" si="35"/>
        <v>0.63100000000000001</v>
      </c>
      <c r="O1107" s="2">
        <v>50.3</v>
      </c>
      <c r="P1107" s="2">
        <v>-95.55</v>
      </c>
      <c r="Q1107" s="2" t="s">
        <v>2108</v>
      </c>
      <c r="R1107" s="3" t="s">
        <v>24</v>
      </c>
      <c r="S1107" s="2" t="s">
        <v>25</v>
      </c>
      <c r="T1107" s="2" t="s">
        <v>26</v>
      </c>
    </row>
    <row r="1108" spans="1:20" x14ac:dyDescent="0.2">
      <c r="A1108" s="2">
        <v>7074</v>
      </c>
      <c r="B1108" s="2" t="s">
        <v>1871</v>
      </c>
      <c r="C1108" s="2" t="s">
        <v>1891</v>
      </c>
      <c r="D1108" s="2" t="s">
        <v>110</v>
      </c>
      <c r="E1108" s="2" t="s">
        <v>20</v>
      </c>
      <c r="F1108" s="2">
        <v>2023</v>
      </c>
      <c r="G1108" s="2">
        <v>2023</v>
      </c>
      <c r="H1108" s="2">
        <f>'mpi_dataset_summary_2017-2024'!$G1108-'mpi_dataset_summary_2017-2024'!$F1108+1</f>
        <v>1</v>
      </c>
      <c r="I1108" s="2" t="s">
        <v>2110</v>
      </c>
      <c r="J1108" s="2" t="s">
        <v>2110</v>
      </c>
      <c r="K1108" s="2">
        <f>IF('mpi_dataset_summary_2017-2024'!$G1108=2024,1,0)</f>
        <v>0</v>
      </c>
      <c r="L1108" s="2">
        <f t="shared" si="34"/>
        <v>1</v>
      </c>
      <c r="M1108" s="2">
        <v>350</v>
      </c>
      <c r="N1108" s="2">
        <f t="shared" si="35"/>
        <v>0.60299999999999998</v>
      </c>
      <c r="O1108" s="2" t="s">
        <v>2114</v>
      </c>
      <c r="P1108" s="2" t="s">
        <v>2114</v>
      </c>
      <c r="Q1108" s="2" t="s">
        <v>2108</v>
      </c>
      <c r="R1108" s="3" t="s">
        <v>39</v>
      </c>
      <c r="S1108" s="2" t="s">
        <v>22</v>
      </c>
      <c r="T1108" s="2" t="s">
        <v>40</v>
      </c>
    </row>
    <row r="1109" spans="1:20" x14ac:dyDescent="0.2">
      <c r="A1109" s="2">
        <v>7075</v>
      </c>
      <c r="B1109" s="2" t="s">
        <v>1892</v>
      </c>
      <c r="C1109" s="2" t="s">
        <v>1893</v>
      </c>
      <c r="D1109" s="2" t="s">
        <v>161</v>
      </c>
      <c r="E1109" s="2" t="s">
        <v>20</v>
      </c>
      <c r="F1109" s="2">
        <v>2023</v>
      </c>
      <c r="G1109" s="2">
        <v>2024</v>
      </c>
      <c r="H1109" s="2">
        <f>'mpi_dataset_summary_2017-2024'!$G1109-'mpi_dataset_summary_2017-2024'!$F1109+1</f>
        <v>2</v>
      </c>
      <c r="I1109" s="2" t="s">
        <v>2111</v>
      </c>
      <c r="J1109" s="2" t="s">
        <v>2110</v>
      </c>
      <c r="K1109" s="2">
        <f>IF('mpi_dataset_summary_2017-2024'!$G1109=2024,1,0)</f>
        <v>1</v>
      </c>
      <c r="L1109" s="2">
        <f t="shared" si="34"/>
        <v>1</v>
      </c>
      <c r="M1109" s="2">
        <v>70</v>
      </c>
      <c r="N1109" s="2">
        <f t="shared" si="35"/>
        <v>0.27600000000000002</v>
      </c>
      <c r="O1109" s="2" t="s">
        <v>2114</v>
      </c>
      <c r="P1109" s="2" t="s">
        <v>2114</v>
      </c>
      <c r="Q1109" s="2" t="s">
        <v>2108</v>
      </c>
      <c r="R1109" s="3" t="s">
        <v>27</v>
      </c>
      <c r="S1109" s="2" t="s">
        <v>25</v>
      </c>
      <c r="T1109" s="2" t="s">
        <v>28</v>
      </c>
    </row>
    <row r="1110" spans="1:20" x14ac:dyDescent="0.2">
      <c r="A1110" s="2">
        <v>7076</v>
      </c>
      <c r="B1110" s="2" t="s">
        <v>1894</v>
      </c>
      <c r="C1110" s="2" t="s">
        <v>1895</v>
      </c>
      <c r="D1110" s="2" t="s">
        <v>69</v>
      </c>
      <c r="E1110" s="2" t="s">
        <v>20</v>
      </c>
      <c r="F1110" s="2">
        <v>2023</v>
      </c>
      <c r="G1110" s="2">
        <v>2023</v>
      </c>
      <c r="H1110" s="2">
        <f>'mpi_dataset_summary_2017-2024'!$G1110-'mpi_dataset_summary_2017-2024'!$F1110+1</f>
        <v>1</v>
      </c>
      <c r="I1110" s="2" t="s">
        <v>2110</v>
      </c>
      <c r="J1110" s="2" t="s">
        <v>2110</v>
      </c>
      <c r="K1110" s="2">
        <f>IF('mpi_dataset_summary_2017-2024'!$G1110=2024,1,0)</f>
        <v>0</v>
      </c>
      <c r="L1110" s="2">
        <f t="shared" si="34"/>
        <v>1</v>
      </c>
      <c r="M1110" s="2">
        <v>130</v>
      </c>
      <c r="N1110" s="2">
        <f t="shared" si="35"/>
        <v>0.41199999999999998</v>
      </c>
      <c r="O1110" s="2" t="s">
        <v>2114</v>
      </c>
      <c r="P1110" s="2" t="s">
        <v>2114</v>
      </c>
      <c r="Q1110" s="2" t="s">
        <v>2108</v>
      </c>
      <c r="R1110" s="3" t="s">
        <v>27</v>
      </c>
      <c r="S1110" s="2" t="s">
        <v>25</v>
      </c>
      <c r="T1110" s="2" t="s">
        <v>28</v>
      </c>
    </row>
    <row r="1111" spans="1:20" x14ac:dyDescent="0.2">
      <c r="A1111" s="2">
        <v>7077</v>
      </c>
      <c r="B1111" s="2" t="s">
        <v>1896</v>
      </c>
      <c r="C1111" s="2" t="s">
        <v>1897</v>
      </c>
      <c r="D1111" s="2" t="s">
        <v>89</v>
      </c>
      <c r="E1111" s="2" t="s">
        <v>20</v>
      </c>
      <c r="F1111" s="2">
        <v>2023</v>
      </c>
      <c r="G1111" s="2">
        <v>2024</v>
      </c>
      <c r="H1111" s="2">
        <f>'mpi_dataset_summary_2017-2024'!$G1111-'mpi_dataset_summary_2017-2024'!$F1111+1</f>
        <v>2</v>
      </c>
      <c r="I1111" s="2" t="s">
        <v>2111</v>
      </c>
      <c r="J1111" s="2" t="s">
        <v>2111</v>
      </c>
      <c r="K1111" s="2">
        <f>IF('mpi_dataset_summary_2017-2024'!$G1111=2024,1,0)</f>
        <v>1</v>
      </c>
      <c r="L1111" s="2">
        <f t="shared" si="34"/>
        <v>0</v>
      </c>
      <c r="M1111" s="2">
        <v>200</v>
      </c>
      <c r="N1111" s="2">
        <f t="shared" si="35"/>
        <v>0.49099999999999999</v>
      </c>
      <c r="O1111" s="2" t="s">
        <v>2114</v>
      </c>
      <c r="P1111" s="2" t="s">
        <v>2114</v>
      </c>
      <c r="Q1111" s="2" t="s">
        <v>2108</v>
      </c>
      <c r="R1111" s="3" t="s">
        <v>41</v>
      </c>
      <c r="S1111" s="2" t="s">
        <v>25</v>
      </c>
      <c r="T1111" s="2" t="s">
        <v>46</v>
      </c>
    </row>
    <row r="1112" spans="1:20" x14ac:dyDescent="0.2">
      <c r="A1112" s="2">
        <v>7078</v>
      </c>
      <c r="B1112" s="2" t="s">
        <v>1545</v>
      </c>
      <c r="C1112" s="2" t="s">
        <v>1898</v>
      </c>
      <c r="D1112" s="2" t="s">
        <v>66</v>
      </c>
      <c r="E1112" s="2" t="s">
        <v>20</v>
      </c>
      <c r="F1112" s="2">
        <v>2023</v>
      </c>
      <c r="G1112" s="2">
        <v>2024</v>
      </c>
      <c r="H1112" s="2">
        <f>'mpi_dataset_summary_2017-2024'!$G1112-'mpi_dataset_summary_2017-2024'!$F1112+1</f>
        <v>2</v>
      </c>
      <c r="I1112" s="2" t="s">
        <v>2111</v>
      </c>
      <c r="J1112" s="2" t="s">
        <v>2111</v>
      </c>
      <c r="K1112" s="2">
        <f>IF('mpi_dataset_summary_2017-2024'!$G1112=2024,1,0)</f>
        <v>1</v>
      </c>
      <c r="L1112" s="2">
        <f t="shared" si="34"/>
        <v>0</v>
      </c>
      <c r="M1112" s="2">
        <v>28</v>
      </c>
      <c r="N1112" s="2">
        <f t="shared" si="35"/>
        <v>0.14099999999999999</v>
      </c>
      <c r="O1112" s="2">
        <v>50.582844999999999</v>
      </c>
      <c r="P1112" s="2">
        <v>-111.914</v>
      </c>
      <c r="Q1112" s="2" t="s">
        <v>2108</v>
      </c>
      <c r="R1112" s="3" t="s">
        <v>24</v>
      </c>
      <c r="S1112" s="2" t="s">
        <v>25</v>
      </c>
      <c r="T1112" s="2" t="s">
        <v>26</v>
      </c>
    </row>
    <row r="1113" spans="1:20" x14ac:dyDescent="0.2">
      <c r="A1113" s="2">
        <v>7079</v>
      </c>
      <c r="B1113" s="2" t="s">
        <v>1899</v>
      </c>
      <c r="C1113" s="2" t="s">
        <v>1900</v>
      </c>
      <c r="D1113" s="2" t="s">
        <v>194</v>
      </c>
      <c r="E1113" s="2" t="s">
        <v>20</v>
      </c>
      <c r="F1113" s="2">
        <v>2023</v>
      </c>
      <c r="G1113" s="2">
        <v>2024</v>
      </c>
      <c r="H1113" s="2">
        <f>'mpi_dataset_summary_2017-2024'!$G1113-'mpi_dataset_summary_2017-2024'!$F1113+1</f>
        <v>2</v>
      </c>
      <c r="I1113" s="2" t="s">
        <v>2111</v>
      </c>
      <c r="J1113" s="2" t="s">
        <v>2111</v>
      </c>
      <c r="K1113" s="2">
        <f>IF('mpi_dataset_summary_2017-2024'!$G1113=2024,1,0)</f>
        <v>1</v>
      </c>
      <c r="L1113" s="2">
        <f t="shared" si="34"/>
        <v>0</v>
      </c>
      <c r="M1113" s="2">
        <v>85</v>
      </c>
      <c r="N1113" s="2">
        <f t="shared" si="35"/>
        <v>0.318</v>
      </c>
      <c r="O1113" s="2">
        <v>46.421913079799801</v>
      </c>
      <c r="P1113" s="2">
        <v>-63.770141740058797</v>
      </c>
      <c r="Q1113" s="2" t="s">
        <v>2108</v>
      </c>
      <c r="R1113" s="3" t="s">
        <v>35</v>
      </c>
      <c r="S1113" s="2" t="s">
        <v>22</v>
      </c>
      <c r="T1113" s="2" t="s">
        <v>36</v>
      </c>
    </row>
    <row r="1114" spans="1:20" x14ac:dyDescent="0.2">
      <c r="A1114" s="2">
        <v>7080</v>
      </c>
      <c r="B1114" s="2" t="s">
        <v>235</v>
      </c>
      <c r="C1114" s="2" t="s">
        <v>1901</v>
      </c>
      <c r="D1114" s="2" t="s">
        <v>86</v>
      </c>
      <c r="E1114" s="2" t="s">
        <v>43</v>
      </c>
      <c r="F1114" s="2">
        <v>2023</v>
      </c>
      <c r="G1114" s="2">
        <v>2023</v>
      </c>
      <c r="H1114" s="2">
        <f>'mpi_dataset_summary_2017-2024'!$G1114-'mpi_dataset_summary_2017-2024'!$F1114+1</f>
        <v>1</v>
      </c>
      <c r="I1114" s="2" t="s">
        <v>2110</v>
      </c>
      <c r="J1114" s="2" t="s">
        <v>2110</v>
      </c>
      <c r="K1114" s="2">
        <f>IF('mpi_dataset_summary_2017-2024'!$G1114=2024,1,0)</f>
        <v>0</v>
      </c>
      <c r="L1114" s="2">
        <f t="shared" si="34"/>
        <v>1</v>
      </c>
      <c r="M1114" s="2">
        <v>45.5</v>
      </c>
      <c r="N1114" s="2">
        <f t="shared" si="35"/>
        <v>0.20200000000000001</v>
      </c>
      <c r="O1114" s="2" t="s">
        <v>2114</v>
      </c>
      <c r="P1114" s="2" t="s">
        <v>2114</v>
      </c>
      <c r="Q1114" s="2" t="s">
        <v>2108</v>
      </c>
      <c r="R1114" s="3" t="s">
        <v>49</v>
      </c>
      <c r="S1114" s="2" t="s">
        <v>25</v>
      </c>
      <c r="T1114" s="2" t="s">
        <v>50</v>
      </c>
    </row>
    <row r="1115" spans="1:20" x14ac:dyDescent="0.2">
      <c r="A1115" s="2">
        <v>7081</v>
      </c>
      <c r="B1115" s="2" t="s">
        <v>1902</v>
      </c>
      <c r="C1115" s="2" t="s">
        <v>1903</v>
      </c>
      <c r="D1115" s="2" t="s">
        <v>66</v>
      </c>
      <c r="E1115" s="2" t="s">
        <v>20</v>
      </c>
      <c r="F1115" s="2">
        <v>2023</v>
      </c>
      <c r="G1115" s="2">
        <v>2024</v>
      </c>
      <c r="H1115" s="2">
        <f>'mpi_dataset_summary_2017-2024'!$G1115-'mpi_dataset_summary_2017-2024'!$F1115+1</f>
        <v>2</v>
      </c>
      <c r="I1115" s="2" t="s">
        <v>2111</v>
      </c>
      <c r="J1115" s="2" t="s">
        <v>2111</v>
      </c>
      <c r="K1115" s="2">
        <f>IF('mpi_dataset_summary_2017-2024'!$G1115=2024,1,0)</f>
        <v>1</v>
      </c>
      <c r="L1115" s="2">
        <f t="shared" si="34"/>
        <v>0</v>
      </c>
      <c r="M1115" s="2">
        <v>160</v>
      </c>
      <c r="N1115" s="2">
        <f t="shared" si="35"/>
        <v>0.45600000000000002</v>
      </c>
      <c r="O1115" s="2">
        <v>52.290433</v>
      </c>
      <c r="P1115" s="2">
        <v>-112.756</v>
      </c>
      <c r="Q1115" s="2" t="s">
        <v>2108</v>
      </c>
      <c r="R1115" s="3" t="s">
        <v>49</v>
      </c>
      <c r="S1115" s="2" t="s">
        <v>25</v>
      </c>
      <c r="T1115" s="2" t="s">
        <v>50</v>
      </c>
    </row>
    <row r="1116" spans="1:20" x14ac:dyDescent="0.2">
      <c r="A1116" s="2">
        <v>7082</v>
      </c>
      <c r="B1116" s="2" t="s">
        <v>1904</v>
      </c>
      <c r="C1116" s="2" t="s">
        <v>1905</v>
      </c>
      <c r="D1116" s="2" t="s">
        <v>194</v>
      </c>
      <c r="E1116" s="2" t="s">
        <v>43</v>
      </c>
      <c r="F1116" s="2">
        <v>2023</v>
      </c>
      <c r="G1116" s="2">
        <v>2023</v>
      </c>
      <c r="H1116" s="2">
        <f>'mpi_dataset_summary_2017-2024'!$G1116-'mpi_dataset_summary_2017-2024'!$F1116+1</f>
        <v>1</v>
      </c>
      <c r="I1116" s="2" t="s">
        <v>2111</v>
      </c>
      <c r="J1116" s="2" t="s">
        <v>2111</v>
      </c>
      <c r="K1116" s="2">
        <f>IF('mpi_dataset_summary_2017-2024'!$G1116=2024,1,0)</f>
        <v>0</v>
      </c>
      <c r="L1116" s="2">
        <f t="shared" si="34"/>
        <v>0</v>
      </c>
      <c r="M1116" s="2">
        <v>131.6</v>
      </c>
      <c r="N1116" s="2">
        <f t="shared" si="35"/>
        <v>0.41499999999999998</v>
      </c>
      <c r="O1116" s="2">
        <v>46.403674000000002</v>
      </c>
      <c r="P1116" s="2">
        <v>-63.816296999999999</v>
      </c>
      <c r="Q1116" s="2" t="s">
        <v>2108</v>
      </c>
      <c r="R1116" s="3" t="s">
        <v>49</v>
      </c>
      <c r="S1116" s="2" t="s">
        <v>25</v>
      </c>
      <c r="T1116" s="2" t="s">
        <v>50</v>
      </c>
    </row>
    <row r="1117" spans="1:20" x14ac:dyDescent="0.2">
      <c r="A1117" s="2">
        <v>7083</v>
      </c>
      <c r="B1117" s="2" t="s">
        <v>1906</v>
      </c>
      <c r="C1117" s="2" t="s">
        <v>1907</v>
      </c>
      <c r="D1117" s="2" t="s">
        <v>66</v>
      </c>
      <c r="E1117" s="2" t="s">
        <v>20</v>
      </c>
      <c r="F1117" s="2">
        <v>2023</v>
      </c>
      <c r="G1117" s="2">
        <v>2024</v>
      </c>
      <c r="H1117" s="2">
        <f>'mpi_dataset_summary_2017-2024'!$G1117-'mpi_dataset_summary_2017-2024'!$F1117+1</f>
        <v>2</v>
      </c>
      <c r="I1117" s="2" t="s">
        <v>2111</v>
      </c>
      <c r="J1117" s="2" t="s">
        <v>2112</v>
      </c>
      <c r="K1117" s="2">
        <f>IF('mpi_dataset_summary_2017-2024'!$G1117=2024,1,0)</f>
        <v>1</v>
      </c>
      <c r="L1117" s="2">
        <f t="shared" si="34"/>
        <v>0</v>
      </c>
      <c r="M1117" s="2">
        <v>140</v>
      </c>
      <c r="N1117" s="2">
        <f t="shared" si="35"/>
        <v>0.42599999999999999</v>
      </c>
      <c r="O1117" s="2">
        <v>49.503430000000002</v>
      </c>
      <c r="P1117" s="2">
        <v>-113.96299999999999</v>
      </c>
      <c r="Q1117" s="2" t="s">
        <v>2108</v>
      </c>
      <c r="R1117" s="3" t="s">
        <v>24</v>
      </c>
      <c r="S1117" s="2" t="s">
        <v>25</v>
      </c>
      <c r="T1117" s="2" t="s">
        <v>26</v>
      </c>
    </row>
    <row r="1118" spans="1:20" x14ac:dyDescent="0.2">
      <c r="A1118" s="2">
        <v>7084</v>
      </c>
      <c r="B1118" s="2" t="s">
        <v>1908</v>
      </c>
      <c r="C1118" s="2" t="s">
        <v>1909</v>
      </c>
      <c r="D1118" s="2" t="s">
        <v>69</v>
      </c>
      <c r="E1118" s="2" t="s">
        <v>20</v>
      </c>
      <c r="F1118" s="2">
        <v>2023</v>
      </c>
      <c r="G1118" s="2">
        <v>2024</v>
      </c>
      <c r="H1118" s="2">
        <f>'mpi_dataset_summary_2017-2024'!$G1118-'mpi_dataset_summary_2017-2024'!$F1118+1</f>
        <v>2</v>
      </c>
      <c r="I1118" s="2" t="s">
        <v>2111</v>
      </c>
      <c r="J1118" s="2" t="s">
        <v>2111</v>
      </c>
      <c r="K1118" s="2">
        <f>IF('mpi_dataset_summary_2017-2024'!$G1118=2024,1,0)</f>
        <v>1</v>
      </c>
      <c r="L1118" s="2">
        <f t="shared" si="34"/>
        <v>0</v>
      </c>
      <c r="M1118" s="2">
        <v>800</v>
      </c>
      <c r="N1118" s="2">
        <f t="shared" si="35"/>
        <v>0.77700000000000002</v>
      </c>
      <c r="O1118" s="2" t="s">
        <v>2114</v>
      </c>
      <c r="P1118" s="2" t="s">
        <v>2114</v>
      </c>
      <c r="Q1118" s="2" t="s">
        <v>2108</v>
      </c>
      <c r="R1118" s="3" t="s">
        <v>41</v>
      </c>
      <c r="S1118" s="2" t="s">
        <v>25</v>
      </c>
      <c r="T1118" s="2" t="s">
        <v>46</v>
      </c>
    </row>
    <row r="1119" spans="1:20" x14ac:dyDescent="0.2">
      <c r="A1119" s="2">
        <v>7085</v>
      </c>
      <c r="B1119" s="2" t="s">
        <v>1910</v>
      </c>
      <c r="C1119" s="2" t="s">
        <v>1911</v>
      </c>
      <c r="D1119" s="2" t="s">
        <v>66</v>
      </c>
      <c r="E1119" s="2" t="s">
        <v>20</v>
      </c>
      <c r="F1119" s="2">
        <v>2023</v>
      </c>
      <c r="G1119" s="2">
        <v>2024</v>
      </c>
      <c r="H1119" s="2">
        <f>'mpi_dataset_summary_2017-2024'!$G1119-'mpi_dataset_summary_2017-2024'!$F1119+1</f>
        <v>2</v>
      </c>
      <c r="I1119" s="2" t="s">
        <v>2110</v>
      </c>
      <c r="J1119" s="2" t="s">
        <v>2110</v>
      </c>
      <c r="K1119" s="2">
        <f>IF('mpi_dataset_summary_2017-2024'!$G1119=2024,1,0)</f>
        <v>1</v>
      </c>
      <c r="L1119" s="2">
        <f t="shared" si="34"/>
        <v>1</v>
      </c>
      <c r="M1119" s="2">
        <v>180</v>
      </c>
      <c r="N1119" s="2">
        <f t="shared" si="35"/>
        <v>0.47499999999999998</v>
      </c>
      <c r="O1119" s="2">
        <v>49.940738000000003</v>
      </c>
      <c r="P1119" s="2">
        <v>-111.04900000000001</v>
      </c>
      <c r="Q1119" s="2" t="s">
        <v>2108</v>
      </c>
      <c r="R1119" s="3" t="s">
        <v>24</v>
      </c>
      <c r="S1119" s="2" t="s">
        <v>25</v>
      </c>
      <c r="T1119" s="2" t="s">
        <v>26</v>
      </c>
    </row>
    <row r="1120" spans="1:20" x14ac:dyDescent="0.2">
      <c r="A1120" s="2">
        <v>7086</v>
      </c>
      <c r="B1120" s="2" t="s">
        <v>1912</v>
      </c>
      <c r="C1120" s="2" t="s">
        <v>1913</v>
      </c>
      <c r="D1120" s="2" t="s">
        <v>89</v>
      </c>
      <c r="E1120" s="2" t="s">
        <v>20</v>
      </c>
      <c r="F1120" s="2">
        <v>2023</v>
      </c>
      <c r="G1120" s="2">
        <v>2024</v>
      </c>
      <c r="H1120" s="2">
        <f>'mpi_dataset_summary_2017-2024'!$G1120-'mpi_dataset_summary_2017-2024'!$F1120+1</f>
        <v>2</v>
      </c>
      <c r="I1120" s="2" t="s">
        <v>2111</v>
      </c>
      <c r="J1120" s="2" t="s">
        <v>2111</v>
      </c>
      <c r="K1120" s="2">
        <f>IF('mpi_dataset_summary_2017-2024'!$G1120=2024,1,0)</f>
        <v>1</v>
      </c>
      <c r="L1120" s="2">
        <f t="shared" si="34"/>
        <v>0</v>
      </c>
      <c r="M1120" s="2">
        <v>200</v>
      </c>
      <c r="N1120" s="2">
        <f t="shared" si="35"/>
        <v>0.49099999999999999</v>
      </c>
      <c r="O1120" s="2" t="s">
        <v>2114</v>
      </c>
      <c r="P1120" s="2" t="s">
        <v>2114</v>
      </c>
      <c r="Q1120" s="2" t="s">
        <v>2108</v>
      </c>
      <c r="R1120" s="3" t="s">
        <v>27</v>
      </c>
      <c r="S1120" s="2" t="s">
        <v>25</v>
      </c>
      <c r="T1120" s="2" t="s">
        <v>28</v>
      </c>
    </row>
    <row r="1121" spans="1:20" x14ac:dyDescent="0.2">
      <c r="A1121" s="2">
        <v>8001</v>
      </c>
      <c r="B1121" s="2" t="s">
        <v>1914</v>
      </c>
      <c r="C1121" s="2" t="s">
        <v>1915</v>
      </c>
      <c r="D1121" s="2" t="s">
        <v>66</v>
      </c>
      <c r="E1121" s="2" t="s">
        <v>20</v>
      </c>
      <c r="F1121" s="2">
        <v>2024</v>
      </c>
      <c r="G1121" s="2">
        <v>2024</v>
      </c>
      <c r="H1121" s="2">
        <f>'mpi_dataset_summary_2017-2024'!$G1121-'mpi_dataset_summary_2017-2024'!$F1121+1</f>
        <v>1</v>
      </c>
      <c r="I1121" s="2" t="s">
        <v>2110</v>
      </c>
      <c r="J1121" s="2" t="s">
        <v>2110</v>
      </c>
      <c r="K1121" s="2">
        <f>IF('mpi_dataset_summary_2017-2024'!$G1121=2024,1,0)</f>
        <v>1</v>
      </c>
      <c r="L1121" s="2">
        <f t="shared" si="34"/>
        <v>1</v>
      </c>
      <c r="M1121" s="2">
        <v>175</v>
      </c>
      <c r="N1121" s="2">
        <f t="shared" si="35"/>
        <v>0.47199999999999998</v>
      </c>
      <c r="O1121" s="2">
        <v>50.373882000000002</v>
      </c>
      <c r="P1121" s="2">
        <v>-113.357811</v>
      </c>
      <c r="Q1121" s="2" t="s">
        <v>2108</v>
      </c>
      <c r="R1121" s="3" t="s">
        <v>24</v>
      </c>
      <c r="S1121" s="2" t="s">
        <v>25</v>
      </c>
      <c r="T1121" s="2" t="s">
        <v>26</v>
      </c>
    </row>
    <row r="1122" spans="1:20" x14ac:dyDescent="0.2">
      <c r="A1122" s="2">
        <v>8002</v>
      </c>
      <c r="B1122" s="2" t="s">
        <v>1914</v>
      </c>
      <c r="C1122" s="2" t="s">
        <v>1916</v>
      </c>
      <c r="D1122" s="2" t="s">
        <v>66</v>
      </c>
      <c r="E1122" s="2" t="s">
        <v>20</v>
      </c>
      <c r="F1122" s="2">
        <v>2024</v>
      </c>
      <c r="G1122" s="2">
        <v>2024</v>
      </c>
      <c r="H1122" s="2">
        <f>'mpi_dataset_summary_2017-2024'!$G1122-'mpi_dataset_summary_2017-2024'!$F1122+1</f>
        <v>1</v>
      </c>
      <c r="I1122" s="2" t="s">
        <v>2110</v>
      </c>
      <c r="J1122" s="2" t="s">
        <v>2110</v>
      </c>
      <c r="K1122" s="2">
        <f>IF('mpi_dataset_summary_2017-2024'!$G1122=2024,1,0)</f>
        <v>1</v>
      </c>
      <c r="L1122" s="2">
        <f t="shared" si="34"/>
        <v>1</v>
      </c>
      <c r="M1122" s="2">
        <v>200</v>
      </c>
      <c r="N1122" s="2">
        <f t="shared" si="35"/>
        <v>0.49099999999999999</v>
      </c>
      <c r="O1122" s="2">
        <v>51.196658999999997</v>
      </c>
      <c r="P1122" s="2">
        <v>-110.285034</v>
      </c>
      <c r="Q1122" s="2" t="s">
        <v>2108</v>
      </c>
      <c r="R1122" s="3" t="s">
        <v>24</v>
      </c>
      <c r="S1122" s="2" t="s">
        <v>25</v>
      </c>
      <c r="T1122" s="2" t="s">
        <v>26</v>
      </c>
    </row>
    <row r="1123" spans="1:20" x14ac:dyDescent="0.2">
      <c r="A1123" s="2">
        <v>8004</v>
      </c>
      <c r="B1123" s="2" t="s">
        <v>1917</v>
      </c>
      <c r="C1123" s="2" t="s">
        <v>1918</v>
      </c>
      <c r="D1123" s="2" t="s">
        <v>66</v>
      </c>
      <c r="E1123" s="2" t="s">
        <v>20</v>
      </c>
      <c r="F1123" s="2">
        <v>2024</v>
      </c>
      <c r="G1123" s="2">
        <v>2024</v>
      </c>
      <c r="H1123" s="2">
        <f>'mpi_dataset_summary_2017-2024'!$G1123-'mpi_dataset_summary_2017-2024'!$F1123+1</f>
        <v>1</v>
      </c>
      <c r="I1123" s="2" t="s">
        <v>2111</v>
      </c>
      <c r="J1123" s="2" t="s">
        <v>2111</v>
      </c>
      <c r="K1123" s="2">
        <f>IF('mpi_dataset_summary_2017-2024'!$G1123=2024,1,0)</f>
        <v>1</v>
      </c>
      <c r="L1123" s="2">
        <f t="shared" si="34"/>
        <v>0</v>
      </c>
      <c r="M1123" s="2">
        <v>500</v>
      </c>
      <c r="N1123" s="2">
        <f t="shared" si="35"/>
        <v>0.67800000000000005</v>
      </c>
      <c r="O1123" s="2">
        <v>54.585706999999999</v>
      </c>
      <c r="P1123" s="2">
        <v>-110.80399</v>
      </c>
      <c r="Q1123" s="2" t="s">
        <v>2108</v>
      </c>
      <c r="R1123" s="3" t="s">
        <v>49</v>
      </c>
      <c r="S1123" s="2" t="s">
        <v>25</v>
      </c>
      <c r="T1123" s="2" t="s">
        <v>50</v>
      </c>
    </row>
    <row r="1124" spans="1:20" x14ac:dyDescent="0.2">
      <c r="A1124" s="2">
        <v>8005</v>
      </c>
      <c r="B1124" s="2" t="s">
        <v>1919</v>
      </c>
      <c r="C1124" s="2" t="s">
        <v>1920</v>
      </c>
      <c r="D1124" s="2" t="s">
        <v>66</v>
      </c>
      <c r="E1124" s="2" t="s">
        <v>20</v>
      </c>
      <c r="F1124" s="2">
        <v>2024</v>
      </c>
      <c r="G1124" s="2">
        <v>2024</v>
      </c>
      <c r="H1124" s="2">
        <f>'mpi_dataset_summary_2017-2024'!$G1124-'mpi_dataset_summary_2017-2024'!$F1124+1</f>
        <v>1</v>
      </c>
      <c r="I1124" s="2" t="s">
        <v>2111</v>
      </c>
      <c r="J1124" s="2" t="s">
        <v>2111</v>
      </c>
      <c r="K1124" s="2">
        <f>IF('mpi_dataset_summary_2017-2024'!$G1124=2024,1,0)</f>
        <v>1</v>
      </c>
      <c r="L1124" s="2">
        <f t="shared" si="34"/>
        <v>0</v>
      </c>
      <c r="M1124" s="2">
        <v>315</v>
      </c>
      <c r="N1124" s="2">
        <f t="shared" si="35"/>
        <v>0.58699999999999997</v>
      </c>
      <c r="O1124" s="2">
        <v>52.411521999999998</v>
      </c>
      <c r="P1124" s="2">
        <v>-112.46169999999999</v>
      </c>
      <c r="Q1124" s="2" t="s">
        <v>2108</v>
      </c>
      <c r="R1124" s="3" t="s">
        <v>24</v>
      </c>
      <c r="S1124" s="2" t="s">
        <v>25</v>
      </c>
      <c r="T1124" s="2" t="s">
        <v>26</v>
      </c>
    </row>
    <row r="1125" spans="1:20" x14ac:dyDescent="0.2">
      <c r="A1125" s="2">
        <v>8006</v>
      </c>
      <c r="B1125" s="2" t="s">
        <v>1919</v>
      </c>
      <c r="C1125" s="2" t="s">
        <v>1921</v>
      </c>
      <c r="D1125" s="2" t="s">
        <v>66</v>
      </c>
      <c r="E1125" s="2" t="s">
        <v>20</v>
      </c>
      <c r="F1125" s="2">
        <v>2024</v>
      </c>
      <c r="G1125" s="2">
        <v>2024</v>
      </c>
      <c r="H1125" s="2">
        <f>'mpi_dataset_summary_2017-2024'!$G1125-'mpi_dataset_summary_2017-2024'!$F1125+1</f>
        <v>1</v>
      </c>
      <c r="I1125" s="2" t="s">
        <v>2111</v>
      </c>
      <c r="J1125" s="2" t="s">
        <v>2111</v>
      </c>
      <c r="K1125" s="2">
        <f>IF('mpi_dataset_summary_2017-2024'!$G1125=2024,1,0)</f>
        <v>1</v>
      </c>
      <c r="L1125" s="2">
        <f t="shared" si="34"/>
        <v>0</v>
      </c>
      <c r="M1125" s="2">
        <v>385</v>
      </c>
      <c r="N1125" s="2">
        <f t="shared" si="35"/>
        <v>0.63</v>
      </c>
      <c r="O1125" s="2">
        <v>51.325481000000003</v>
      </c>
      <c r="P1125" s="2">
        <v>-111.557846</v>
      </c>
      <c r="Q1125" s="2" t="s">
        <v>2108</v>
      </c>
      <c r="R1125" s="3" t="s">
        <v>24</v>
      </c>
      <c r="S1125" s="2" t="s">
        <v>25</v>
      </c>
      <c r="T1125" s="2" t="s">
        <v>26</v>
      </c>
    </row>
    <row r="1126" spans="1:20" x14ac:dyDescent="0.2">
      <c r="A1126" s="2">
        <v>8007</v>
      </c>
      <c r="B1126" s="2" t="s">
        <v>1919</v>
      </c>
      <c r="C1126" s="2" t="s">
        <v>1922</v>
      </c>
      <c r="D1126" s="2" t="s">
        <v>66</v>
      </c>
      <c r="E1126" s="2" t="s">
        <v>20</v>
      </c>
      <c r="F1126" s="2">
        <v>2024</v>
      </c>
      <c r="G1126" s="2">
        <v>2024</v>
      </c>
      <c r="H1126" s="2">
        <f>'mpi_dataset_summary_2017-2024'!$G1126-'mpi_dataset_summary_2017-2024'!$F1126+1</f>
        <v>1</v>
      </c>
      <c r="I1126" s="2" t="s">
        <v>2111</v>
      </c>
      <c r="J1126" s="2" t="s">
        <v>2111</v>
      </c>
      <c r="K1126" s="2">
        <f>IF('mpi_dataset_summary_2017-2024'!$G1126=2024,1,0)</f>
        <v>1</v>
      </c>
      <c r="L1126" s="2">
        <f t="shared" si="34"/>
        <v>0</v>
      </c>
      <c r="M1126" s="2">
        <v>275</v>
      </c>
      <c r="N1126" s="2">
        <f t="shared" si="35"/>
        <v>0.56299999999999994</v>
      </c>
      <c r="O1126" s="2">
        <v>52.685568000000004</v>
      </c>
      <c r="P1126" s="2">
        <v>-110.472889</v>
      </c>
      <c r="Q1126" s="2" t="s">
        <v>2108</v>
      </c>
      <c r="R1126" s="3" t="s">
        <v>24</v>
      </c>
      <c r="S1126" s="2" t="s">
        <v>25</v>
      </c>
      <c r="T1126" s="2" t="s">
        <v>26</v>
      </c>
    </row>
    <row r="1127" spans="1:20" x14ac:dyDescent="0.2">
      <c r="A1127" s="2">
        <v>8009</v>
      </c>
      <c r="B1127" s="2" t="s">
        <v>1923</v>
      </c>
      <c r="C1127" s="2" t="s">
        <v>1924</v>
      </c>
      <c r="D1127" s="2" t="s">
        <v>66</v>
      </c>
      <c r="E1127" s="2" t="s">
        <v>20</v>
      </c>
      <c r="F1127" s="2">
        <v>2024</v>
      </c>
      <c r="G1127" s="2">
        <v>2024</v>
      </c>
      <c r="H1127" s="2">
        <f>'mpi_dataset_summary_2017-2024'!$G1127-'mpi_dataset_summary_2017-2024'!$F1127+1</f>
        <v>1</v>
      </c>
      <c r="I1127" s="2" t="s">
        <v>2110</v>
      </c>
      <c r="J1127" s="2" t="s">
        <v>2110</v>
      </c>
      <c r="K1127" s="2">
        <f>IF('mpi_dataset_summary_2017-2024'!$G1127=2024,1,0)</f>
        <v>1</v>
      </c>
      <c r="L1127" s="2">
        <f t="shared" si="34"/>
        <v>1</v>
      </c>
      <c r="M1127" s="2">
        <v>10</v>
      </c>
      <c r="N1127" s="2">
        <f t="shared" si="35"/>
        <v>6.6000000000000003E-2</v>
      </c>
      <c r="O1127" s="2">
        <v>56.243253000000003</v>
      </c>
      <c r="P1127" s="2">
        <v>-117.35158</v>
      </c>
      <c r="Q1127" s="2" t="s">
        <v>2108</v>
      </c>
      <c r="R1127" s="3" t="s">
        <v>24</v>
      </c>
      <c r="S1127" s="2" t="s">
        <v>25</v>
      </c>
      <c r="T1127" s="2" t="s">
        <v>26</v>
      </c>
    </row>
    <row r="1128" spans="1:20" x14ac:dyDescent="0.2">
      <c r="A1128" s="2">
        <v>8010</v>
      </c>
      <c r="B1128" s="2" t="s">
        <v>727</v>
      </c>
      <c r="C1128" s="2" t="s">
        <v>1925</v>
      </c>
      <c r="D1128" s="2" t="s">
        <v>66</v>
      </c>
      <c r="E1128" s="2" t="s">
        <v>20</v>
      </c>
      <c r="F1128" s="2">
        <v>2024</v>
      </c>
      <c r="G1128" s="2">
        <v>2024</v>
      </c>
      <c r="H1128" s="2">
        <f>'mpi_dataset_summary_2017-2024'!$G1128-'mpi_dataset_summary_2017-2024'!$F1128+1</f>
        <v>1</v>
      </c>
      <c r="I1128" s="2" t="s">
        <v>2110</v>
      </c>
      <c r="J1128" s="2" t="s">
        <v>2110</v>
      </c>
      <c r="K1128" s="2">
        <f>IF('mpi_dataset_summary_2017-2024'!$G1128=2024,1,0)</f>
        <v>1</v>
      </c>
      <c r="L1128" s="2">
        <f t="shared" si="34"/>
        <v>1</v>
      </c>
      <c r="M1128" s="2">
        <v>400</v>
      </c>
      <c r="N1128" s="2">
        <f t="shared" si="35"/>
        <v>0.63500000000000001</v>
      </c>
      <c r="O1128" s="2">
        <v>49.696508000000001</v>
      </c>
      <c r="P1128" s="2">
        <v>-111.271591</v>
      </c>
      <c r="Q1128" s="2" t="s">
        <v>2108</v>
      </c>
      <c r="R1128" s="3" t="s">
        <v>24</v>
      </c>
      <c r="S1128" s="2" t="s">
        <v>25</v>
      </c>
      <c r="T1128" s="2" t="s">
        <v>26</v>
      </c>
    </row>
    <row r="1129" spans="1:20" x14ac:dyDescent="0.2">
      <c r="A1129" s="2">
        <v>8011</v>
      </c>
      <c r="B1129" s="2" t="s">
        <v>1926</v>
      </c>
      <c r="C1129" s="2" t="s">
        <v>1927</v>
      </c>
      <c r="D1129" s="2" t="s">
        <v>66</v>
      </c>
      <c r="E1129" s="2" t="s">
        <v>20</v>
      </c>
      <c r="F1129" s="2">
        <v>2024</v>
      </c>
      <c r="G1129" s="2">
        <v>2024</v>
      </c>
      <c r="H1129" s="2">
        <f>'mpi_dataset_summary_2017-2024'!$G1129-'mpi_dataset_summary_2017-2024'!$F1129+1</f>
        <v>1</v>
      </c>
      <c r="I1129" s="2" t="s">
        <v>2111</v>
      </c>
      <c r="J1129" s="2" t="s">
        <v>2111</v>
      </c>
      <c r="K1129" s="2">
        <f>IF('mpi_dataset_summary_2017-2024'!$G1129=2024,1,0)</f>
        <v>1</v>
      </c>
      <c r="L1129" s="2">
        <f t="shared" si="34"/>
        <v>0</v>
      </c>
      <c r="M1129" s="2">
        <v>700</v>
      </c>
      <c r="N1129" s="2">
        <f t="shared" si="35"/>
        <v>0.74299999999999999</v>
      </c>
      <c r="O1129" s="2">
        <v>50.502130999999999</v>
      </c>
      <c r="P1129" s="2">
        <v>-111.974802</v>
      </c>
      <c r="Q1129" s="2" t="s">
        <v>2108</v>
      </c>
      <c r="R1129" s="3" t="s">
        <v>24</v>
      </c>
      <c r="S1129" s="2" t="s">
        <v>25</v>
      </c>
      <c r="T1129" s="2" t="s">
        <v>26</v>
      </c>
    </row>
    <row r="1130" spans="1:20" x14ac:dyDescent="0.2">
      <c r="A1130" s="2">
        <v>8013</v>
      </c>
      <c r="B1130" s="2" t="s">
        <v>1928</v>
      </c>
      <c r="C1130" s="2" t="s">
        <v>1929</v>
      </c>
      <c r="D1130" s="2" t="s">
        <v>66</v>
      </c>
      <c r="E1130" s="2" t="s">
        <v>20</v>
      </c>
      <c r="F1130" s="2">
        <v>2024</v>
      </c>
      <c r="G1130" s="2">
        <v>2024</v>
      </c>
      <c r="H1130" s="2">
        <f>'mpi_dataset_summary_2017-2024'!$G1130-'mpi_dataset_summary_2017-2024'!$F1130+1</f>
        <v>1</v>
      </c>
      <c r="I1130" s="2" t="s">
        <v>2111</v>
      </c>
      <c r="J1130" s="2" t="s">
        <v>2111</v>
      </c>
      <c r="K1130" s="2">
        <f>IF('mpi_dataset_summary_2017-2024'!$G1130=2024,1,0)</f>
        <v>1</v>
      </c>
      <c r="L1130" s="2">
        <f t="shared" si="34"/>
        <v>0</v>
      </c>
      <c r="M1130" s="2">
        <v>4500</v>
      </c>
      <c r="N1130" s="2">
        <f t="shared" si="35"/>
        <v>0.94299999999999995</v>
      </c>
      <c r="O1130" s="2">
        <v>53.828808000000002</v>
      </c>
      <c r="P1130" s="2">
        <v>-113.17862</v>
      </c>
      <c r="Q1130" s="2" t="s">
        <v>2108</v>
      </c>
      <c r="R1130" s="3" t="s">
        <v>24</v>
      </c>
      <c r="S1130" s="2" t="s">
        <v>25</v>
      </c>
      <c r="T1130" s="2" t="s">
        <v>26</v>
      </c>
    </row>
    <row r="1131" spans="1:20" x14ac:dyDescent="0.2">
      <c r="A1131" s="2">
        <v>8016</v>
      </c>
      <c r="B1131" s="2" t="s">
        <v>1930</v>
      </c>
      <c r="C1131" s="2" t="s">
        <v>1931</v>
      </c>
      <c r="D1131" s="2" t="s">
        <v>66</v>
      </c>
      <c r="E1131" s="2" t="s">
        <v>20</v>
      </c>
      <c r="F1131" s="2">
        <v>2024</v>
      </c>
      <c r="G1131" s="2">
        <v>2024</v>
      </c>
      <c r="H1131" s="2">
        <f>'mpi_dataset_summary_2017-2024'!$G1131-'mpi_dataset_summary_2017-2024'!$F1131+1</f>
        <v>1</v>
      </c>
      <c r="I1131" s="2" t="s">
        <v>2111</v>
      </c>
      <c r="J1131" s="2" t="s">
        <v>2111</v>
      </c>
      <c r="K1131" s="2">
        <f>IF('mpi_dataset_summary_2017-2024'!$G1131=2024,1,0)</f>
        <v>1</v>
      </c>
      <c r="L1131" s="2">
        <f t="shared" si="34"/>
        <v>0</v>
      </c>
      <c r="M1131" s="2">
        <v>450</v>
      </c>
      <c r="N1131" s="2">
        <f t="shared" si="35"/>
        <v>0.65500000000000003</v>
      </c>
      <c r="O1131" s="2" t="s">
        <v>2114</v>
      </c>
      <c r="P1131" s="2" t="s">
        <v>2114</v>
      </c>
      <c r="Q1131" s="2" t="s">
        <v>2108</v>
      </c>
      <c r="R1131" s="3" t="s">
        <v>35</v>
      </c>
      <c r="S1131" s="2" t="s">
        <v>22</v>
      </c>
      <c r="T1131" s="2" t="s">
        <v>36</v>
      </c>
    </row>
    <row r="1132" spans="1:20" x14ac:dyDescent="0.2">
      <c r="A1132" s="2">
        <v>8017</v>
      </c>
      <c r="B1132" s="2" t="s">
        <v>1932</v>
      </c>
      <c r="C1132" s="2" t="s">
        <v>1933</v>
      </c>
      <c r="D1132" s="2" t="s">
        <v>66</v>
      </c>
      <c r="E1132" s="2" t="s">
        <v>20</v>
      </c>
      <c r="F1132" s="2">
        <v>2024</v>
      </c>
      <c r="G1132" s="2">
        <v>2024</v>
      </c>
      <c r="H1132" s="2">
        <f>'mpi_dataset_summary_2017-2024'!$G1132-'mpi_dataset_summary_2017-2024'!$F1132+1</f>
        <v>1</v>
      </c>
      <c r="I1132" s="2" t="s">
        <v>2111</v>
      </c>
      <c r="J1132" s="2" t="s">
        <v>2111</v>
      </c>
      <c r="K1132" s="2">
        <f>IF('mpi_dataset_summary_2017-2024'!$G1132=2024,1,0)</f>
        <v>1</v>
      </c>
      <c r="L1132" s="2">
        <f t="shared" si="34"/>
        <v>0</v>
      </c>
      <c r="M1132" s="2">
        <v>300</v>
      </c>
      <c r="N1132" s="2">
        <f t="shared" si="35"/>
        <v>0.57399999999999995</v>
      </c>
      <c r="O1132" s="2">
        <v>53.775933000000002</v>
      </c>
      <c r="P1132" s="2">
        <v>-113.040261</v>
      </c>
      <c r="Q1132" s="2" t="s">
        <v>2108</v>
      </c>
      <c r="R1132" s="3" t="s">
        <v>27</v>
      </c>
      <c r="S1132" s="2" t="s">
        <v>25</v>
      </c>
      <c r="T1132" s="2" t="s">
        <v>28</v>
      </c>
    </row>
    <row r="1133" spans="1:20" x14ac:dyDescent="0.2">
      <c r="A1133" s="2">
        <v>8021</v>
      </c>
      <c r="B1133" s="2" t="s">
        <v>1934</v>
      </c>
      <c r="C1133" s="2" t="s">
        <v>1935</v>
      </c>
      <c r="D1133" s="2" t="s">
        <v>66</v>
      </c>
      <c r="E1133" s="2" t="s">
        <v>20</v>
      </c>
      <c r="F1133" s="2">
        <v>2024</v>
      </c>
      <c r="G1133" s="2">
        <v>2024</v>
      </c>
      <c r="H1133" s="2">
        <f>'mpi_dataset_summary_2017-2024'!$G1133-'mpi_dataset_summary_2017-2024'!$F1133+1</f>
        <v>1</v>
      </c>
      <c r="I1133" s="2" t="s">
        <v>2111</v>
      </c>
      <c r="J1133" s="2" t="s">
        <v>2111</v>
      </c>
      <c r="K1133" s="2">
        <f>IF('mpi_dataset_summary_2017-2024'!$G1133=2024,1,0)</f>
        <v>1</v>
      </c>
      <c r="L1133" s="2">
        <f t="shared" si="34"/>
        <v>0</v>
      </c>
      <c r="M1133" s="2">
        <v>700</v>
      </c>
      <c r="N1133" s="2">
        <f t="shared" si="35"/>
        <v>0.74299999999999999</v>
      </c>
      <c r="O1133" s="2">
        <v>49.593539999999997</v>
      </c>
      <c r="P1133" s="2">
        <v>-110.93399100000001</v>
      </c>
      <c r="Q1133" s="2" t="s">
        <v>2108</v>
      </c>
      <c r="R1133" s="3" t="s">
        <v>24</v>
      </c>
      <c r="S1133" s="2" t="s">
        <v>25</v>
      </c>
      <c r="T1133" s="2" t="s">
        <v>26</v>
      </c>
    </row>
    <row r="1134" spans="1:20" x14ac:dyDescent="0.2">
      <c r="A1134" s="2">
        <v>8022</v>
      </c>
      <c r="B1134" s="2" t="s">
        <v>1936</v>
      </c>
      <c r="C1134" s="2" t="s">
        <v>1937</v>
      </c>
      <c r="D1134" s="2" t="s">
        <v>66</v>
      </c>
      <c r="E1134" s="2" t="s">
        <v>20</v>
      </c>
      <c r="F1134" s="2">
        <v>2024</v>
      </c>
      <c r="G1134" s="2">
        <v>2024</v>
      </c>
      <c r="H1134" s="2">
        <f>'mpi_dataset_summary_2017-2024'!$G1134-'mpi_dataset_summary_2017-2024'!$F1134+1</f>
        <v>1</v>
      </c>
      <c r="I1134" s="2" t="s">
        <v>2111</v>
      </c>
      <c r="J1134" s="2" t="s">
        <v>2111</v>
      </c>
      <c r="K1134" s="2">
        <f>IF('mpi_dataset_summary_2017-2024'!$G1134=2024,1,0)</f>
        <v>1</v>
      </c>
      <c r="L1134" s="2">
        <f t="shared" si="34"/>
        <v>0</v>
      </c>
      <c r="M1134" s="2">
        <v>150</v>
      </c>
      <c r="N1134" s="2">
        <f t="shared" si="35"/>
        <v>0.442</v>
      </c>
      <c r="O1134" s="2">
        <v>50.352229999999999</v>
      </c>
      <c r="P1134" s="2">
        <v>-111.36065499999999</v>
      </c>
      <c r="Q1134" s="2" t="s">
        <v>2108</v>
      </c>
      <c r="R1134" s="3" t="s">
        <v>24</v>
      </c>
      <c r="S1134" s="2" t="s">
        <v>25</v>
      </c>
      <c r="T1134" s="2" t="s">
        <v>26</v>
      </c>
    </row>
    <row r="1135" spans="1:20" x14ac:dyDescent="0.2">
      <c r="A1135" s="2">
        <v>8024</v>
      </c>
      <c r="B1135" s="2" t="s">
        <v>1938</v>
      </c>
      <c r="C1135" s="2" t="s">
        <v>1939</v>
      </c>
      <c r="D1135" s="2" t="s">
        <v>66</v>
      </c>
      <c r="E1135" s="2" t="s">
        <v>20</v>
      </c>
      <c r="F1135" s="2">
        <v>2024</v>
      </c>
      <c r="G1135" s="2">
        <v>2024</v>
      </c>
      <c r="H1135" s="2">
        <f>'mpi_dataset_summary_2017-2024'!$G1135-'mpi_dataset_summary_2017-2024'!$F1135+1</f>
        <v>1</v>
      </c>
      <c r="I1135" s="2" t="s">
        <v>2110</v>
      </c>
      <c r="J1135" s="2" t="s">
        <v>2110</v>
      </c>
      <c r="K1135" s="2">
        <f>IF('mpi_dataset_summary_2017-2024'!$G1135=2024,1,0)</f>
        <v>1</v>
      </c>
      <c r="L1135" s="2">
        <f t="shared" si="34"/>
        <v>1</v>
      </c>
      <c r="M1135" s="2">
        <v>15</v>
      </c>
      <c r="N1135" s="2">
        <f t="shared" si="35"/>
        <v>7.2999999999999995E-2</v>
      </c>
      <c r="O1135" s="2">
        <v>50.674019000000001</v>
      </c>
      <c r="P1135" s="2">
        <v>-112.311306</v>
      </c>
      <c r="Q1135" s="2" t="s">
        <v>2108</v>
      </c>
      <c r="R1135" s="3" t="s">
        <v>24</v>
      </c>
      <c r="S1135" s="2" t="s">
        <v>25</v>
      </c>
      <c r="T1135" s="2" t="s">
        <v>26</v>
      </c>
    </row>
    <row r="1136" spans="1:20" x14ac:dyDescent="0.2">
      <c r="A1136" s="2">
        <v>8025</v>
      </c>
      <c r="B1136" s="2" t="s">
        <v>1940</v>
      </c>
      <c r="C1136" s="2" t="s">
        <v>1941</v>
      </c>
      <c r="D1136" s="2" t="s">
        <v>66</v>
      </c>
      <c r="E1136" s="2" t="s">
        <v>20</v>
      </c>
      <c r="F1136" s="2">
        <v>2024</v>
      </c>
      <c r="G1136" s="2">
        <v>2024</v>
      </c>
      <c r="H1136" s="2">
        <f>'mpi_dataset_summary_2017-2024'!$G1136-'mpi_dataset_summary_2017-2024'!$F1136+1</f>
        <v>1</v>
      </c>
      <c r="I1136" s="2" t="s">
        <v>2110</v>
      </c>
      <c r="J1136" s="2" t="s">
        <v>2110</v>
      </c>
      <c r="K1136" s="2">
        <f>IF('mpi_dataset_summary_2017-2024'!$G1136=2024,1,0)</f>
        <v>1</v>
      </c>
      <c r="L1136" s="2">
        <f t="shared" si="34"/>
        <v>1</v>
      </c>
      <c r="M1136" s="2">
        <v>200</v>
      </c>
      <c r="N1136" s="2">
        <f t="shared" si="35"/>
        <v>0.49099999999999999</v>
      </c>
      <c r="O1136" s="2">
        <v>49.842348999999999</v>
      </c>
      <c r="P1136" s="2">
        <v>-110.329285</v>
      </c>
      <c r="Q1136" s="2" t="s">
        <v>2108</v>
      </c>
      <c r="R1136" s="3" t="s">
        <v>24</v>
      </c>
      <c r="S1136" s="2" t="s">
        <v>25</v>
      </c>
      <c r="T1136" s="2" t="s">
        <v>26</v>
      </c>
    </row>
    <row r="1137" spans="1:20" x14ac:dyDescent="0.2">
      <c r="A1137" s="2">
        <v>8029</v>
      </c>
      <c r="B1137" s="2" t="s">
        <v>1914</v>
      </c>
      <c r="C1137" s="2" t="s">
        <v>1942</v>
      </c>
      <c r="D1137" s="2" t="s">
        <v>66</v>
      </c>
      <c r="E1137" s="2" t="s">
        <v>20</v>
      </c>
      <c r="F1137" s="2">
        <v>2024</v>
      </c>
      <c r="G1137" s="2">
        <v>2024</v>
      </c>
      <c r="H1137" s="2">
        <f>'mpi_dataset_summary_2017-2024'!$G1137-'mpi_dataset_summary_2017-2024'!$F1137+1</f>
        <v>1</v>
      </c>
      <c r="I1137" s="2" t="s">
        <v>2111</v>
      </c>
      <c r="J1137" s="2" t="s">
        <v>2111</v>
      </c>
      <c r="K1137" s="2">
        <f>IF('mpi_dataset_summary_2017-2024'!$G1137=2024,1,0)</f>
        <v>1</v>
      </c>
      <c r="L1137" s="2">
        <f t="shared" si="34"/>
        <v>0</v>
      </c>
      <c r="M1137" s="2">
        <v>225</v>
      </c>
      <c r="N1137" s="2">
        <f t="shared" si="35"/>
        <v>0.52300000000000002</v>
      </c>
      <c r="O1137" s="2">
        <v>50.840356</v>
      </c>
      <c r="P1137" s="2">
        <v>-113.525047</v>
      </c>
      <c r="Q1137" s="2" t="s">
        <v>2108</v>
      </c>
      <c r="R1137" s="3" t="s">
        <v>24</v>
      </c>
      <c r="S1137" s="2" t="s">
        <v>25</v>
      </c>
      <c r="T1137" s="2" t="s">
        <v>26</v>
      </c>
    </row>
    <row r="1138" spans="1:20" x14ac:dyDescent="0.2">
      <c r="A1138" s="2">
        <v>8032</v>
      </c>
      <c r="B1138" s="2" t="s">
        <v>1943</v>
      </c>
      <c r="C1138" s="2" t="s">
        <v>1944</v>
      </c>
      <c r="D1138" s="2" t="s">
        <v>66</v>
      </c>
      <c r="E1138" s="2" t="s">
        <v>20</v>
      </c>
      <c r="F1138" s="2">
        <v>2024</v>
      </c>
      <c r="G1138" s="2">
        <v>2024</v>
      </c>
      <c r="H1138" s="2">
        <f>'mpi_dataset_summary_2017-2024'!$G1138-'mpi_dataset_summary_2017-2024'!$F1138+1</f>
        <v>1</v>
      </c>
      <c r="I1138" s="2" t="s">
        <v>2111</v>
      </c>
      <c r="J1138" s="2" t="s">
        <v>2111</v>
      </c>
      <c r="K1138" s="2">
        <f>IF('mpi_dataset_summary_2017-2024'!$G1138=2024,1,0)</f>
        <v>1</v>
      </c>
      <c r="L1138" s="2">
        <f t="shared" si="34"/>
        <v>0</v>
      </c>
      <c r="M1138" s="2">
        <v>120</v>
      </c>
      <c r="N1138" s="2">
        <f t="shared" si="35"/>
        <v>0.38900000000000001</v>
      </c>
      <c r="O1138" s="2">
        <v>49.857664999999997</v>
      </c>
      <c r="P1138" s="2">
        <v>-112.71883</v>
      </c>
      <c r="Q1138" s="2" t="s">
        <v>2108</v>
      </c>
      <c r="R1138" s="3" t="s">
        <v>24</v>
      </c>
      <c r="S1138" s="2" t="s">
        <v>25</v>
      </c>
      <c r="T1138" s="2" t="s">
        <v>26</v>
      </c>
    </row>
    <row r="1139" spans="1:20" x14ac:dyDescent="0.2">
      <c r="A1139" s="2">
        <v>8033</v>
      </c>
      <c r="B1139" s="2" t="s">
        <v>1945</v>
      </c>
      <c r="C1139" s="2" t="s">
        <v>1946</v>
      </c>
      <c r="D1139" s="2" t="s">
        <v>66</v>
      </c>
      <c r="E1139" s="2" t="s">
        <v>20</v>
      </c>
      <c r="F1139" s="2">
        <v>2024</v>
      </c>
      <c r="G1139" s="2">
        <v>2024</v>
      </c>
      <c r="H1139" s="2">
        <f>'mpi_dataset_summary_2017-2024'!$G1139-'mpi_dataset_summary_2017-2024'!$F1139+1</f>
        <v>1</v>
      </c>
      <c r="I1139" s="2" t="s">
        <v>2111</v>
      </c>
      <c r="J1139" s="2" t="s">
        <v>2111</v>
      </c>
      <c r="K1139" s="2">
        <f>IF('mpi_dataset_summary_2017-2024'!$G1139=2024,1,0)</f>
        <v>1</v>
      </c>
      <c r="L1139" s="2">
        <f t="shared" si="34"/>
        <v>0</v>
      </c>
      <c r="M1139" s="2">
        <v>2000</v>
      </c>
      <c r="N1139" s="2">
        <f t="shared" si="35"/>
        <v>0.89400000000000002</v>
      </c>
      <c r="O1139" s="2" t="s">
        <v>2114</v>
      </c>
      <c r="P1139" s="2" t="s">
        <v>2114</v>
      </c>
      <c r="Q1139" s="2" t="s">
        <v>2108</v>
      </c>
      <c r="R1139" s="3" t="s">
        <v>53</v>
      </c>
      <c r="S1139" s="2" t="s">
        <v>22</v>
      </c>
      <c r="T1139" s="2" t="s">
        <v>54</v>
      </c>
    </row>
    <row r="1140" spans="1:20" x14ac:dyDescent="0.2">
      <c r="A1140" s="2">
        <v>8035</v>
      </c>
      <c r="B1140" s="2" t="s">
        <v>1947</v>
      </c>
      <c r="C1140" s="2" t="s">
        <v>1947</v>
      </c>
      <c r="D1140" s="2" t="s">
        <v>66</v>
      </c>
      <c r="E1140" s="2" t="s">
        <v>20</v>
      </c>
      <c r="F1140" s="2">
        <v>2024</v>
      </c>
      <c r="G1140" s="2">
        <v>2024</v>
      </c>
      <c r="H1140" s="2">
        <f>'mpi_dataset_summary_2017-2024'!$G1140-'mpi_dataset_summary_2017-2024'!$F1140+1</f>
        <v>1</v>
      </c>
      <c r="I1140" s="2" t="s">
        <v>2111</v>
      </c>
      <c r="J1140" s="2" t="s">
        <v>2111</v>
      </c>
      <c r="K1140" s="2">
        <f>IF('mpi_dataset_summary_2017-2024'!$G1140=2024,1,0)</f>
        <v>1</v>
      </c>
      <c r="L1140" s="2">
        <f t="shared" si="34"/>
        <v>0</v>
      </c>
      <c r="M1140" s="2">
        <v>341</v>
      </c>
      <c r="N1140" s="2">
        <f t="shared" si="35"/>
        <v>0.6</v>
      </c>
      <c r="O1140" s="2" t="s">
        <v>2114</v>
      </c>
      <c r="P1140" s="2" t="s">
        <v>2114</v>
      </c>
      <c r="Q1140" s="2" t="s">
        <v>2108</v>
      </c>
      <c r="R1140" s="3" t="s">
        <v>35</v>
      </c>
      <c r="S1140" s="2" t="s">
        <v>22</v>
      </c>
      <c r="T1140" s="2" t="s">
        <v>36</v>
      </c>
    </row>
    <row r="1141" spans="1:20" x14ac:dyDescent="0.2">
      <c r="A1141" s="2">
        <v>8038</v>
      </c>
      <c r="B1141" s="2" t="s">
        <v>1948</v>
      </c>
      <c r="C1141" s="2" t="s">
        <v>1949</v>
      </c>
      <c r="D1141" s="2" t="s">
        <v>66</v>
      </c>
      <c r="E1141" s="2" t="s">
        <v>20</v>
      </c>
      <c r="F1141" s="2">
        <v>2024</v>
      </c>
      <c r="G1141" s="2">
        <v>2024</v>
      </c>
      <c r="H1141" s="2">
        <f>'mpi_dataset_summary_2017-2024'!$G1141-'mpi_dataset_summary_2017-2024'!$F1141+1</f>
        <v>1</v>
      </c>
      <c r="I1141" s="2" t="s">
        <v>2111</v>
      </c>
      <c r="J1141" s="2" t="s">
        <v>2111</v>
      </c>
      <c r="K1141" s="2">
        <f>IF('mpi_dataset_summary_2017-2024'!$G1141=2024,1,0)</f>
        <v>1</v>
      </c>
      <c r="L1141" s="2">
        <f t="shared" si="34"/>
        <v>0</v>
      </c>
      <c r="M1141" s="2">
        <v>100</v>
      </c>
      <c r="N1141" s="2">
        <f t="shared" si="35"/>
        <v>0.34300000000000003</v>
      </c>
      <c r="O1141" s="2">
        <v>50.888446999999999</v>
      </c>
      <c r="P1141" s="2">
        <v>-113.39972</v>
      </c>
      <c r="Q1141" s="2" t="s">
        <v>2108</v>
      </c>
      <c r="R1141" s="3" t="s">
        <v>27</v>
      </c>
      <c r="S1141" s="2" t="s">
        <v>25</v>
      </c>
      <c r="T1141" s="2" t="s">
        <v>28</v>
      </c>
    </row>
    <row r="1142" spans="1:20" x14ac:dyDescent="0.2">
      <c r="A1142" s="2">
        <v>8040</v>
      </c>
      <c r="B1142" s="2" t="s">
        <v>1950</v>
      </c>
      <c r="C1142" s="2" t="s">
        <v>1951</v>
      </c>
      <c r="D1142" s="2" t="s">
        <v>66</v>
      </c>
      <c r="E1142" s="2" t="s">
        <v>20</v>
      </c>
      <c r="F1142" s="2">
        <v>2024</v>
      </c>
      <c r="G1142" s="2">
        <v>2024</v>
      </c>
      <c r="H1142" s="2">
        <f>'mpi_dataset_summary_2017-2024'!$G1142-'mpi_dataset_summary_2017-2024'!$F1142+1</f>
        <v>1</v>
      </c>
      <c r="I1142" s="2" t="s">
        <v>2110</v>
      </c>
      <c r="J1142" s="2" t="s">
        <v>2110</v>
      </c>
      <c r="K1142" s="2">
        <f>IF('mpi_dataset_summary_2017-2024'!$G1142=2024,1,0)</f>
        <v>1</v>
      </c>
      <c r="L1142" s="2">
        <f t="shared" si="34"/>
        <v>1</v>
      </c>
      <c r="M1142" s="2">
        <v>332</v>
      </c>
      <c r="N1142" s="2">
        <f t="shared" si="35"/>
        <v>0.59699999999999998</v>
      </c>
      <c r="O1142" s="2" t="s">
        <v>2114</v>
      </c>
      <c r="P1142" s="2" t="s">
        <v>2114</v>
      </c>
      <c r="Q1142" s="2" t="s">
        <v>2108</v>
      </c>
      <c r="R1142" s="3" t="s">
        <v>35</v>
      </c>
      <c r="S1142" s="2" t="s">
        <v>22</v>
      </c>
      <c r="T1142" s="2" t="s">
        <v>36</v>
      </c>
    </row>
    <row r="1143" spans="1:20" x14ac:dyDescent="0.2">
      <c r="A1143" s="2">
        <v>8041</v>
      </c>
      <c r="B1143" s="2" t="s">
        <v>675</v>
      </c>
      <c r="C1143" s="2" t="s">
        <v>1952</v>
      </c>
      <c r="D1143" s="2" t="s">
        <v>66</v>
      </c>
      <c r="E1143" s="2" t="s">
        <v>20</v>
      </c>
      <c r="F1143" s="2">
        <v>2024</v>
      </c>
      <c r="G1143" s="2">
        <v>2024</v>
      </c>
      <c r="H1143" s="2">
        <f>'mpi_dataset_summary_2017-2024'!$G1143-'mpi_dataset_summary_2017-2024'!$F1143+1</f>
        <v>1</v>
      </c>
      <c r="I1143" s="2" t="s">
        <v>2110</v>
      </c>
      <c r="J1143" s="2" t="s">
        <v>2110</v>
      </c>
      <c r="K1143" s="2">
        <f>IF('mpi_dataset_summary_2017-2024'!$G1143=2024,1,0)</f>
        <v>1</v>
      </c>
      <c r="L1143" s="2">
        <f t="shared" si="34"/>
        <v>1</v>
      </c>
      <c r="M1143" s="2">
        <v>300</v>
      </c>
      <c r="N1143" s="2">
        <f t="shared" si="35"/>
        <v>0.57399999999999995</v>
      </c>
      <c r="O1143" s="2">
        <v>55.590263999999998</v>
      </c>
      <c r="P1143" s="2">
        <v>-110.852737</v>
      </c>
      <c r="Q1143" s="2" t="s">
        <v>2108</v>
      </c>
      <c r="R1143" s="3" t="s">
        <v>41</v>
      </c>
      <c r="S1143" s="2" t="s">
        <v>25</v>
      </c>
      <c r="T1143" s="2" t="s">
        <v>46</v>
      </c>
    </row>
    <row r="1144" spans="1:20" x14ac:dyDescent="0.2">
      <c r="A1144" s="2">
        <v>8042</v>
      </c>
      <c r="B1144" s="2" t="s">
        <v>121</v>
      </c>
      <c r="C1144" s="2" t="s">
        <v>1953</v>
      </c>
      <c r="D1144" s="2" t="s">
        <v>66</v>
      </c>
      <c r="E1144" s="2" t="s">
        <v>20</v>
      </c>
      <c r="F1144" s="2">
        <v>2024</v>
      </c>
      <c r="G1144" s="2">
        <v>2024</v>
      </c>
      <c r="H1144" s="2">
        <f>'mpi_dataset_summary_2017-2024'!$G1144-'mpi_dataset_summary_2017-2024'!$F1144+1</f>
        <v>1</v>
      </c>
      <c r="I1144" s="2" t="s">
        <v>2111</v>
      </c>
      <c r="J1144" s="2" t="s">
        <v>2111</v>
      </c>
      <c r="K1144" s="2">
        <f>IF('mpi_dataset_summary_2017-2024'!$G1144=2024,1,0)</f>
        <v>1</v>
      </c>
      <c r="L1144" s="2">
        <f t="shared" si="34"/>
        <v>0</v>
      </c>
      <c r="M1144" s="2">
        <v>350</v>
      </c>
      <c r="N1144" s="2">
        <f t="shared" si="35"/>
        <v>0.60299999999999998</v>
      </c>
      <c r="O1144" s="2">
        <v>57.347385000000003</v>
      </c>
      <c r="P1144" s="2">
        <v>-111.840992</v>
      </c>
      <c r="Q1144" s="2" t="s">
        <v>2108</v>
      </c>
      <c r="R1144" s="3" t="s">
        <v>41</v>
      </c>
      <c r="S1144" s="2" t="s">
        <v>25</v>
      </c>
      <c r="T1144" s="2" t="s">
        <v>46</v>
      </c>
    </row>
    <row r="1145" spans="1:20" x14ac:dyDescent="0.2">
      <c r="A1145" s="2">
        <v>8043</v>
      </c>
      <c r="B1145" s="2" t="s">
        <v>1954</v>
      </c>
      <c r="C1145" s="2" t="s">
        <v>1955</v>
      </c>
      <c r="D1145" s="2" t="s">
        <v>66</v>
      </c>
      <c r="E1145" s="2" t="s">
        <v>20</v>
      </c>
      <c r="F1145" s="2">
        <v>2024</v>
      </c>
      <c r="G1145" s="2">
        <v>2024</v>
      </c>
      <c r="H1145" s="2">
        <f>'mpi_dataset_summary_2017-2024'!$G1145-'mpi_dataset_summary_2017-2024'!$F1145+1</f>
        <v>1</v>
      </c>
      <c r="I1145" s="2" t="s">
        <v>2111</v>
      </c>
      <c r="J1145" s="2" t="s">
        <v>2111</v>
      </c>
      <c r="K1145" s="2">
        <f>IF('mpi_dataset_summary_2017-2024'!$G1145=2024,1,0)</f>
        <v>1</v>
      </c>
      <c r="L1145" s="2">
        <f t="shared" si="34"/>
        <v>0</v>
      </c>
      <c r="M1145" s="2">
        <v>425</v>
      </c>
      <c r="N1145" s="2">
        <f t="shared" si="35"/>
        <v>0.65</v>
      </c>
      <c r="O1145" s="2">
        <v>49.447018999999997</v>
      </c>
      <c r="P1145" s="2">
        <v>-113.121414</v>
      </c>
      <c r="Q1145" s="2" t="s">
        <v>2108</v>
      </c>
      <c r="R1145" s="3" t="s">
        <v>24</v>
      </c>
      <c r="S1145" s="2" t="s">
        <v>25</v>
      </c>
      <c r="T1145" s="2" t="s">
        <v>26</v>
      </c>
    </row>
    <row r="1146" spans="1:20" x14ac:dyDescent="0.2">
      <c r="A1146" s="2">
        <v>8046</v>
      </c>
      <c r="B1146" s="2" t="s">
        <v>1956</v>
      </c>
      <c r="C1146" s="2" t="s">
        <v>1957</v>
      </c>
      <c r="D1146" s="2" t="s">
        <v>66</v>
      </c>
      <c r="E1146" s="2" t="s">
        <v>20</v>
      </c>
      <c r="F1146" s="2">
        <v>2024</v>
      </c>
      <c r="G1146" s="2">
        <v>2024</v>
      </c>
      <c r="H1146" s="2">
        <f>'mpi_dataset_summary_2017-2024'!$G1146-'mpi_dataset_summary_2017-2024'!$F1146+1</f>
        <v>1</v>
      </c>
      <c r="I1146" s="2" t="s">
        <v>2111</v>
      </c>
      <c r="J1146" s="2" t="s">
        <v>2111</v>
      </c>
      <c r="K1146" s="2">
        <f>IF('mpi_dataset_summary_2017-2024'!$G1146=2024,1,0)</f>
        <v>1</v>
      </c>
      <c r="L1146" s="2">
        <f t="shared" si="34"/>
        <v>0</v>
      </c>
      <c r="M1146" s="2">
        <v>584</v>
      </c>
      <c r="N1146" s="2">
        <f t="shared" si="35"/>
        <v>0.71</v>
      </c>
      <c r="O1146" s="2">
        <v>53.414597000000001</v>
      </c>
      <c r="P1146" s="2">
        <v>-117.56899199999999</v>
      </c>
      <c r="Q1146" s="2" t="s">
        <v>2109</v>
      </c>
      <c r="R1146" s="3" t="s">
        <v>58</v>
      </c>
      <c r="S1146" s="2" t="s">
        <v>22</v>
      </c>
      <c r="T1146" s="2" t="s">
        <v>59</v>
      </c>
    </row>
    <row r="1147" spans="1:20" x14ac:dyDescent="0.2">
      <c r="A1147" s="2">
        <v>8053</v>
      </c>
      <c r="B1147" s="2" t="s">
        <v>104</v>
      </c>
      <c r="C1147" s="2" t="s">
        <v>1958</v>
      </c>
      <c r="D1147" s="2" t="s">
        <v>69</v>
      </c>
      <c r="E1147" s="2" t="s">
        <v>43</v>
      </c>
      <c r="F1147" s="2">
        <v>2024</v>
      </c>
      <c r="G1147" s="2">
        <v>2024</v>
      </c>
      <c r="H1147" s="2">
        <f>'mpi_dataset_summary_2017-2024'!$G1147-'mpi_dataset_summary_2017-2024'!$F1147+1</f>
        <v>1</v>
      </c>
      <c r="I1147" s="2" t="s">
        <v>2110</v>
      </c>
      <c r="J1147" s="2" t="s">
        <v>2110</v>
      </c>
      <c r="K1147" s="2">
        <f>IF('mpi_dataset_summary_2017-2024'!$G1147=2024,1,0)</f>
        <v>1</v>
      </c>
      <c r="L1147" s="2">
        <f t="shared" si="34"/>
        <v>1</v>
      </c>
      <c r="M1147" s="2">
        <v>582</v>
      </c>
      <c r="N1147" s="2">
        <f t="shared" si="35"/>
        <v>0.70899999999999996</v>
      </c>
      <c r="O1147" s="2" t="s">
        <v>2114</v>
      </c>
      <c r="P1147" s="2" t="s">
        <v>2114</v>
      </c>
      <c r="Q1147" s="2" t="s">
        <v>2108</v>
      </c>
      <c r="R1147" s="3" t="s">
        <v>24</v>
      </c>
      <c r="S1147" s="2" t="s">
        <v>25</v>
      </c>
      <c r="T1147" s="2" t="s">
        <v>26</v>
      </c>
    </row>
    <row r="1148" spans="1:20" x14ac:dyDescent="0.2">
      <c r="A1148" s="2">
        <v>8055</v>
      </c>
      <c r="B1148" s="2" t="s">
        <v>104</v>
      </c>
      <c r="C1148" s="2" t="s">
        <v>1959</v>
      </c>
      <c r="D1148" s="2" t="s">
        <v>69</v>
      </c>
      <c r="E1148" s="2" t="s">
        <v>43</v>
      </c>
      <c r="F1148" s="2">
        <v>2024</v>
      </c>
      <c r="G1148" s="2">
        <v>2024</v>
      </c>
      <c r="H1148" s="2">
        <f>'mpi_dataset_summary_2017-2024'!$G1148-'mpi_dataset_summary_2017-2024'!$F1148+1</f>
        <v>1</v>
      </c>
      <c r="I1148" s="2" t="s">
        <v>2110</v>
      </c>
      <c r="J1148" s="2" t="s">
        <v>2110</v>
      </c>
      <c r="K1148" s="2">
        <f>IF('mpi_dataset_summary_2017-2024'!$G1148=2024,1,0)</f>
        <v>1</v>
      </c>
      <c r="L1148" s="2">
        <f t="shared" si="34"/>
        <v>1</v>
      </c>
      <c r="M1148" s="2">
        <v>57</v>
      </c>
      <c r="N1148" s="2">
        <f t="shared" si="35"/>
        <v>0.251</v>
      </c>
      <c r="O1148" s="2" t="s">
        <v>2114</v>
      </c>
      <c r="P1148" s="2" t="s">
        <v>2114</v>
      </c>
      <c r="Q1148" s="2" t="s">
        <v>2108</v>
      </c>
      <c r="R1148" s="3" t="s">
        <v>41</v>
      </c>
      <c r="S1148" s="2" t="s">
        <v>25</v>
      </c>
      <c r="T1148" s="2" t="s">
        <v>46</v>
      </c>
    </row>
    <row r="1149" spans="1:20" x14ac:dyDescent="0.2">
      <c r="A1149" s="2">
        <v>8059</v>
      </c>
      <c r="B1149" s="2" t="s">
        <v>104</v>
      </c>
      <c r="C1149" s="2" t="s">
        <v>1960</v>
      </c>
      <c r="D1149" s="2" t="s">
        <v>69</v>
      </c>
      <c r="E1149" s="2" t="s">
        <v>43</v>
      </c>
      <c r="F1149" s="2">
        <v>2024</v>
      </c>
      <c r="G1149" s="2">
        <v>2024</v>
      </c>
      <c r="H1149" s="2">
        <f>'mpi_dataset_summary_2017-2024'!$G1149-'mpi_dataset_summary_2017-2024'!$F1149+1</f>
        <v>1</v>
      </c>
      <c r="I1149" s="2" t="s">
        <v>2113</v>
      </c>
      <c r="J1149" s="2" t="s">
        <v>2113</v>
      </c>
      <c r="K1149" s="2">
        <f>IF('mpi_dataset_summary_2017-2024'!$G1149=2024,1,0)</f>
        <v>1</v>
      </c>
      <c r="L1149" s="2">
        <f t="shared" si="34"/>
        <v>0</v>
      </c>
      <c r="M1149" s="2">
        <v>313</v>
      </c>
      <c r="N1149" s="2">
        <f t="shared" si="35"/>
        <v>0.58499999999999996</v>
      </c>
      <c r="O1149" s="2" t="s">
        <v>2114</v>
      </c>
      <c r="P1149" s="2" t="s">
        <v>2114</v>
      </c>
      <c r="Q1149" s="2" t="s">
        <v>2108</v>
      </c>
      <c r="R1149" s="3" t="s">
        <v>24</v>
      </c>
      <c r="S1149" s="2" t="s">
        <v>25</v>
      </c>
      <c r="T1149" s="2" t="s">
        <v>26</v>
      </c>
    </row>
    <row r="1150" spans="1:20" x14ac:dyDescent="0.2">
      <c r="A1150" s="2">
        <v>8060</v>
      </c>
      <c r="B1150" s="2" t="s">
        <v>104</v>
      </c>
      <c r="C1150" s="2" t="s">
        <v>1961</v>
      </c>
      <c r="D1150" s="2" t="s">
        <v>69</v>
      </c>
      <c r="E1150" s="2" t="s">
        <v>43</v>
      </c>
      <c r="F1150" s="2">
        <v>2024</v>
      </c>
      <c r="G1150" s="2">
        <v>2024</v>
      </c>
      <c r="H1150" s="2">
        <f>'mpi_dataset_summary_2017-2024'!$G1150-'mpi_dataset_summary_2017-2024'!$F1150+1</f>
        <v>1</v>
      </c>
      <c r="I1150" s="2" t="s">
        <v>2110</v>
      </c>
      <c r="J1150" s="2" t="s">
        <v>2110</v>
      </c>
      <c r="K1150" s="2">
        <f>IF('mpi_dataset_summary_2017-2024'!$G1150=2024,1,0)</f>
        <v>1</v>
      </c>
      <c r="L1150" s="2">
        <f t="shared" si="34"/>
        <v>1</v>
      </c>
      <c r="M1150" s="2">
        <v>913</v>
      </c>
      <c r="N1150" s="2">
        <f t="shared" si="35"/>
        <v>0.79800000000000004</v>
      </c>
      <c r="O1150" s="2" t="s">
        <v>2114</v>
      </c>
      <c r="P1150" s="2" t="s">
        <v>2114</v>
      </c>
      <c r="Q1150" s="2" t="s">
        <v>2108</v>
      </c>
      <c r="R1150" s="3" t="s">
        <v>24</v>
      </c>
      <c r="S1150" s="2" t="s">
        <v>25</v>
      </c>
      <c r="T1150" s="2" t="s">
        <v>26</v>
      </c>
    </row>
    <row r="1151" spans="1:20" x14ac:dyDescent="0.2">
      <c r="A1151" s="2">
        <v>8062</v>
      </c>
      <c r="B1151" s="2" t="s">
        <v>104</v>
      </c>
      <c r="C1151" s="2" t="s">
        <v>1962</v>
      </c>
      <c r="D1151" s="2" t="s">
        <v>69</v>
      </c>
      <c r="E1151" s="2" t="s">
        <v>43</v>
      </c>
      <c r="F1151" s="2">
        <v>2024</v>
      </c>
      <c r="G1151" s="2">
        <v>2024</v>
      </c>
      <c r="H1151" s="2">
        <f>'mpi_dataset_summary_2017-2024'!$G1151-'mpi_dataset_summary_2017-2024'!$F1151+1</f>
        <v>1</v>
      </c>
      <c r="I1151" s="2" t="s">
        <v>2110</v>
      </c>
      <c r="J1151" s="2" t="s">
        <v>2110</v>
      </c>
      <c r="K1151" s="2">
        <f>IF('mpi_dataset_summary_2017-2024'!$G1151=2024,1,0)</f>
        <v>1</v>
      </c>
      <c r="L1151" s="2">
        <f t="shared" si="34"/>
        <v>1</v>
      </c>
      <c r="M1151" s="2">
        <v>344</v>
      </c>
      <c r="N1151" s="2">
        <f t="shared" si="35"/>
        <v>0.60199999999999998</v>
      </c>
      <c r="O1151" s="2" t="s">
        <v>2114</v>
      </c>
      <c r="P1151" s="2" t="s">
        <v>2114</v>
      </c>
      <c r="Q1151" s="2" t="s">
        <v>2108</v>
      </c>
      <c r="R1151" s="3" t="s">
        <v>24</v>
      </c>
      <c r="S1151" s="2" t="s">
        <v>25</v>
      </c>
      <c r="T1151" s="2" t="s">
        <v>26</v>
      </c>
    </row>
    <row r="1152" spans="1:20" x14ac:dyDescent="0.2">
      <c r="A1152" s="2">
        <v>8064</v>
      </c>
      <c r="B1152" s="2" t="s">
        <v>104</v>
      </c>
      <c r="C1152" s="2" t="s">
        <v>1963</v>
      </c>
      <c r="D1152" s="2" t="s">
        <v>69</v>
      </c>
      <c r="E1152" s="2" t="s">
        <v>43</v>
      </c>
      <c r="F1152" s="2">
        <v>2024</v>
      </c>
      <c r="G1152" s="2">
        <v>2024</v>
      </c>
      <c r="H1152" s="2">
        <f>'mpi_dataset_summary_2017-2024'!$G1152-'mpi_dataset_summary_2017-2024'!$F1152+1</f>
        <v>1</v>
      </c>
      <c r="I1152" s="2" t="s">
        <v>2110</v>
      </c>
      <c r="J1152" s="2" t="s">
        <v>2110</v>
      </c>
      <c r="K1152" s="2">
        <f>IF('mpi_dataset_summary_2017-2024'!$G1152=2024,1,0)</f>
        <v>1</v>
      </c>
      <c r="L1152" s="2">
        <f t="shared" si="34"/>
        <v>1</v>
      </c>
      <c r="M1152" s="2">
        <v>61</v>
      </c>
      <c r="N1152" s="2">
        <f t="shared" si="35"/>
        <v>0.26100000000000001</v>
      </c>
      <c r="O1152" s="2" t="s">
        <v>2114</v>
      </c>
      <c r="P1152" s="2" t="s">
        <v>2114</v>
      </c>
      <c r="Q1152" s="2" t="s">
        <v>2108</v>
      </c>
      <c r="R1152" s="3" t="s">
        <v>24</v>
      </c>
      <c r="S1152" s="2" t="s">
        <v>25</v>
      </c>
      <c r="T1152" s="2" t="s">
        <v>26</v>
      </c>
    </row>
    <row r="1153" spans="1:20" x14ac:dyDescent="0.2">
      <c r="A1153" s="2">
        <v>8065</v>
      </c>
      <c r="B1153" s="2" t="s">
        <v>1964</v>
      </c>
      <c r="C1153" s="2" t="s">
        <v>1965</v>
      </c>
      <c r="D1153" s="2" t="s">
        <v>69</v>
      </c>
      <c r="E1153" s="2" t="s">
        <v>20</v>
      </c>
      <c r="F1153" s="2">
        <v>2024</v>
      </c>
      <c r="G1153" s="2">
        <v>2024</v>
      </c>
      <c r="H1153" s="2">
        <f>'mpi_dataset_summary_2017-2024'!$G1153-'mpi_dataset_summary_2017-2024'!$F1153+1</f>
        <v>1</v>
      </c>
      <c r="I1153" s="2" t="s">
        <v>2111</v>
      </c>
      <c r="J1153" s="2" t="s">
        <v>2111</v>
      </c>
      <c r="K1153" s="2">
        <f>IF('mpi_dataset_summary_2017-2024'!$G1153=2024,1,0)</f>
        <v>1</v>
      </c>
      <c r="L1153" s="2">
        <f t="shared" si="34"/>
        <v>0</v>
      </c>
      <c r="M1153" s="2">
        <v>830</v>
      </c>
      <c r="N1153" s="2">
        <f t="shared" si="35"/>
        <v>0.78500000000000003</v>
      </c>
      <c r="O1153" s="2" t="s">
        <v>2114</v>
      </c>
      <c r="P1153" s="2" t="s">
        <v>2114</v>
      </c>
      <c r="Q1153" s="2" t="s">
        <v>2108</v>
      </c>
      <c r="R1153" s="3" t="s">
        <v>44</v>
      </c>
      <c r="S1153" s="2" t="s">
        <v>25</v>
      </c>
      <c r="T1153" s="2" t="s">
        <v>45</v>
      </c>
    </row>
    <row r="1154" spans="1:20" x14ac:dyDescent="0.2">
      <c r="A1154" s="2">
        <v>8066</v>
      </c>
      <c r="B1154" s="2" t="s">
        <v>1966</v>
      </c>
      <c r="C1154" s="2" t="s">
        <v>1967</v>
      </c>
      <c r="D1154" s="2" t="s">
        <v>69</v>
      </c>
      <c r="E1154" s="2" t="s">
        <v>20</v>
      </c>
      <c r="F1154" s="2">
        <v>2024</v>
      </c>
      <c r="G1154" s="2">
        <v>2024</v>
      </c>
      <c r="H1154" s="2">
        <f>'mpi_dataset_summary_2017-2024'!$G1154-'mpi_dataset_summary_2017-2024'!$F1154+1</f>
        <v>1</v>
      </c>
      <c r="I1154" s="2" t="s">
        <v>2111</v>
      </c>
      <c r="J1154" s="2" t="s">
        <v>2111</v>
      </c>
      <c r="K1154" s="2">
        <f>IF('mpi_dataset_summary_2017-2024'!$G1154=2024,1,0)</f>
        <v>1</v>
      </c>
      <c r="L1154" s="2">
        <f t="shared" ref="L1154:L1217" si="36">IF(J1154="Under Construction",1,0)</f>
        <v>0</v>
      </c>
      <c r="M1154" s="2">
        <v>62</v>
      </c>
      <c r="N1154" s="2">
        <f t="shared" ref="N1154:N1217" si="37">_xlfn.PERCENTRANK.INC($M$2:$M$4056,M1154)</f>
        <v>0.26100000000000001</v>
      </c>
      <c r="O1154" s="2" t="s">
        <v>2114</v>
      </c>
      <c r="P1154" s="2" t="s">
        <v>2114</v>
      </c>
      <c r="Q1154" s="2" t="s">
        <v>2108</v>
      </c>
      <c r="R1154" s="3" t="s">
        <v>24</v>
      </c>
      <c r="S1154" s="2" t="s">
        <v>25</v>
      </c>
      <c r="T1154" s="2" t="s">
        <v>26</v>
      </c>
    </row>
    <row r="1155" spans="1:20" x14ac:dyDescent="0.2">
      <c r="A1155" s="2">
        <v>8068</v>
      </c>
      <c r="B1155" s="2" t="s">
        <v>1968</v>
      </c>
      <c r="C1155" s="2" t="s">
        <v>1969</v>
      </c>
      <c r="D1155" s="2" t="s">
        <v>69</v>
      </c>
      <c r="E1155" s="2" t="s">
        <v>20</v>
      </c>
      <c r="F1155" s="2">
        <v>2024</v>
      </c>
      <c r="G1155" s="2">
        <v>2024</v>
      </c>
      <c r="H1155" s="2">
        <f>'mpi_dataset_summary_2017-2024'!$G1155-'mpi_dataset_summary_2017-2024'!$F1155+1</f>
        <v>1</v>
      </c>
      <c r="I1155" s="2" t="s">
        <v>2111</v>
      </c>
      <c r="J1155" s="2" t="s">
        <v>2111</v>
      </c>
      <c r="K1155" s="2">
        <f>IF('mpi_dataset_summary_2017-2024'!$G1155=2024,1,0)</f>
        <v>1</v>
      </c>
      <c r="L1155" s="2">
        <f t="shared" si="36"/>
        <v>0</v>
      </c>
      <c r="M1155" s="2">
        <v>36</v>
      </c>
      <c r="N1155" s="2">
        <f t="shared" si="37"/>
        <v>0.16800000000000001</v>
      </c>
      <c r="O1155" s="2" t="s">
        <v>2114</v>
      </c>
      <c r="P1155" s="2" t="s">
        <v>2114</v>
      </c>
      <c r="Q1155" s="2" t="s">
        <v>2108</v>
      </c>
      <c r="R1155" s="3" t="s">
        <v>44</v>
      </c>
      <c r="S1155" s="2" t="s">
        <v>25</v>
      </c>
      <c r="T1155" s="2" t="s">
        <v>45</v>
      </c>
    </row>
    <row r="1156" spans="1:20" x14ac:dyDescent="0.2">
      <c r="A1156" s="2">
        <v>8069</v>
      </c>
      <c r="B1156" s="2" t="s">
        <v>1970</v>
      </c>
      <c r="C1156" s="2" t="s">
        <v>1971</v>
      </c>
      <c r="D1156" s="2" t="s">
        <v>69</v>
      </c>
      <c r="E1156" s="2" t="s">
        <v>20</v>
      </c>
      <c r="F1156" s="2">
        <v>2024</v>
      </c>
      <c r="G1156" s="2">
        <v>2024</v>
      </c>
      <c r="H1156" s="2">
        <f>'mpi_dataset_summary_2017-2024'!$G1156-'mpi_dataset_summary_2017-2024'!$F1156+1</f>
        <v>1</v>
      </c>
      <c r="I1156" s="2" t="s">
        <v>2111</v>
      </c>
      <c r="J1156" s="2" t="s">
        <v>2111</v>
      </c>
      <c r="K1156" s="2">
        <f>IF('mpi_dataset_summary_2017-2024'!$G1156=2024,1,0)</f>
        <v>1</v>
      </c>
      <c r="L1156" s="2">
        <f t="shared" si="36"/>
        <v>0</v>
      </c>
      <c r="M1156" s="2">
        <v>90</v>
      </c>
      <c r="N1156" s="2">
        <f t="shared" si="37"/>
        <v>0.32900000000000001</v>
      </c>
      <c r="O1156" s="2" t="s">
        <v>2114</v>
      </c>
      <c r="P1156" s="2" t="s">
        <v>2114</v>
      </c>
      <c r="Q1156" s="2" t="s">
        <v>2108</v>
      </c>
      <c r="R1156" s="3" t="s">
        <v>44</v>
      </c>
      <c r="S1156" s="2" t="s">
        <v>25</v>
      </c>
      <c r="T1156" s="2" t="s">
        <v>45</v>
      </c>
    </row>
    <row r="1157" spans="1:20" x14ac:dyDescent="0.2">
      <c r="A1157" s="2">
        <v>8070</v>
      </c>
      <c r="B1157" s="2" t="s">
        <v>1972</v>
      </c>
      <c r="C1157" s="2" t="s">
        <v>1973</v>
      </c>
      <c r="D1157" s="2" t="s">
        <v>69</v>
      </c>
      <c r="E1157" s="2" t="s">
        <v>20</v>
      </c>
      <c r="F1157" s="2">
        <v>2024</v>
      </c>
      <c r="G1157" s="2">
        <v>2024</v>
      </c>
      <c r="H1157" s="2">
        <f>'mpi_dataset_summary_2017-2024'!$G1157-'mpi_dataset_summary_2017-2024'!$F1157+1</f>
        <v>1</v>
      </c>
      <c r="I1157" s="2" t="s">
        <v>2111</v>
      </c>
      <c r="J1157" s="2" t="s">
        <v>2111</v>
      </c>
      <c r="K1157" s="2">
        <f>IF('mpi_dataset_summary_2017-2024'!$G1157=2024,1,0)</f>
        <v>1</v>
      </c>
      <c r="L1157" s="2">
        <f t="shared" si="36"/>
        <v>0</v>
      </c>
      <c r="M1157" s="2">
        <v>5000</v>
      </c>
      <c r="N1157" s="2">
        <f t="shared" si="37"/>
        <v>0.94699999999999995</v>
      </c>
      <c r="O1157" s="2" t="s">
        <v>2114</v>
      </c>
      <c r="P1157" s="2" t="s">
        <v>2114</v>
      </c>
      <c r="Q1157" s="2" t="s">
        <v>2108</v>
      </c>
      <c r="R1157" s="3" t="s">
        <v>24</v>
      </c>
      <c r="S1157" s="2" t="s">
        <v>25</v>
      </c>
      <c r="T1157" s="2" t="s">
        <v>26</v>
      </c>
    </row>
    <row r="1158" spans="1:20" x14ac:dyDescent="0.2">
      <c r="A1158" s="2">
        <v>8071</v>
      </c>
      <c r="B1158" s="2" t="s">
        <v>1964</v>
      </c>
      <c r="C1158" s="2" t="s">
        <v>1974</v>
      </c>
      <c r="D1158" s="2" t="s">
        <v>69</v>
      </c>
      <c r="E1158" s="2" t="s">
        <v>20</v>
      </c>
      <c r="F1158" s="2">
        <v>2024</v>
      </c>
      <c r="G1158" s="2">
        <v>2024</v>
      </c>
      <c r="H1158" s="2">
        <f>'mpi_dataset_summary_2017-2024'!$G1158-'mpi_dataset_summary_2017-2024'!$F1158+1</f>
        <v>1</v>
      </c>
      <c r="I1158" s="2" t="s">
        <v>2113</v>
      </c>
      <c r="J1158" s="2" t="s">
        <v>2113</v>
      </c>
      <c r="K1158" s="2">
        <f>IF('mpi_dataset_summary_2017-2024'!$G1158=2024,1,0)</f>
        <v>1</v>
      </c>
      <c r="L1158" s="2">
        <f t="shared" si="36"/>
        <v>0</v>
      </c>
      <c r="M1158" s="2">
        <v>22</v>
      </c>
      <c r="N1158" s="2">
        <f t="shared" si="37"/>
        <v>0.109</v>
      </c>
      <c r="O1158" s="2" t="s">
        <v>2114</v>
      </c>
      <c r="P1158" s="2" t="s">
        <v>2114</v>
      </c>
      <c r="Q1158" s="2" t="s">
        <v>2108</v>
      </c>
      <c r="R1158" s="3" t="s">
        <v>44</v>
      </c>
      <c r="S1158" s="2" t="s">
        <v>25</v>
      </c>
      <c r="T1158" s="2" t="s">
        <v>45</v>
      </c>
    </row>
    <row r="1159" spans="1:20" x14ac:dyDescent="0.2">
      <c r="A1159" s="2">
        <v>8072</v>
      </c>
      <c r="B1159" s="2" t="s">
        <v>1975</v>
      </c>
      <c r="C1159" s="2" t="s">
        <v>1976</v>
      </c>
      <c r="D1159" s="2" t="s">
        <v>69</v>
      </c>
      <c r="E1159" s="2" t="s">
        <v>20</v>
      </c>
      <c r="F1159" s="2">
        <v>2024</v>
      </c>
      <c r="G1159" s="2">
        <v>2024</v>
      </c>
      <c r="H1159" s="2">
        <f>'mpi_dataset_summary_2017-2024'!$G1159-'mpi_dataset_summary_2017-2024'!$F1159+1</f>
        <v>1</v>
      </c>
      <c r="I1159" s="2" t="s">
        <v>2110</v>
      </c>
      <c r="J1159" s="2" t="s">
        <v>2110</v>
      </c>
      <c r="K1159" s="2">
        <f>IF('mpi_dataset_summary_2017-2024'!$G1159=2024,1,0)</f>
        <v>1</v>
      </c>
      <c r="L1159" s="2">
        <f t="shared" si="36"/>
        <v>1</v>
      </c>
      <c r="M1159" s="2">
        <v>173</v>
      </c>
      <c r="N1159" s="2">
        <f t="shared" si="37"/>
        <v>0.47099999999999997</v>
      </c>
      <c r="O1159" s="2" t="s">
        <v>2114</v>
      </c>
      <c r="P1159" s="2" t="s">
        <v>2114</v>
      </c>
      <c r="Q1159" s="2" t="s">
        <v>2108</v>
      </c>
      <c r="R1159" s="3" t="s">
        <v>44</v>
      </c>
      <c r="S1159" s="2" t="s">
        <v>25</v>
      </c>
      <c r="T1159" s="2" t="s">
        <v>45</v>
      </c>
    </row>
    <row r="1160" spans="1:20" x14ac:dyDescent="0.2">
      <c r="A1160" s="2">
        <v>8075</v>
      </c>
      <c r="B1160" s="2" t="s">
        <v>363</v>
      </c>
      <c r="C1160" s="2" t="s">
        <v>1977</v>
      </c>
      <c r="D1160" s="2" t="s">
        <v>69</v>
      </c>
      <c r="E1160" s="2" t="s">
        <v>20</v>
      </c>
      <c r="F1160" s="2">
        <v>2024</v>
      </c>
      <c r="G1160" s="2">
        <v>2024</v>
      </c>
      <c r="H1160" s="2">
        <f>'mpi_dataset_summary_2017-2024'!$G1160-'mpi_dataset_summary_2017-2024'!$F1160+1</f>
        <v>1</v>
      </c>
      <c r="I1160" s="2" t="s">
        <v>2112</v>
      </c>
      <c r="J1160" s="2" t="s">
        <v>2112</v>
      </c>
      <c r="K1160" s="2">
        <f>IF('mpi_dataset_summary_2017-2024'!$G1160=2024,1,0)</f>
        <v>1</v>
      </c>
      <c r="L1160" s="2">
        <f t="shared" si="36"/>
        <v>0</v>
      </c>
      <c r="M1160" s="2">
        <v>2300</v>
      </c>
      <c r="N1160" s="2">
        <f t="shared" si="37"/>
        <v>0.90600000000000003</v>
      </c>
      <c r="O1160" s="2">
        <v>50.2</v>
      </c>
      <c r="P1160" s="2">
        <v>-114.86</v>
      </c>
      <c r="Q1160" s="2" t="s">
        <v>2107</v>
      </c>
      <c r="R1160" s="3" t="s">
        <v>41</v>
      </c>
      <c r="S1160" s="2" t="s">
        <v>22</v>
      </c>
      <c r="T1160" s="2" t="s">
        <v>42</v>
      </c>
    </row>
    <row r="1161" spans="1:20" x14ac:dyDescent="0.2">
      <c r="A1161" s="2">
        <v>8076</v>
      </c>
      <c r="B1161" s="2" t="s">
        <v>1978</v>
      </c>
      <c r="C1161" s="2" t="s">
        <v>1979</v>
      </c>
      <c r="D1161" s="2" t="s">
        <v>69</v>
      </c>
      <c r="E1161" s="2" t="s">
        <v>20</v>
      </c>
      <c r="F1161" s="2">
        <v>2024</v>
      </c>
      <c r="G1161" s="2">
        <v>2024</v>
      </c>
      <c r="H1161" s="2">
        <f>'mpi_dataset_summary_2017-2024'!$G1161-'mpi_dataset_summary_2017-2024'!$F1161+1</f>
        <v>1</v>
      </c>
      <c r="I1161" s="2" t="s">
        <v>2113</v>
      </c>
      <c r="J1161" s="2" t="s">
        <v>2113</v>
      </c>
      <c r="K1161" s="2">
        <f>IF('mpi_dataset_summary_2017-2024'!$G1161=2024,1,0)</f>
        <v>1</v>
      </c>
      <c r="L1161" s="2">
        <f t="shared" si="36"/>
        <v>0</v>
      </c>
      <c r="M1161" s="2">
        <v>5160</v>
      </c>
      <c r="N1161" s="2">
        <f t="shared" si="37"/>
        <v>0.95199999999999996</v>
      </c>
      <c r="O1161" s="2">
        <v>57.13</v>
      </c>
      <c r="P1161" s="2">
        <v>-131.47</v>
      </c>
      <c r="Q1161" s="2" t="s">
        <v>2107</v>
      </c>
      <c r="R1161" s="3" t="s">
        <v>41</v>
      </c>
      <c r="S1161" s="2" t="s">
        <v>22</v>
      </c>
      <c r="T1161" s="2" t="s">
        <v>42</v>
      </c>
    </row>
    <row r="1162" spans="1:20" x14ac:dyDescent="0.2">
      <c r="A1162" s="2">
        <v>8077</v>
      </c>
      <c r="B1162" s="2" t="s">
        <v>1980</v>
      </c>
      <c r="C1162" s="2" t="s">
        <v>1981</v>
      </c>
      <c r="D1162" s="2" t="s">
        <v>69</v>
      </c>
      <c r="E1162" s="2" t="s">
        <v>20</v>
      </c>
      <c r="F1162" s="2">
        <v>2024</v>
      </c>
      <c r="G1162" s="2">
        <v>2024</v>
      </c>
      <c r="H1162" s="2">
        <f>'mpi_dataset_summary_2017-2024'!$G1162-'mpi_dataset_summary_2017-2024'!$F1162+1</f>
        <v>1</v>
      </c>
      <c r="I1162" s="2" t="s">
        <v>2112</v>
      </c>
      <c r="J1162" s="2" t="s">
        <v>2112</v>
      </c>
      <c r="K1162" s="2">
        <f>IF('mpi_dataset_summary_2017-2024'!$G1162=2024,1,0)</f>
        <v>1</v>
      </c>
      <c r="L1162" s="2">
        <f t="shared" si="36"/>
        <v>0</v>
      </c>
      <c r="M1162" s="2">
        <v>350</v>
      </c>
      <c r="N1162" s="2">
        <f t="shared" si="37"/>
        <v>0.60299999999999998</v>
      </c>
      <c r="O1162" s="2">
        <v>49.466999999999999</v>
      </c>
      <c r="P1162" s="2">
        <v>-114.67</v>
      </c>
      <c r="Q1162" s="2" t="s">
        <v>2107</v>
      </c>
      <c r="R1162" s="3" t="s">
        <v>21</v>
      </c>
      <c r="S1162" s="2" t="s">
        <v>22</v>
      </c>
      <c r="T1162" s="2" t="s">
        <v>23</v>
      </c>
    </row>
    <row r="1163" spans="1:20" x14ac:dyDescent="0.2">
      <c r="A1163" s="2">
        <v>8078</v>
      </c>
      <c r="B1163" s="2" t="s">
        <v>1982</v>
      </c>
      <c r="C1163" s="2" t="s">
        <v>1983</v>
      </c>
      <c r="D1163" s="2" t="s">
        <v>69</v>
      </c>
      <c r="E1163" s="2" t="s">
        <v>20</v>
      </c>
      <c r="F1163" s="2">
        <v>2024</v>
      </c>
      <c r="G1163" s="2">
        <v>2024</v>
      </c>
      <c r="H1163" s="2">
        <f>'mpi_dataset_summary_2017-2024'!$G1163-'mpi_dataset_summary_2017-2024'!$F1163+1</f>
        <v>1</v>
      </c>
      <c r="I1163" s="2" t="s">
        <v>2111</v>
      </c>
      <c r="J1163" s="2" t="s">
        <v>2111</v>
      </c>
      <c r="K1163" s="2">
        <f>IF('mpi_dataset_summary_2017-2024'!$G1163=2024,1,0)</f>
        <v>1</v>
      </c>
      <c r="L1163" s="2">
        <f t="shared" si="36"/>
        <v>0</v>
      </c>
      <c r="M1163" s="2">
        <v>2871</v>
      </c>
      <c r="N1163" s="2">
        <f t="shared" si="37"/>
        <v>0.91900000000000004</v>
      </c>
      <c r="O1163" s="2">
        <v>49.78</v>
      </c>
      <c r="P1163" s="2">
        <v>-114.73</v>
      </c>
      <c r="Q1163" s="2" t="s">
        <v>2107</v>
      </c>
      <c r="R1163" s="3" t="s">
        <v>33</v>
      </c>
      <c r="S1163" s="2" t="s">
        <v>25</v>
      </c>
      <c r="T1163" s="2" t="s">
        <v>34</v>
      </c>
    </row>
    <row r="1164" spans="1:20" x14ac:dyDescent="0.2">
      <c r="A1164" s="2">
        <v>8084</v>
      </c>
      <c r="B1164" s="2" t="s">
        <v>1984</v>
      </c>
      <c r="C1164" s="2" t="s">
        <v>1985</v>
      </c>
      <c r="D1164" s="2" t="s">
        <v>169</v>
      </c>
      <c r="E1164" s="2" t="s">
        <v>20</v>
      </c>
      <c r="F1164" s="2">
        <v>2024</v>
      </c>
      <c r="G1164" s="2">
        <v>2024</v>
      </c>
      <c r="H1164" s="2">
        <f>'mpi_dataset_summary_2017-2024'!$G1164-'mpi_dataset_summary_2017-2024'!$F1164+1</f>
        <v>1</v>
      </c>
      <c r="I1164" s="2" t="s">
        <v>2112</v>
      </c>
      <c r="J1164" s="2" t="s">
        <v>2112</v>
      </c>
      <c r="K1164" s="2">
        <f>IF('mpi_dataset_summary_2017-2024'!$G1164=2024,1,0)</f>
        <v>1</v>
      </c>
      <c r="L1164" s="2">
        <f t="shared" si="36"/>
        <v>0</v>
      </c>
      <c r="M1164" s="2">
        <v>1700</v>
      </c>
      <c r="N1164" s="2">
        <f t="shared" si="37"/>
        <v>0.88400000000000001</v>
      </c>
      <c r="O1164" s="2" t="s">
        <v>2114</v>
      </c>
      <c r="P1164" s="2" t="s">
        <v>2114</v>
      </c>
      <c r="Q1164" s="2" t="s">
        <v>2108</v>
      </c>
      <c r="R1164" s="3" t="s">
        <v>35</v>
      </c>
      <c r="S1164" s="2" t="s">
        <v>22</v>
      </c>
      <c r="T1164" s="2" t="s">
        <v>36</v>
      </c>
    </row>
    <row r="1165" spans="1:20" x14ac:dyDescent="0.2">
      <c r="A1165" s="2">
        <v>8085</v>
      </c>
      <c r="B1165" s="2" t="s">
        <v>1810</v>
      </c>
      <c r="C1165" s="2" t="s">
        <v>1986</v>
      </c>
      <c r="D1165" s="2" t="s">
        <v>83</v>
      </c>
      <c r="E1165" s="2" t="s">
        <v>20</v>
      </c>
      <c r="F1165" s="2">
        <v>2024</v>
      </c>
      <c r="G1165" s="2">
        <v>2024</v>
      </c>
      <c r="H1165" s="2">
        <f>'mpi_dataset_summary_2017-2024'!$G1165-'mpi_dataset_summary_2017-2024'!$F1165+1</f>
        <v>1</v>
      </c>
      <c r="I1165" s="2" t="s">
        <v>2110</v>
      </c>
      <c r="J1165" s="2" t="s">
        <v>2110</v>
      </c>
      <c r="K1165" s="2">
        <f>IF('mpi_dataset_summary_2017-2024'!$G1165=2024,1,0)</f>
        <v>1</v>
      </c>
      <c r="L1165" s="2">
        <f t="shared" si="36"/>
        <v>1</v>
      </c>
      <c r="M1165" s="2">
        <v>105.7</v>
      </c>
      <c r="N1165" s="2">
        <f t="shared" si="37"/>
        <v>0.36499999999999999</v>
      </c>
      <c r="O1165" s="2">
        <v>53.594608000000001</v>
      </c>
      <c r="P1165" s="2">
        <v>-64.308031</v>
      </c>
      <c r="Q1165" s="2" t="s">
        <v>2108</v>
      </c>
      <c r="R1165" s="3" t="s">
        <v>41</v>
      </c>
      <c r="S1165" s="2" t="s">
        <v>25</v>
      </c>
      <c r="T1165" s="2" t="s">
        <v>46</v>
      </c>
    </row>
    <row r="1166" spans="1:20" x14ac:dyDescent="0.2">
      <c r="A1166" s="2">
        <v>8086</v>
      </c>
      <c r="B1166" s="2" t="s">
        <v>622</v>
      </c>
      <c r="C1166" s="2" t="s">
        <v>1987</v>
      </c>
      <c r="D1166" s="2" t="s">
        <v>83</v>
      </c>
      <c r="E1166" s="2" t="s">
        <v>43</v>
      </c>
      <c r="F1166" s="2">
        <v>2024</v>
      </c>
      <c r="G1166" s="2">
        <v>2024</v>
      </c>
      <c r="H1166" s="2">
        <f>'mpi_dataset_summary_2017-2024'!$G1166-'mpi_dataset_summary_2017-2024'!$F1166+1</f>
        <v>1</v>
      </c>
      <c r="I1166" s="2" t="s">
        <v>2110</v>
      </c>
      <c r="J1166" s="2" t="s">
        <v>2110</v>
      </c>
      <c r="K1166" s="2">
        <f>IF('mpi_dataset_summary_2017-2024'!$G1166=2024,1,0)</f>
        <v>1</v>
      </c>
      <c r="L1166" s="2">
        <f t="shared" si="36"/>
        <v>1</v>
      </c>
      <c r="M1166" s="2">
        <v>139.30000000000001</v>
      </c>
      <c r="N1166" s="2">
        <f t="shared" si="37"/>
        <v>0.42499999999999999</v>
      </c>
      <c r="O1166" s="2">
        <v>54.18</v>
      </c>
      <c r="P1166" s="2">
        <v>-58.43</v>
      </c>
      <c r="Q1166" s="2" t="s">
        <v>2108</v>
      </c>
      <c r="R1166" s="3" t="s">
        <v>24</v>
      </c>
      <c r="S1166" s="2" t="s">
        <v>25</v>
      </c>
      <c r="T1166" s="2" t="s">
        <v>26</v>
      </c>
    </row>
    <row r="1167" spans="1:20" x14ac:dyDescent="0.2">
      <c r="A1167" s="2">
        <v>8087</v>
      </c>
      <c r="B1167" s="2" t="s">
        <v>836</v>
      </c>
      <c r="C1167" s="2" t="s">
        <v>1988</v>
      </c>
      <c r="D1167" s="2" t="s">
        <v>83</v>
      </c>
      <c r="E1167" s="2" t="s">
        <v>20</v>
      </c>
      <c r="F1167" s="2">
        <v>2024</v>
      </c>
      <c r="G1167" s="2">
        <v>2024</v>
      </c>
      <c r="H1167" s="2">
        <f>'mpi_dataset_summary_2017-2024'!$G1167-'mpi_dataset_summary_2017-2024'!$F1167+1</f>
        <v>1</v>
      </c>
      <c r="I1167" s="2" t="s">
        <v>2110</v>
      </c>
      <c r="J1167" s="2" t="s">
        <v>2110</v>
      </c>
      <c r="K1167" s="2">
        <f>IF('mpi_dataset_summary_2017-2024'!$G1167=2024,1,0)</f>
        <v>1</v>
      </c>
      <c r="L1167" s="2">
        <f t="shared" si="36"/>
        <v>1</v>
      </c>
      <c r="M1167" s="2">
        <v>115.9</v>
      </c>
      <c r="N1167" s="2">
        <f t="shared" si="37"/>
        <v>0.38400000000000001</v>
      </c>
      <c r="O1167" s="2">
        <v>48.55</v>
      </c>
      <c r="P1167" s="2">
        <v>-58.43</v>
      </c>
      <c r="Q1167" s="2" t="s">
        <v>2108</v>
      </c>
      <c r="R1167" s="3" t="s">
        <v>35</v>
      </c>
      <c r="S1167" s="2" t="s">
        <v>22</v>
      </c>
      <c r="T1167" s="2" t="s">
        <v>45</v>
      </c>
    </row>
    <row r="1168" spans="1:20" x14ac:dyDescent="0.2">
      <c r="A1168" s="2">
        <v>8088</v>
      </c>
      <c r="B1168" s="2" t="s">
        <v>1989</v>
      </c>
      <c r="C1168" s="2" t="s">
        <v>1990</v>
      </c>
      <c r="D1168" s="2" t="s">
        <v>83</v>
      </c>
      <c r="E1168" s="2" t="s">
        <v>20</v>
      </c>
      <c r="F1168" s="2">
        <v>2024</v>
      </c>
      <c r="G1168" s="2">
        <v>2024</v>
      </c>
      <c r="H1168" s="2">
        <f>'mpi_dataset_summary_2017-2024'!$G1168-'mpi_dataset_summary_2017-2024'!$F1168+1</f>
        <v>1</v>
      </c>
      <c r="I1168" s="2" t="s">
        <v>2113</v>
      </c>
      <c r="J1168" s="2" t="s">
        <v>2113</v>
      </c>
      <c r="K1168" s="2">
        <f>IF('mpi_dataset_summary_2017-2024'!$G1168=2024,1,0)</f>
        <v>1</v>
      </c>
      <c r="L1168" s="2">
        <f t="shared" si="36"/>
        <v>0</v>
      </c>
      <c r="M1168" s="2">
        <v>480</v>
      </c>
      <c r="N1168" s="2">
        <f t="shared" si="37"/>
        <v>0.67100000000000004</v>
      </c>
      <c r="O1168" s="2">
        <v>48.402000000000001</v>
      </c>
      <c r="P1168" s="2">
        <v>-58.529000000000003</v>
      </c>
      <c r="Q1168" s="2" t="s">
        <v>2107</v>
      </c>
      <c r="R1168" s="3" t="s">
        <v>41</v>
      </c>
      <c r="S1168" s="2" t="s">
        <v>22</v>
      </c>
      <c r="T1168" s="2" t="s">
        <v>42</v>
      </c>
    </row>
    <row r="1169" spans="1:20" x14ac:dyDescent="0.2">
      <c r="A1169" s="2">
        <v>8092</v>
      </c>
      <c r="B1169" s="2" t="s">
        <v>1991</v>
      </c>
      <c r="C1169" s="2" t="s">
        <v>1992</v>
      </c>
      <c r="D1169" s="2" t="s">
        <v>185</v>
      </c>
      <c r="E1169" s="2" t="s">
        <v>20</v>
      </c>
      <c r="F1169" s="2">
        <v>2024</v>
      </c>
      <c r="G1169" s="2">
        <v>2024</v>
      </c>
      <c r="H1169" s="2">
        <f>'mpi_dataset_summary_2017-2024'!$G1169-'mpi_dataset_summary_2017-2024'!$F1169+1</f>
        <v>1</v>
      </c>
      <c r="I1169" s="2" t="s">
        <v>2112</v>
      </c>
      <c r="J1169" s="2" t="s">
        <v>2112</v>
      </c>
      <c r="K1169" s="2">
        <f>IF('mpi_dataset_summary_2017-2024'!$G1169=2024,1,0)</f>
        <v>1</v>
      </c>
      <c r="L1169" s="2">
        <f t="shared" si="36"/>
        <v>0</v>
      </c>
      <c r="M1169" s="2">
        <v>215</v>
      </c>
      <c r="N1169" s="2">
        <f t="shared" si="37"/>
        <v>0.51500000000000001</v>
      </c>
      <c r="O1169" s="2" t="s">
        <v>2114</v>
      </c>
      <c r="P1169" s="2" t="s">
        <v>2114</v>
      </c>
      <c r="Q1169" s="2" t="s">
        <v>2109</v>
      </c>
      <c r="R1169" s="3" t="s">
        <v>41</v>
      </c>
      <c r="S1169" s="2" t="s">
        <v>25</v>
      </c>
      <c r="T1169" s="2" t="s">
        <v>57</v>
      </c>
    </row>
    <row r="1170" spans="1:20" x14ac:dyDescent="0.2">
      <c r="A1170" s="2">
        <v>8093</v>
      </c>
      <c r="B1170" s="2" t="s">
        <v>1993</v>
      </c>
      <c r="C1170" s="2" t="s">
        <v>1994</v>
      </c>
      <c r="D1170" s="2" t="s">
        <v>185</v>
      </c>
      <c r="E1170" s="2" t="s">
        <v>43</v>
      </c>
      <c r="F1170" s="2">
        <v>2024</v>
      </c>
      <c r="G1170" s="2">
        <v>2024</v>
      </c>
      <c r="H1170" s="2">
        <f>'mpi_dataset_summary_2017-2024'!$G1170-'mpi_dataset_summary_2017-2024'!$F1170+1</f>
        <v>1</v>
      </c>
      <c r="I1170" s="2" t="s">
        <v>2112</v>
      </c>
      <c r="J1170" s="2" t="s">
        <v>2112</v>
      </c>
      <c r="K1170" s="2">
        <f>IF('mpi_dataset_summary_2017-2024'!$G1170=2024,1,0)</f>
        <v>1</v>
      </c>
      <c r="L1170" s="2">
        <f t="shared" si="36"/>
        <v>0</v>
      </c>
      <c r="M1170" s="2">
        <v>200</v>
      </c>
      <c r="N1170" s="2">
        <f t="shared" si="37"/>
        <v>0.49099999999999999</v>
      </c>
      <c r="O1170" s="2">
        <v>45.588200000000001</v>
      </c>
      <c r="P1170" s="2">
        <v>-62.645000000000003</v>
      </c>
      <c r="Q1170" s="2" t="s">
        <v>2109</v>
      </c>
      <c r="R1170" s="3" t="s">
        <v>41</v>
      </c>
      <c r="S1170" s="2" t="s">
        <v>25</v>
      </c>
      <c r="T1170" s="2" t="s">
        <v>57</v>
      </c>
    </row>
    <row r="1171" spans="1:20" x14ac:dyDescent="0.2">
      <c r="A1171" s="2">
        <v>8094</v>
      </c>
      <c r="B1171" s="2" t="s">
        <v>1995</v>
      </c>
      <c r="C1171" s="2" t="s">
        <v>1996</v>
      </c>
      <c r="D1171" s="2" t="s">
        <v>185</v>
      </c>
      <c r="E1171" s="2" t="s">
        <v>20</v>
      </c>
      <c r="F1171" s="2">
        <v>2024</v>
      </c>
      <c r="G1171" s="2">
        <v>2024</v>
      </c>
      <c r="H1171" s="2">
        <f>'mpi_dataset_summary_2017-2024'!$G1171-'mpi_dataset_summary_2017-2024'!$F1171+1</f>
        <v>1</v>
      </c>
      <c r="I1171" s="2" t="s">
        <v>2112</v>
      </c>
      <c r="J1171" s="2" t="s">
        <v>2112</v>
      </c>
      <c r="K1171" s="2">
        <f>IF('mpi_dataset_summary_2017-2024'!$G1171=2024,1,0)</f>
        <v>1</v>
      </c>
      <c r="L1171" s="2">
        <f t="shared" si="36"/>
        <v>0</v>
      </c>
      <c r="M1171" s="2">
        <v>200</v>
      </c>
      <c r="N1171" s="2">
        <f t="shared" si="37"/>
        <v>0.49099999999999999</v>
      </c>
      <c r="O1171" s="2" t="s">
        <v>2114</v>
      </c>
      <c r="P1171" s="2" t="s">
        <v>2114</v>
      </c>
      <c r="Q1171" s="2" t="s">
        <v>2109</v>
      </c>
      <c r="R1171" s="3" t="s">
        <v>41</v>
      </c>
      <c r="S1171" s="2" t="s">
        <v>25</v>
      </c>
      <c r="T1171" s="2" t="s">
        <v>57</v>
      </c>
    </row>
    <row r="1172" spans="1:20" x14ac:dyDescent="0.2">
      <c r="A1172" s="2">
        <v>8095</v>
      </c>
      <c r="B1172" s="2" t="s">
        <v>1997</v>
      </c>
      <c r="C1172" s="2" t="s">
        <v>1998</v>
      </c>
      <c r="D1172" s="2" t="s">
        <v>185</v>
      </c>
      <c r="E1172" s="2" t="s">
        <v>20</v>
      </c>
      <c r="F1172" s="2">
        <v>2024</v>
      </c>
      <c r="G1172" s="2">
        <v>2024</v>
      </c>
      <c r="H1172" s="2">
        <f>'mpi_dataset_summary_2017-2024'!$G1172-'mpi_dataset_summary_2017-2024'!$F1172+1</f>
        <v>1</v>
      </c>
      <c r="I1172" s="2" t="s">
        <v>2111</v>
      </c>
      <c r="J1172" s="2" t="s">
        <v>2111</v>
      </c>
      <c r="K1172" s="2">
        <f>IF('mpi_dataset_summary_2017-2024'!$G1172=2024,1,0)</f>
        <v>1</v>
      </c>
      <c r="L1172" s="2">
        <f t="shared" si="36"/>
        <v>0</v>
      </c>
      <c r="M1172" s="2">
        <v>104</v>
      </c>
      <c r="N1172" s="2">
        <f t="shared" si="37"/>
        <v>0.36099999999999999</v>
      </c>
      <c r="O1172" s="2">
        <v>46.001300999999998</v>
      </c>
      <c r="P1172" s="2">
        <v>-60.958168000000001</v>
      </c>
      <c r="Q1172" s="2" t="s">
        <v>2107</v>
      </c>
      <c r="R1172" s="3" t="s">
        <v>41</v>
      </c>
      <c r="S1172" s="2" t="s">
        <v>22</v>
      </c>
      <c r="T1172" s="2" t="s">
        <v>42</v>
      </c>
    </row>
    <row r="1173" spans="1:20" x14ac:dyDescent="0.2">
      <c r="A1173" s="2">
        <v>8106</v>
      </c>
      <c r="B1173" s="2" t="s">
        <v>1999</v>
      </c>
      <c r="C1173" s="2" t="s">
        <v>2000</v>
      </c>
      <c r="D1173" s="2" t="s">
        <v>185</v>
      </c>
      <c r="E1173" s="2" t="s">
        <v>20</v>
      </c>
      <c r="F1173" s="2">
        <v>2024</v>
      </c>
      <c r="G1173" s="2">
        <v>2024</v>
      </c>
      <c r="H1173" s="2">
        <f>'mpi_dataset_summary_2017-2024'!$G1173-'mpi_dataset_summary_2017-2024'!$F1173+1</f>
        <v>1</v>
      </c>
      <c r="I1173" s="2" t="s">
        <v>2113</v>
      </c>
      <c r="J1173" s="2" t="s">
        <v>2113</v>
      </c>
      <c r="K1173" s="2">
        <f>IF('mpi_dataset_summary_2017-2024'!$G1173=2024,1,0)</f>
        <v>1</v>
      </c>
      <c r="L1173" s="2">
        <f t="shared" si="36"/>
        <v>0</v>
      </c>
      <c r="M1173" s="2">
        <v>354</v>
      </c>
      <c r="N1173" s="2">
        <f t="shared" si="37"/>
        <v>0.61699999999999999</v>
      </c>
      <c r="O1173" s="2" t="s">
        <v>2114</v>
      </c>
      <c r="P1173" s="2" t="s">
        <v>2114</v>
      </c>
      <c r="Q1173" s="2" t="s">
        <v>2108</v>
      </c>
      <c r="R1173" s="3" t="s">
        <v>49</v>
      </c>
      <c r="S1173" s="2" t="s">
        <v>25</v>
      </c>
      <c r="T1173" s="2" t="s">
        <v>50</v>
      </c>
    </row>
    <row r="1174" spans="1:20" x14ac:dyDescent="0.2">
      <c r="A1174" s="2">
        <v>8107</v>
      </c>
      <c r="B1174" s="2" t="s">
        <v>278</v>
      </c>
      <c r="C1174" s="2" t="s">
        <v>2001</v>
      </c>
      <c r="D1174" s="2" t="s">
        <v>161</v>
      </c>
      <c r="E1174" s="2" t="s">
        <v>43</v>
      </c>
      <c r="F1174" s="2">
        <v>2024</v>
      </c>
      <c r="G1174" s="2">
        <v>2024</v>
      </c>
      <c r="H1174" s="2">
        <f>'mpi_dataset_summary_2017-2024'!$G1174-'mpi_dataset_summary_2017-2024'!$F1174+1</f>
        <v>1</v>
      </c>
      <c r="I1174" s="2" t="s">
        <v>2111</v>
      </c>
      <c r="J1174" s="2" t="s">
        <v>2111</v>
      </c>
      <c r="K1174" s="2">
        <f>IF('mpi_dataset_summary_2017-2024'!$G1174=2024,1,0)</f>
        <v>1</v>
      </c>
      <c r="L1174" s="2">
        <f t="shared" si="36"/>
        <v>0</v>
      </c>
      <c r="M1174" s="2">
        <v>1000</v>
      </c>
      <c r="N1174" s="2">
        <f t="shared" si="37"/>
        <v>0.80500000000000005</v>
      </c>
      <c r="O1174" s="2">
        <v>43.149099999999997</v>
      </c>
      <c r="P1174" s="2">
        <v>-79.044420000000002</v>
      </c>
      <c r="Q1174" s="2" t="s">
        <v>2108</v>
      </c>
      <c r="R1174" s="3" t="s">
        <v>24</v>
      </c>
      <c r="S1174" s="2" t="s">
        <v>25</v>
      </c>
      <c r="T1174" s="2" t="s">
        <v>26</v>
      </c>
    </row>
    <row r="1175" spans="1:20" x14ac:dyDescent="0.2">
      <c r="A1175" s="2">
        <v>8108</v>
      </c>
      <c r="B1175" s="2" t="s">
        <v>278</v>
      </c>
      <c r="C1175" s="2" t="s">
        <v>2002</v>
      </c>
      <c r="D1175" s="2" t="s">
        <v>161</v>
      </c>
      <c r="E1175" s="2" t="s">
        <v>43</v>
      </c>
      <c r="F1175" s="2">
        <v>2024</v>
      </c>
      <c r="G1175" s="2">
        <v>2024</v>
      </c>
      <c r="H1175" s="2">
        <f>'mpi_dataset_summary_2017-2024'!$G1175-'mpi_dataset_summary_2017-2024'!$F1175+1</f>
        <v>1</v>
      </c>
      <c r="I1175" s="2" t="s">
        <v>2111</v>
      </c>
      <c r="J1175" s="2" t="s">
        <v>2111</v>
      </c>
      <c r="K1175" s="2">
        <f>IF('mpi_dataset_summary_2017-2024'!$G1175=2024,1,0)</f>
        <v>1</v>
      </c>
      <c r="L1175" s="2">
        <f t="shared" si="36"/>
        <v>0</v>
      </c>
      <c r="M1175" s="2">
        <v>600</v>
      </c>
      <c r="N1175" s="2">
        <f t="shared" si="37"/>
        <v>0.71399999999999997</v>
      </c>
      <c r="O1175" s="2">
        <v>45.009619999999998</v>
      </c>
      <c r="P1175" s="2">
        <v>-74.787649999999999</v>
      </c>
      <c r="Q1175" s="2" t="s">
        <v>2108</v>
      </c>
      <c r="R1175" s="3" t="s">
        <v>24</v>
      </c>
      <c r="S1175" s="2" t="s">
        <v>25</v>
      </c>
      <c r="T1175" s="2" t="s">
        <v>45</v>
      </c>
    </row>
    <row r="1176" spans="1:20" x14ac:dyDescent="0.2">
      <c r="A1176" s="2">
        <v>8115</v>
      </c>
      <c r="B1176" s="2" t="s">
        <v>1308</v>
      </c>
      <c r="C1176" s="2" t="s">
        <v>2003</v>
      </c>
      <c r="D1176" s="2" t="s">
        <v>161</v>
      </c>
      <c r="E1176" s="2" t="s">
        <v>20</v>
      </c>
      <c r="F1176" s="2">
        <v>2024</v>
      </c>
      <c r="G1176" s="2">
        <v>2024</v>
      </c>
      <c r="H1176" s="2">
        <f>'mpi_dataset_summary_2017-2024'!$G1176-'mpi_dataset_summary_2017-2024'!$F1176+1</f>
        <v>1</v>
      </c>
      <c r="I1176" s="2" t="s">
        <v>2111</v>
      </c>
      <c r="J1176" s="2" t="s">
        <v>2111</v>
      </c>
      <c r="K1176" s="2">
        <f>IF('mpi_dataset_summary_2017-2024'!$G1176=2024,1,0)</f>
        <v>1</v>
      </c>
      <c r="L1176" s="2">
        <f t="shared" si="36"/>
        <v>0</v>
      </c>
      <c r="M1176" s="2">
        <v>750</v>
      </c>
      <c r="N1176" s="2">
        <f t="shared" si="37"/>
        <v>0.75700000000000001</v>
      </c>
      <c r="O1176" s="2">
        <v>44.14855</v>
      </c>
      <c r="P1176" s="2">
        <v>-76.840130000000002</v>
      </c>
      <c r="Q1176" s="2" t="s">
        <v>2108</v>
      </c>
      <c r="R1176" s="3" t="s">
        <v>49</v>
      </c>
      <c r="S1176" s="2" t="s">
        <v>25</v>
      </c>
      <c r="T1176" s="2" t="s">
        <v>50</v>
      </c>
    </row>
    <row r="1177" spans="1:20" x14ac:dyDescent="0.2">
      <c r="A1177" s="2">
        <v>8130</v>
      </c>
      <c r="B1177" s="2" t="s">
        <v>1247</v>
      </c>
      <c r="C1177" s="2" t="s">
        <v>2004</v>
      </c>
      <c r="D1177" s="2" t="s">
        <v>161</v>
      </c>
      <c r="E1177" s="2" t="s">
        <v>43</v>
      </c>
      <c r="F1177" s="2">
        <v>2024</v>
      </c>
      <c r="G1177" s="2">
        <v>2024</v>
      </c>
      <c r="H1177" s="2">
        <f>'mpi_dataset_summary_2017-2024'!$G1177-'mpi_dataset_summary_2017-2024'!$F1177+1</f>
        <v>1</v>
      </c>
      <c r="I1177" s="2" t="s">
        <v>2111</v>
      </c>
      <c r="J1177" s="2" t="s">
        <v>2111</v>
      </c>
      <c r="K1177" s="2">
        <f>IF('mpi_dataset_summary_2017-2024'!$G1177=2024,1,0)</f>
        <v>1</v>
      </c>
      <c r="L1177" s="2">
        <f t="shared" si="36"/>
        <v>0</v>
      </c>
      <c r="M1177" s="2">
        <v>800</v>
      </c>
      <c r="N1177" s="2">
        <f t="shared" si="37"/>
        <v>0.77700000000000002</v>
      </c>
      <c r="O1177" s="2">
        <v>42.959389999999999</v>
      </c>
      <c r="P1177" s="2">
        <v>-81.62679</v>
      </c>
      <c r="Q1177" s="2" t="s">
        <v>2108</v>
      </c>
      <c r="R1177" s="3" t="s">
        <v>27</v>
      </c>
      <c r="S1177" s="2" t="s">
        <v>25</v>
      </c>
      <c r="T1177" s="2" t="s">
        <v>28</v>
      </c>
    </row>
    <row r="1178" spans="1:20" x14ac:dyDescent="0.2">
      <c r="A1178" s="2">
        <v>8131</v>
      </c>
      <c r="B1178" s="2" t="s">
        <v>1247</v>
      </c>
      <c r="C1178" s="2" t="s">
        <v>2005</v>
      </c>
      <c r="D1178" s="2" t="s">
        <v>161</v>
      </c>
      <c r="E1178" s="2" t="s">
        <v>43</v>
      </c>
      <c r="F1178" s="2">
        <v>2024</v>
      </c>
      <c r="G1178" s="2">
        <v>2024</v>
      </c>
      <c r="H1178" s="2">
        <f>'mpi_dataset_summary_2017-2024'!$G1178-'mpi_dataset_summary_2017-2024'!$F1178+1</f>
        <v>1</v>
      </c>
      <c r="I1178" s="2" t="s">
        <v>2111</v>
      </c>
      <c r="J1178" s="2" t="s">
        <v>2111</v>
      </c>
      <c r="K1178" s="2">
        <f>IF('mpi_dataset_summary_2017-2024'!$G1178=2024,1,0)</f>
        <v>1</v>
      </c>
      <c r="L1178" s="2">
        <f t="shared" si="36"/>
        <v>0</v>
      </c>
      <c r="M1178" s="2">
        <v>800</v>
      </c>
      <c r="N1178" s="2">
        <f t="shared" si="37"/>
        <v>0.77700000000000002</v>
      </c>
      <c r="O1178" s="2">
        <v>42.959389999999999</v>
      </c>
      <c r="P1178" s="2">
        <v>-81.62679</v>
      </c>
      <c r="Q1178" s="2" t="s">
        <v>2108</v>
      </c>
      <c r="R1178" s="3" t="s">
        <v>27</v>
      </c>
      <c r="S1178" s="2" t="s">
        <v>25</v>
      </c>
      <c r="T1178" s="2" t="s">
        <v>28</v>
      </c>
    </row>
    <row r="1179" spans="1:20" x14ac:dyDescent="0.2">
      <c r="A1179" s="2">
        <v>8132</v>
      </c>
      <c r="B1179" s="2" t="s">
        <v>1247</v>
      </c>
      <c r="C1179" s="2" t="s">
        <v>2006</v>
      </c>
      <c r="D1179" s="2" t="s">
        <v>161</v>
      </c>
      <c r="E1179" s="2" t="s">
        <v>43</v>
      </c>
      <c r="F1179" s="2">
        <v>2024</v>
      </c>
      <c r="G1179" s="2">
        <v>2024</v>
      </c>
      <c r="H1179" s="2">
        <f>'mpi_dataset_summary_2017-2024'!$G1179-'mpi_dataset_summary_2017-2024'!$F1179+1</f>
        <v>1</v>
      </c>
      <c r="I1179" s="2" t="s">
        <v>2111</v>
      </c>
      <c r="J1179" s="2" t="s">
        <v>2111</v>
      </c>
      <c r="K1179" s="2">
        <f>IF('mpi_dataset_summary_2017-2024'!$G1179=2024,1,0)</f>
        <v>1</v>
      </c>
      <c r="L1179" s="2">
        <f t="shared" si="36"/>
        <v>0</v>
      </c>
      <c r="M1179" s="2">
        <v>230</v>
      </c>
      <c r="N1179" s="2">
        <f t="shared" si="37"/>
        <v>0.52400000000000002</v>
      </c>
      <c r="O1179" s="2">
        <v>46.42</v>
      </c>
      <c r="P1179" s="2">
        <v>-83.388300000000001</v>
      </c>
      <c r="Q1179" s="2" t="s">
        <v>2108</v>
      </c>
      <c r="R1179" s="3" t="s">
        <v>35</v>
      </c>
      <c r="S1179" s="2" t="s">
        <v>22</v>
      </c>
      <c r="T1179" s="2" t="s">
        <v>36</v>
      </c>
    </row>
    <row r="1180" spans="1:20" x14ac:dyDescent="0.2">
      <c r="A1180" s="2">
        <v>8133</v>
      </c>
      <c r="B1180" s="2" t="s">
        <v>1247</v>
      </c>
      <c r="C1180" s="2" t="s">
        <v>2007</v>
      </c>
      <c r="D1180" s="2" t="s">
        <v>161</v>
      </c>
      <c r="E1180" s="2" t="s">
        <v>43</v>
      </c>
      <c r="F1180" s="2">
        <v>2024</v>
      </c>
      <c r="G1180" s="2">
        <v>2024</v>
      </c>
      <c r="H1180" s="2">
        <f>'mpi_dataset_summary_2017-2024'!$G1180-'mpi_dataset_summary_2017-2024'!$F1180+1</f>
        <v>1</v>
      </c>
      <c r="I1180" s="2" t="s">
        <v>2111</v>
      </c>
      <c r="J1180" s="2" t="s">
        <v>2111</v>
      </c>
      <c r="K1180" s="2">
        <f>IF('mpi_dataset_summary_2017-2024'!$G1180=2024,1,0)</f>
        <v>1</v>
      </c>
      <c r="L1180" s="2">
        <f t="shared" si="36"/>
        <v>0</v>
      </c>
      <c r="M1180" s="2">
        <v>650</v>
      </c>
      <c r="N1180" s="2">
        <f t="shared" si="37"/>
        <v>0.73299999999999998</v>
      </c>
      <c r="O1180" s="2">
        <v>46.42</v>
      </c>
      <c r="P1180" s="2">
        <v>-83.388300000000001</v>
      </c>
      <c r="Q1180" s="2" t="s">
        <v>2108</v>
      </c>
      <c r="R1180" s="3" t="s">
        <v>35</v>
      </c>
      <c r="S1180" s="2" t="s">
        <v>22</v>
      </c>
      <c r="T1180" s="2" t="s">
        <v>36</v>
      </c>
    </row>
    <row r="1181" spans="1:20" x14ac:dyDescent="0.2">
      <c r="A1181" s="2">
        <v>8134</v>
      </c>
      <c r="B1181" s="2" t="s">
        <v>1247</v>
      </c>
      <c r="C1181" s="2" t="s">
        <v>2008</v>
      </c>
      <c r="D1181" s="2" t="s">
        <v>161</v>
      </c>
      <c r="E1181" s="2" t="s">
        <v>43</v>
      </c>
      <c r="F1181" s="2">
        <v>2024</v>
      </c>
      <c r="G1181" s="2">
        <v>2024</v>
      </c>
      <c r="H1181" s="2">
        <f>'mpi_dataset_summary_2017-2024'!$G1181-'mpi_dataset_summary_2017-2024'!$F1181+1</f>
        <v>1</v>
      </c>
      <c r="I1181" s="2" t="s">
        <v>2111</v>
      </c>
      <c r="J1181" s="2" t="s">
        <v>2111</v>
      </c>
      <c r="K1181" s="2">
        <f>IF('mpi_dataset_summary_2017-2024'!$G1181=2024,1,0)</f>
        <v>1</v>
      </c>
      <c r="L1181" s="2">
        <f t="shared" si="36"/>
        <v>0</v>
      </c>
      <c r="M1181" s="2">
        <v>298</v>
      </c>
      <c r="N1181" s="2">
        <f t="shared" si="37"/>
        <v>0.57199999999999995</v>
      </c>
      <c r="O1181" s="2">
        <v>43.852400000000003</v>
      </c>
      <c r="P1181" s="2">
        <v>-79.113900000000001</v>
      </c>
      <c r="Q1181" s="2" t="s">
        <v>2108</v>
      </c>
      <c r="R1181" s="3" t="s">
        <v>35</v>
      </c>
      <c r="S1181" s="2" t="s">
        <v>22</v>
      </c>
      <c r="T1181" s="2" t="s">
        <v>36</v>
      </c>
    </row>
    <row r="1182" spans="1:20" x14ac:dyDescent="0.2">
      <c r="A1182" s="2">
        <v>8135</v>
      </c>
      <c r="B1182" s="2" t="s">
        <v>1599</v>
      </c>
      <c r="C1182" s="2" t="s">
        <v>2009</v>
      </c>
      <c r="D1182" s="2" t="s">
        <v>161</v>
      </c>
      <c r="E1182" s="2" t="s">
        <v>20</v>
      </c>
      <c r="F1182" s="2">
        <v>2024</v>
      </c>
      <c r="G1182" s="2">
        <v>2024</v>
      </c>
      <c r="H1182" s="2">
        <f>'mpi_dataset_summary_2017-2024'!$G1182-'mpi_dataset_summary_2017-2024'!$F1182+1</f>
        <v>1</v>
      </c>
      <c r="I1182" s="2" t="s">
        <v>2111</v>
      </c>
      <c r="J1182" s="2" t="s">
        <v>2111</v>
      </c>
      <c r="K1182" s="2">
        <f>IF('mpi_dataset_summary_2017-2024'!$G1182=2024,1,0)</f>
        <v>1</v>
      </c>
      <c r="L1182" s="2">
        <f t="shared" si="36"/>
        <v>0</v>
      </c>
      <c r="M1182" s="2">
        <v>650</v>
      </c>
      <c r="N1182" s="2">
        <f t="shared" si="37"/>
        <v>0.73299999999999998</v>
      </c>
      <c r="O1182" s="2">
        <v>47.885141900000001</v>
      </c>
      <c r="P1182" s="2">
        <v>-84.546938999999995</v>
      </c>
      <c r="Q1182" s="2" t="s">
        <v>2108</v>
      </c>
      <c r="R1182" s="3" t="s">
        <v>41</v>
      </c>
      <c r="S1182" s="2" t="s">
        <v>25</v>
      </c>
      <c r="T1182" s="2" t="s">
        <v>46</v>
      </c>
    </row>
    <row r="1183" spans="1:20" x14ac:dyDescent="0.2">
      <c r="A1183" s="2">
        <v>8136</v>
      </c>
      <c r="B1183" s="2" t="s">
        <v>1247</v>
      </c>
      <c r="C1183" s="2" t="s">
        <v>2010</v>
      </c>
      <c r="D1183" s="2" t="s">
        <v>161</v>
      </c>
      <c r="E1183" s="2" t="s">
        <v>43</v>
      </c>
      <c r="F1183" s="2">
        <v>2024</v>
      </c>
      <c r="G1183" s="2">
        <v>2024</v>
      </c>
      <c r="H1183" s="2">
        <f>'mpi_dataset_summary_2017-2024'!$G1183-'mpi_dataset_summary_2017-2024'!$F1183+1</f>
        <v>1</v>
      </c>
      <c r="I1183" s="2" t="s">
        <v>2111</v>
      </c>
      <c r="J1183" s="2" t="s">
        <v>2111</v>
      </c>
      <c r="K1183" s="2">
        <f>IF('mpi_dataset_summary_2017-2024'!$G1183=2024,1,0)</f>
        <v>1</v>
      </c>
      <c r="L1183" s="2">
        <f t="shared" si="36"/>
        <v>0</v>
      </c>
      <c r="M1183" s="2">
        <v>381</v>
      </c>
      <c r="N1183" s="2">
        <f t="shared" si="37"/>
        <v>0.629</v>
      </c>
      <c r="O1183" s="2">
        <v>42.939619999999998</v>
      </c>
      <c r="P1183" s="2">
        <v>-81.160509000000005</v>
      </c>
      <c r="Q1183" s="2" t="s">
        <v>2108</v>
      </c>
      <c r="R1183" s="3" t="s">
        <v>35</v>
      </c>
      <c r="S1183" s="2" t="s">
        <v>22</v>
      </c>
      <c r="T1183" s="2" t="s">
        <v>36</v>
      </c>
    </row>
    <row r="1184" spans="1:20" x14ac:dyDescent="0.2">
      <c r="A1184" s="2">
        <v>8137</v>
      </c>
      <c r="B1184" s="2" t="s">
        <v>2011</v>
      </c>
      <c r="C1184" s="2" t="s">
        <v>2012</v>
      </c>
      <c r="D1184" s="2" t="s">
        <v>161</v>
      </c>
      <c r="E1184" s="2" t="s">
        <v>20</v>
      </c>
      <c r="F1184" s="2">
        <v>2024</v>
      </c>
      <c r="G1184" s="2">
        <v>2024</v>
      </c>
      <c r="H1184" s="2">
        <f>'mpi_dataset_summary_2017-2024'!$G1184-'mpi_dataset_summary_2017-2024'!$F1184+1</f>
        <v>1</v>
      </c>
      <c r="I1184" s="2" t="s">
        <v>2111</v>
      </c>
      <c r="J1184" s="2" t="s">
        <v>2111</v>
      </c>
      <c r="K1184" s="2">
        <f>IF('mpi_dataset_summary_2017-2024'!$G1184=2024,1,0)</f>
        <v>1</v>
      </c>
      <c r="L1184" s="2">
        <f t="shared" si="36"/>
        <v>0</v>
      </c>
      <c r="M1184" s="2">
        <v>188</v>
      </c>
      <c r="N1184" s="2">
        <f t="shared" si="37"/>
        <v>0.48</v>
      </c>
      <c r="O1184" s="2">
        <v>46.527383</v>
      </c>
      <c r="P1184" s="2">
        <v>-84.390652000000003</v>
      </c>
      <c r="Q1184" s="2" t="s">
        <v>2108</v>
      </c>
      <c r="R1184" s="3" t="s">
        <v>41</v>
      </c>
      <c r="S1184" s="2" t="s">
        <v>25</v>
      </c>
      <c r="T1184" s="2" t="s">
        <v>46</v>
      </c>
    </row>
    <row r="1185" spans="1:20" x14ac:dyDescent="0.2">
      <c r="A1185" s="2">
        <v>8144</v>
      </c>
      <c r="B1185" s="2" t="s">
        <v>2013</v>
      </c>
      <c r="C1185" s="2" t="s">
        <v>2014</v>
      </c>
      <c r="D1185" s="2" t="s">
        <v>89</v>
      </c>
      <c r="E1185" s="2" t="s">
        <v>20</v>
      </c>
      <c r="F1185" s="2">
        <v>2024</v>
      </c>
      <c r="G1185" s="2">
        <v>2024</v>
      </c>
      <c r="H1185" s="2">
        <f>'mpi_dataset_summary_2017-2024'!$G1185-'mpi_dataset_summary_2017-2024'!$F1185+1</f>
        <v>1</v>
      </c>
      <c r="I1185" s="2" t="s">
        <v>2111</v>
      </c>
      <c r="J1185" s="2" t="s">
        <v>2111</v>
      </c>
      <c r="K1185" s="2">
        <f>IF('mpi_dataset_summary_2017-2024'!$G1185=2024,1,0)</f>
        <v>1</v>
      </c>
      <c r="L1185" s="2">
        <f t="shared" si="36"/>
        <v>0</v>
      </c>
      <c r="M1185" s="2">
        <v>60.2</v>
      </c>
      <c r="N1185" s="2">
        <f t="shared" si="37"/>
        <v>0.26</v>
      </c>
      <c r="O1185" s="2" t="s">
        <v>2114</v>
      </c>
      <c r="P1185" s="2" t="s">
        <v>2114</v>
      </c>
      <c r="Q1185" s="2" t="s">
        <v>2108</v>
      </c>
      <c r="R1185" s="3" t="s">
        <v>27</v>
      </c>
      <c r="S1185" s="2" t="s">
        <v>25</v>
      </c>
      <c r="T1185" s="2" t="s">
        <v>28</v>
      </c>
    </row>
    <row r="1186" spans="1:20" x14ac:dyDescent="0.2">
      <c r="A1186" s="2">
        <v>8145</v>
      </c>
      <c r="B1186" s="2" t="s">
        <v>214</v>
      </c>
      <c r="C1186" s="2" t="s">
        <v>2015</v>
      </c>
      <c r="D1186" s="2" t="s">
        <v>89</v>
      </c>
      <c r="E1186" s="2" t="s">
        <v>43</v>
      </c>
      <c r="F1186" s="2">
        <v>2024</v>
      </c>
      <c r="G1186" s="2">
        <v>2024</v>
      </c>
      <c r="H1186" s="2">
        <f>'mpi_dataset_summary_2017-2024'!$G1186-'mpi_dataset_summary_2017-2024'!$F1186+1</f>
        <v>1</v>
      </c>
      <c r="I1186" s="2" t="s">
        <v>2110</v>
      </c>
      <c r="J1186" s="2" t="s">
        <v>2110</v>
      </c>
      <c r="K1186" s="2">
        <f>IF('mpi_dataset_summary_2017-2024'!$G1186=2024,1,0)</f>
        <v>1</v>
      </c>
      <c r="L1186" s="2">
        <f t="shared" si="36"/>
        <v>1</v>
      </c>
      <c r="M1186" s="2">
        <v>95.1</v>
      </c>
      <c r="N1186" s="2">
        <f t="shared" si="37"/>
        <v>0.33700000000000002</v>
      </c>
      <c r="O1186" s="2" t="s">
        <v>2114</v>
      </c>
      <c r="P1186" s="2" t="s">
        <v>2114</v>
      </c>
      <c r="Q1186" s="2" t="s">
        <v>2108</v>
      </c>
      <c r="R1186" s="3" t="s">
        <v>24</v>
      </c>
      <c r="S1186" s="2" t="s">
        <v>25</v>
      </c>
      <c r="T1186" s="2" t="s">
        <v>26</v>
      </c>
    </row>
    <row r="1187" spans="1:20" x14ac:dyDescent="0.2">
      <c r="A1187" s="2">
        <v>8146</v>
      </c>
      <c r="B1187" s="2" t="s">
        <v>214</v>
      </c>
      <c r="C1187" s="2" t="s">
        <v>2016</v>
      </c>
      <c r="D1187" s="2" t="s">
        <v>89</v>
      </c>
      <c r="E1187" s="2" t="s">
        <v>43</v>
      </c>
      <c r="F1187" s="2">
        <v>2024</v>
      </c>
      <c r="G1187" s="2">
        <v>2024</v>
      </c>
      <c r="H1187" s="2">
        <f>'mpi_dataset_summary_2017-2024'!$G1187-'mpi_dataset_summary_2017-2024'!$F1187+1</f>
        <v>1</v>
      </c>
      <c r="I1187" s="2" t="s">
        <v>2110</v>
      </c>
      <c r="J1187" s="2" t="s">
        <v>2110</v>
      </c>
      <c r="K1187" s="2">
        <f>IF('mpi_dataset_summary_2017-2024'!$G1187=2024,1,0)</f>
        <v>1</v>
      </c>
      <c r="L1187" s="2">
        <f t="shared" si="36"/>
        <v>1</v>
      </c>
      <c r="M1187" s="2">
        <v>115</v>
      </c>
      <c r="N1187" s="2">
        <f t="shared" si="37"/>
        <v>0.38100000000000001</v>
      </c>
      <c r="O1187" s="2" t="s">
        <v>2114</v>
      </c>
      <c r="P1187" s="2" t="s">
        <v>2114</v>
      </c>
      <c r="Q1187" s="2" t="s">
        <v>2108</v>
      </c>
      <c r="R1187" s="3" t="s">
        <v>35</v>
      </c>
      <c r="S1187" s="2" t="s">
        <v>22</v>
      </c>
      <c r="T1187" s="2" t="s">
        <v>45</v>
      </c>
    </row>
    <row r="1188" spans="1:20" x14ac:dyDescent="0.2">
      <c r="A1188" s="2">
        <v>8147</v>
      </c>
      <c r="B1188" s="2" t="s">
        <v>214</v>
      </c>
      <c r="C1188" s="2" t="s">
        <v>2017</v>
      </c>
      <c r="D1188" s="2" t="s">
        <v>89</v>
      </c>
      <c r="E1188" s="2" t="s">
        <v>43</v>
      </c>
      <c r="F1188" s="2">
        <v>2024</v>
      </c>
      <c r="G1188" s="2">
        <v>2024</v>
      </c>
      <c r="H1188" s="2">
        <f>'mpi_dataset_summary_2017-2024'!$G1188-'mpi_dataset_summary_2017-2024'!$F1188+1</f>
        <v>1</v>
      </c>
      <c r="I1188" s="2" t="s">
        <v>2110</v>
      </c>
      <c r="J1188" s="2" t="s">
        <v>2110</v>
      </c>
      <c r="K1188" s="2">
        <f>IF('mpi_dataset_summary_2017-2024'!$G1188=2024,1,0)</f>
        <v>1</v>
      </c>
      <c r="L1188" s="2">
        <f t="shared" si="36"/>
        <v>1</v>
      </c>
      <c r="M1188" s="2">
        <v>79.400000000000006</v>
      </c>
      <c r="N1188" s="2">
        <f t="shared" si="37"/>
        <v>0.30399999999999999</v>
      </c>
      <c r="O1188" s="2" t="s">
        <v>2114</v>
      </c>
      <c r="P1188" s="2" t="s">
        <v>2114</v>
      </c>
      <c r="Q1188" s="2" t="s">
        <v>2108</v>
      </c>
      <c r="R1188" s="3" t="s">
        <v>24</v>
      </c>
      <c r="S1188" s="2" t="s">
        <v>25</v>
      </c>
      <c r="T1188" s="2" t="s">
        <v>26</v>
      </c>
    </row>
    <row r="1189" spans="1:20" x14ac:dyDescent="0.2">
      <c r="A1189" s="2">
        <v>8148</v>
      </c>
      <c r="B1189" s="2" t="s">
        <v>214</v>
      </c>
      <c r="C1189" s="2" t="s">
        <v>2018</v>
      </c>
      <c r="D1189" s="2" t="s">
        <v>89</v>
      </c>
      <c r="E1189" s="2" t="s">
        <v>43</v>
      </c>
      <c r="F1189" s="2">
        <v>2024</v>
      </c>
      <c r="G1189" s="2">
        <v>2024</v>
      </c>
      <c r="H1189" s="2">
        <f>'mpi_dataset_summary_2017-2024'!$G1189-'mpi_dataset_summary_2017-2024'!$F1189+1</f>
        <v>1</v>
      </c>
      <c r="I1189" s="2" t="s">
        <v>2110</v>
      </c>
      <c r="J1189" s="2" t="s">
        <v>2110</v>
      </c>
      <c r="K1189" s="2">
        <f>IF('mpi_dataset_summary_2017-2024'!$G1189=2024,1,0)</f>
        <v>1</v>
      </c>
      <c r="L1189" s="2">
        <f t="shared" si="36"/>
        <v>1</v>
      </c>
      <c r="M1189" s="2">
        <v>60</v>
      </c>
      <c r="N1189" s="2">
        <f t="shared" si="37"/>
        <v>0.254</v>
      </c>
      <c r="O1189" s="2" t="s">
        <v>2114</v>
      </c>
      <c r="P1189" s="2" t="s">
        <v>2114</v>
      </c>
      <c r="Q1189" s="2" t="s">
        <v>2108</v>
      </c>
      <c r="R1189" s="3" t="s">
        <v>24</v>
      </c>
      <c r="S1189" s="2" t="s">
        <v>25</v>
      </c>
      <c r="T1189" s="2" t="s">
        <v>26</v>
      </c>
    </row>
    <row r="1190" spans="1:20" x14ac:dyDescent="0.2">
      <c r="A1190" s="2">
        <v>8169</v>
      </c>
      <c r="B1190" s="2" t="s">
        <v>2019</v>
      </c>
      <c r="C1190" s="2" t="s">
        <v>2020</v>
      </c>
      <c r="D1190" s="2" t="s">
        <v>89</v>
      </c>
      <c r="E1190" s="2" t="s">
        <v>43</v>
      </c>
      <c r="F1190" s="2">
        <v>2024</v>
      </c>
      <c r="G1190" s="2">
        <v>2024</v>
      </c>
      <c r="H1190" s="2">
        <f>'mpi_dataset_summary_2017-2024'!$G1190-'mpi_dataset_summary_2017-2024'!$F1190+1</f>
        <v>1</v>
      </c>
      <c r="I1190" s="2" t="s">
        <v>2111</v>
      </c>
      <c r="J1190" s="2" t="s">
        <v>2111</v>
      </c>
      <c r="K1190" s="2">
        <f>IF('mpi_dataset_summary_2017-2024'!$G1190=2024,1,0)</f>
        <v>1</v>
      </c>
      <c r="L1190" s="2">
        <f t="shared" si="36"/>
        <v>0</v>
      </c>
      <c r="M1190" s="2">
        <v>9000</v>
      </c>
      <c r="N1190" s="2">
        <f t="shared" si="37"/>
        <v>0.97399999999999998</v>
      </c>
      <c r="O1190" s="2" t="s">
        <v>2114</v>
      </c>
      <c r="P1190" s="2" t="s">
        <v>2114</v>
      </c>
      <c r="Q1190" s="2" t="s">
        <v>2108</v>
      </c>
      <c r="R1190" s="3" t="s">
        <v>24</v>
      </c>
      <c r="S1190" s="2" t="s">
        <v>25</v>
      </c>
      <c r="T1190" s="2" t="s">
        <v>26</v>
      </c>
    </row>
    <row r="1191" spans="1:20" x14ac:dyDescent="0.2">
      <c r="A1191" s="2">
        <v>8170</v>
      </c>
      <c r="B1191" s="2" t="s">
        <v>2021</v>
      </c>
      <c r="C1191" s="2" t="s">
        <v>2022</v>
      </c>
      <c r="D1191" s="2" t="s">
        <v>89</v>
      </c>
      <c r="E1191" s="2" t="s">
        <v>20</v>
      </c>
      <c r="F1191" s="2">
        <v>2024</v>
      </c>
      <c r="G1191" s="2">
        <v>2024</v>
      </c>
      <c r="H1191" s="2">
        <f>'mpi_dataset_summary_2017-2024'!$G1191-'mpi_dataset_summary_2017-2024'!$F1191+1</f>
        <v>1</v>
      </c>
      <c r="I1191" s="2" t="s">
        <v>2111</v>
      </c>
      <c r="J1191" s="2" t="s">
        <v>2111</v>
      </c>
      <c r="K1191" s="2">
        <f>IF('mpi_dataset_summary_2017-2024'!$G1191=2024,1,0)</f>
        <v>1</v>
      </c>
      <c r="L1191" s="2">
        <f t="shared" si="36"/>
        <v>0</v>
      </c>
      <c r="M1191" s="2">
        <v>400</v>
      </c>
      <c r="N1191" s="2">
        <f t="shared" si="37"/>
        <v>0.63500000000000001</v>
      </c>
      <c r="O1191" s="2" t="s">
        <v>2114</v>
      </c>
      <c r="P1191" s="2" t="s">
        <v>2114</v>
      </c>
      <c r="Q1191" s="2" t="s">
        <v>2108</v>
      </c>
      <c r="R1191" s="3" t="s">
        <v>24</v>
      </c>
      <c r="S1191" s="2" t="s">
        <v>25</v>
      </c>
      <c r="T1191" s="2" t="s">
        <v>26</v>
      </c>
    </row>
    <row r="1192" spans="1:20" x14ac:dyDescent="0.2">
      <c r="A1192" s="2">
        <v>8171</v>
      </c>
      <c r="B1192" s="2" t="s">
        <v>545</v>
      </c>
      <c r="C1192" s="2" t="s">
        <v>2023</v>
      </c>
      <c r="D1192" s="2" t="s">
        <v>89</v>
      </c>
      <c r="E1192" s="2" t="s">
        <v>20</v>
      </c>
      <c r="F1192" s="2">
        <v>2024</v>
      </c>
      <c r="G1192" s="2">
        <v>2024</v>
      </c>
      <c r="H1192" s="2">
        <f>'mpi_dataset_summary_2017-2024'!$G1192-'mpi_dataset_summary_2017-2024'!$F1192+1</f>
        <v>1</v>
      </c>
      <c r="I1192" s="2" t="s">
        <v>2111</v>
      </c>
      <c r="J1192" s="2" t="s">
        <v>2111</v>
      </c>
      <c r="K1192" s="2">
        <f>IF('mpi_dataset_summary_2017-2024'!$G1192=2024,1,0)</f>
        <v>1</v>
      </c>
      <c r="L1192" s="2">
        <f t="shared" si="36"/>
        <v>0</v>
      </c>
      <c r="M1192" s="2">
        <v>590</v>
      </c>
      <c r="N1192" s="2">
        <f t="shared" si="37"/>
        <v>0.71399999999999997</v>
      </c>
      <c r="O1192" s="2" t="s">
        <v>2114</v>
      </c>
      <c r="P1192" s="2" t="s">
        <v>2114</v>
      </c>
      <c r="Q1192" s="2" t="s">
        <v>2108</v>
      </c>
      <c r="R1192" s="3" t="s">
        <v>41</v>
      </c>
      <c r="S1192" s="2" t="s">
        <v>25</v>
      </c>
      <c r="T1192" s="2" t="s">
        <v>46</v>
      </c>
    </row>
    <row r="1193" spans="1:20" x14ac:dyDescent="0.2">
      <c r="A1193" s="2">
        <v>8172</v>
      </c>
      <c r="B1193" s="2" t="s">
        <v>545</v>
      </c>
      <c r="C1193" s="2" t="s">
        <v>2024</v>
      </c>
      <c r="D1193" s="2" t="s">
        <v>89</v>
      </c>
      <c r="E1193" s="2" t="s">
        <v>20</v>
      </c>
      <c r="F1193" s="2">
        <v>2024</v>
      </c>
      <c r="G1193" s="2">
        <v>2024</v>
      </c>
      <c r="H1193" s="2">
        <f>'mpi_dataset_summary_2017-2024'!$G1193-'mpi_dataset_summary_2017-2024'!$F1193+1</f>
        <v>1</v>
      </c>
      <c r="I1193" s="2" t="s">
        <v>2111</v>
      </c>
      <c r="J1193" s="2" t="s">
        <v>2111</v>
      </c>
      <c r="K1193" s="2">
        <f>IF('mpi_dataset_summary_2017-2024'!$G1193=2024,1,0)</f>
        <v>1</v>
      </c>
      <c r="L1193" s="2">
        <f t="shared" si="36"/>
        <v>0</v>
      </c>
      <c r="M1193" s="2">
        <v>370</v>
      </c>
      <c r="N1193" s="2">
        <f t="shared" si="37"/>
        <v>0.623</v>
      </c>
      <c r="O1193" s="2" t="s">
        <v>2114</v>
      </c>
      <c r="P1193" s="2" t="s">
        <v>2114</v>
      </c>
      <c r="Q1193" s="2" t="s">
        <v>2108</v>
      </c>
      <c r="R1193" s="3" t="s">
        <v>41</v>
      </c>
      <c r="S1193" s="2" t="s">
        <v>25</v>
      </c>
      <c r="T1193" s="2" t="s">
        <v>46</v>
      </c>
    </row>
    <row r="1194" spans="1:20" x14ac:dyDescent="0.2">
      <c r="A1194" s="2">
        <v>8173</v>
      </c>
      <c r="B1194" s="2" t="s">
        <v>545</v>
      </c>
      <c r="C1194" s="2" t="s">
        <v>2025</v>
      </c>
      <c r="D1194" s="2" t="s">
        <v>89</v>
      </c>
      <c r="E1194" s="2" t="s">
        <v>20</v>
      </c>
      <c r="F1194" s="2">
        <v>2024</v>
      </c>
      <c r="G1194" s="2">
        <v>2024</v>
      </c>
      <c r="H1194" s="2">
        <f>'mpi_dataset_summary_2017-2024'!$G1194-'mpi_dataset_summary_2017-2024'!$F1194+1</f>
        <v>1</v>
      </c>
      <c r="I1194" s="2" t="s">
        <v>2111</v>
      </c>
      <c r="J1194" s="2" t="s">
        <v>2111</v>
      </c>
      <c r="K1194" s="2">
        <f>IF('mpi_dataset_summary_2017-2024'!$G1194=2024,1,0)</f>
        <v>1</v>
      </c>
      <c r="L1194" s="2">
        <f t="shared" si="36"/>
        <v>0</v>
      </c>
      <c r="M1194" s="2">
        <v>800</v>
      </c>
      <c r="N1194" s="2">
        <f t="shared" si="37"/>
        <v>0.77700000000000002</v>
      </c>
      <c r="O1194" s="2" t="s">
        <v>2114</v>
      </c>
      <c r="P1194" s="2" t="s">
        <v>2114</v>
      </c>
      <c r="Q1194" s="2" t="s">
        <v>2108</v>
      </c>
      <c r="R1194" s="3" t="s">
        <v>41</v>
      </c>
      <c r="S1194" s="2" t="s">
        <v>25</v>
      </c>
      <c r="T1194" s="2" t="s">
        <v>46</v>
      </c>
    </row>
    <row r="1195" spans="1:20" x14ac:dyDescent="0.2">
      <c r="A1195" s="2">
        <v>8174</v>
      </c>
      <c r="B1195" s="2" t="s">
        <v>1899</v>
      </c>
      <c r="C1195" s="2" t="s">
        <v>2026</v>
      </c>
      <c r="D1195" s="2" t="s">
        <v>89</v>
      </c>
      <c r="E1195" s="2" t="s">
        <v>20</v>
      </c>
      <c r="F1195" s="2">
        <v>2024</v>
      </c>
      <c r="G1195" s="2">
        <v>2024</v>
      </c>
      <c r="H1195" s="2">
        <f>'mpi_dataset_summary_2017-2024'!$G1195-'mpi_dataset_summary_2017-2024'!$F1195+1</f>
        <v>1</v>
      </c>
      <c r="I1195" s="2" t="s">
        <v>2111</v>
      </c>
      <c r="J1195" s="2" t="s">
        <v>2111</v>
      </c>
      <c r="K1195" s="2">
        <f>IF('mpi_dataset_summary_2017-2024'!$G1195=2024,1,0)</f>
        <v>1</v>
      </c>
      <c r="L1195" s="2">
        <f t="shared" si="36"/>
        <v>0</v>
      </c>
      <c r="M1195" s="2">
        <v>950</v>
      </c>
      <c r="N1195" s="2">
        <f t="shared" si="37"/>
        <v>0.80100000000000005</v>
      </c>
      <c r="O1195" s="2" t="s">
        <v>2114</v>
      </c>
      <c r="P1195" s="2" t="s">
        <v>2114</v>
      </c>
      <c r="Q1195" s="2" t="s">
        <v>2108</v>
      </c>
      <c r="R1195" s="3" t="s">
        <v>24</v>
      </c>
      <c r="S1195" s="2" t="s">
        <v>25</v>
      </c>
      <c r="T1195" s="2" t="s">
        <v>26</v>
      </c>
    </row>
    <row r="1196" spans="1:20" x14ac:dyDescent="0.2">
      <c r="A1196" s="2">
        <v>8175</v>
      </c>
      <c r="B1196" s="2" t="s">
        <v>2027</v>
      </c>
      <c r="C1196" s="2" t="s">
        <v>2028</v>
      </c>
      <c r="D1196" s="2" t="s">
        <v>89</v>
      </c>
      <c r="E1196" s="2" t="s">
        <v>20</v>
      </c>
      <c r="F1196" s="2">
        <v>2024</v>
      </c>
      <c r="G1196" s="2">
        <v>2024</v>
      </c>
      <c r="H1196" s="2">
        <f>'mpi_dataset_summary_2017-2024'!$G1196-'mpi_dataset_summary_2017-2024'!$F1196+1</f>
        <v>1</v>
      </c>
      <c r="I1196" s="2" t="s">
        <v>2111</v>
      </c>
      <c r="J1196" s="2" t="s">
        <v>2111</v>
      </c>
      <c r="K1196" s="2">
        <f>IF('mpi_dataset_summary_2017-2024'!$G1196=2024,1,0)</f>
        <v>1</v>
      </c>
      <c r="L1196" s="2">
        <f t="shared" si="36"/>
        <v>0</v>
      </c>
      <c r="M1196" s="2">
        <v>220</v>
      </c>
      <c r="N1196" s="2">
        <f t="shared" si="37"/>
        <v>0.51900000000000002</v>
      </c>
      <c r="O1196" s="2" t="s">
        <v>2114</v>
      </c>
      <c r="P1196" s="2" t="s">
        <v>2114</v>
      </c>
      <c r="Q1196" s="2" t="s">
        <v>2108</v>
      </c>
      <c r="R1196" s="3" t="s">
        <v>41</v>
      </c>
      <c r="S1196" s="2" t="s">
        <v>25</v>
      </c>
      <c r="T1196" s="2" t="s">
        <v>46</v>
      </c>
    </row>
    <row r="1197" spans="1:20" x14ac:dyDescent="0.2">
      <c r="A1197" s="2">
        <v>8176</v>
      </c>
      <c r="B1197" s="2" t="s">
        <v>2029</v>
      </c>
      <c r="C1197" s="2" t="s">
        <v>2030</v>
      </c>
      <c r="D1197" s="2" t="s">
        <v>89</v>
      </c>
      <c r="E1197" s="2" t="s">
        <v>43</v>
      </c>
      <c r="F1197" s="2">
        <v>2024</v>
      </c>
      <c r="G1197" s="2">
        <v>2024</v>
      </c>
      <c r="H1197" s="2">
        <f>'mpi_dataset_summary_2017-2024'!$G1197-'mpi_dataset_summary_2017-2024'!$F1197+1</f>
        <v>1</v>
      </c>
      <c r="I1197" s="2" t="s">
        <v>2111</v>
      </c>
      <c r="J1197" s="2" t="s">
        <v>2111</v>
      </c>
      <c r="K1197" s="2">
        <f>IF('mpi_dataset_summary_2017-2024'!$G1197=2024,1,0)</f>
        <v>1</v>
      </c>
      <c r="L1197" s="2">
        <f t="shared" si="36"/>
        <v>0</v>
      </c>
      <c r="M1197" s="2">
        <v>1000</v>
      </c>
      <c r="N1197" s="2">
        <f t="shared" si="37"/>
        <v>0.80500000000000005</v>
      </c>
      <c r="O1197" s="2" t="s">
        <v>2114</v>
      </c>
      <c r="P1197" s="2" t="s">
        <v>2114</v>
      </c>
      <c r="Q1197" s="2" t="s">
        <v>2108</v>
      </c>
      <c r="R1197" s="3" t="s">
        <v>24</v>
      </c>
      <c r="S1197" s="2" t="s">
        <v>25</v>
      </c>
      <c r="T1197" s="2" t="s">
        <v>26</v>
      </c>
    </row>
    <row r="1198" spans="1:20" x14ac:dyDescent="0.2">
      <c r="A1198" s="2">
        <v>8177</v>
      </c>
      <c r="B1198" s="2" t="s">
        <v>2029</v>
      </c>
      <c r="C1198" s="2" t="s">
        <v>2031</v>
      </c>
      <c r="D1198" s="2" t="s">
        <v>89</v>
      </c>
      <c r="E1198" s="2" t="s">
        <v>43</v>
      </c>
      <c r="F1198" s="2">
        <v>2024</v>
      </c>
      <c r="G1198" s="2">
        <v>2024</v>
      </c>
      <c r="H1198" s="2">
        <f>'mpi_dataset_summary_2017-2024'!$G1198-'mpi_dataset_summary_2017-2024'!$F1198+1</f>
        <v>1</v>
      </c>
      <c r="I1198" s="2" t="s">
        <v>2111</v>
      </c>
      <c r="J1198" s="2" t="s">
        <v>2111</v>
      </c>
      <c r="K1198" s="2">
        <f>IF('mpi_dataset_summary_2017-2024'!$G1198=2024,1,0)</f>
        <v>1</v>
      </c>
      <c r="L1198" s="2">
        <f t="shared" si="36"/>
        <v>0</v>
      </c>
      <c r="M1198" s="2">
        <v>1000</v>
      </c>
      <c r="N1198" s="2">
        <f t="shared" si="37"/>
        <v>0.80500000000000005</v>
      </c>
      <c r="O1198" s="2" t="s">
        <v>2114</v>
      </c>
      <c r="P1198" s="2" t="s">
        <v>2114</v>
      </c>
      <c r="Q1198" s="2" t="s">
        <v>2108</v>
      </c>
      <c r="R1198" s="3" t="s">
        <v>24</v>
      </c>
      <c r="S1198" s="2" t="s">
        <v>25</v>
      </c>
      <c r="T1198" s="2" t="s">
        <v>26</v>
      </c>
    </row>
    <row r="1199" spans="1:20" x14ac:dyDescent="0.2">
      <c r="A1199" s="2">
        <v>8178</v>
      </c>
      <c r="B1199" s="2" t="s">
        <v>2029</v>
      </c>
      <c r="C1199" s="2" t="s">
        <v>2032</v>
      </c>
      <c r="D1199" s="2" t="s">
        <v>89</v>
      </c>
      <c r="E1199" s="2" t="s">
        <v>43</v>
      </c>
      <c r="F1199" s="2">
        <v>2024</v>
      </c>
      <c r="G1199" s="2">
        <v>2024</v>
      </c>
      <c r="H1199" s="2">
        <f>'mpi_dataset_summary_2017-2024'!$G1199-'mpi_dataset_summary_2017-2024'!$F1199+1</f>
        <v>1</v>
      </c>
      <c r="I1199" s="2" t="s">
        <v>2111</v>
      </c>
      <c r="J1199" s="2" t="s">
        <v>2111</v>
      </c>
      <c r="K1199" s="2">
        <f>IF('mpi_dataset_summary_2017-2024'!$G1199=2024,1,0)</f>
        <v>1</v>
      </c>
      <c r="L1199" s="2">
        <f t="shared" si="36"/>
        <v>0</v>
      </c>
      <c r="M1199" s="2">
        <v>1000</v>
      </c>
      <c r="N1199" s="2">
        <f t="shared" si="37"/>
        <v>0.80500000000000005</v>
      </c>
      <c r="O1199" s="2" t="s">
        <v>2114</v>
      </c>
      <c r="P1199" s="2" t="s">
        <v>2114</v>
      </c>
      <c r="Q1199" s="2" t="s">
        <v>2108</v>
      </c>
      <c r="R1199" s="3" t="s">
        <v>24</v>
      </c>
      <c r="S1199" s="2" t="s">
        <v>25</v>
      </c>
      <c r="T1199" s="2" t="s">
        <v>26</v>
      </c>
    </row>
    <row r="1200" spans="1:20" x14ac:dyDescent="0.2">
      <c r="A1200" s="2">
        <v>8186</v>
      </c>
      <c r="B1200" s="2" t="s">
        <v>1086</v>
      </c>
      <c r="C1200" s="2" t="s">
        <v>2033</v>
      </c>
      <c r="D1200" s="2" t="s">
        <v>89</v>
      </c>
      <c r="E1200" s="2" t="s">
        <v>20</v>
      </c>
      <c r="F1200" s="2">
        <v>2024</v>
      </c>
      <c r="G1200" s="2">
        <v>2024</v>
      </c>
      <c r="H1200" s="2">
        <f>'mpi_dataset_summary_2017-2024'!$G1200-'mpi_dataset_summary_2017-2024'!$F1200+1</f>
        <v>1</v>
      </c>
      <c r="I1200" s="2" t="s">
        <v>2111</v>
      </c>
      <c r="J1200" s="2" t="s">
        <v>2111</v>
      </c>
      <c r="K1200" s="2">
        <f>IF('mpi_dataset_summary_2017-2024'!$G1200=2024,1,0)</f>
        <v>1</v>
      </c>
      <c r="L1200" s="2">
        <f t="shared" si="36"/>
        <v>0</v>
      </c>
      <c r="M1200" s="2">
        <v>550</v>
      </c>
      <c r="N1200" s="2">
        <f t="shared" si="37"/>
        <v>0.70199999999999996</v>
      </c>
      <c r="O1200" s="2" t="s">
        <v>2114</v>
      </c>
      <c r="P1200" s="2" t="s">
        <v>2114</v>
      </c>
      <c r="Q1200" s="2" t="s">
        <v>2108</v>
      </c>
      <c r="R1200" s="3" t="s">
        <v>41</v>
      </c>
      <c r="S1200" s="2" t="s">
        <v>25</v>
      </c>
      <c r="T1200" s="2" t="s">
        <v>46</v>
      </c>
    </row>
    <row r="1201" spans="1:20" x14ac:dyDescent="0.2">
      <c r="A1201" s="2">
        <v>8187</v>
      </c>
      <c r="B1201" s="2" t="s">
        <v>2034</v>
      </c>
      <c r="C1201" s="2" t="s">
        <v>2035</v>
      </c>
      <c r="D1201" s="2" t="s">
        <v>89</v>
      </c>
      <c r="E1201" s="2" t="s">
        <v>20</v>
      </c>
      <c r="F1201" s="2">
        <v>2024</v>
      </c>
      <c r="G1201" s="2">
        <v>2024</v>
      </c>
      <c r="H1201" s="2">
        <f>'mpi_dataset_summary_2017-2024'!$G1201-'mpi_dataset_summary_2017-2024'!$F1201+1</f>
        <v>1</v>
      </c>
      <c r="I1201" s="2" t="s">
        <v>2111</v>
      </c>
      <c r="J1201" s="2" t="s">
        <v>2111</v>
      </c>
      <c r="K1201" s="2">
        <f>IF('mpi_dataset_summary_2017-2024'!$G1201=2024,1,0)</f>
        <v>1</v>
      </c>
      <c r="L1201" s="2">
        <f t="shared" si="36"/>
        <v>0</v>
      </c>
      <c r="M1201" s="2">
        <v>110</v>
      </c>
      <c r="N1201" s="2">
        <f t="shared" si="37"/>
        <v>0.372</v>
      </c>
      <c r="O1201" s="2" t="s">
        <v>2114</v>
      </c>
      <c r="P1201" s="2" t="s">
        <v>2114</v>
      </c>
      <c r="Q1201" s="2" t="s">
        <v>2108</v>
      </c>
      <c r="R1201" s="3" t="s">
        <v>24</v>
      </c>
      <c r="S1201" s="2" t="s">
        <v>25</v>
      </c>
      <c r="T1201" s="2" t="s">
        <v>26</v>
      </c>
    </row>
    <row r="1202" spans="1:20" x14ac:dyDescent="0.2">
      <c r="A1202" s="2">
        <v>8188</v>
      </c>
      <c r="B1202" s="2" t="s">
        <v>2036</v>
      </c>
      <c r="C1202" s="2" t="s">
        <v>2037</v>
      </c>
      <c r="D1202" s="2" t="s">
        <v>89</v>
      </c>
      <c r="E1202" s="2" t="s">
        <v>20</v>
      </c>
      <c r="F1202" s="2">
        <v>2024</v>
      </c>
      <c r="G1202" s="2">
        <v>2024</v>
      </c>
      <c r="H1202" s="2">
        <f>'mpi_dataset_summary_2017-2024'!$G1202-'mpi_dataset_summary_2017-2024'!$F1202+1</f>
        <v>1</v>
      </c>
      <c r="I1202" s="2" t="s">
        <v>2111</v>
      </c>
      <c r="J1202" s="2" t="s">
        <v>2111</v>
      </c>
      <c r="K1202" s="2">
        <f>IF('mpi_dataset_summary_2017-2024'!$G1202=2024,1,0)</f>
        <v>1</v>
      </c>
      <c r="L1202" s="2">
        <f t="shared" si="36"/>
        <v>0</v>
      </c>
      <c r="M1202" s="2">
        <v>475</v>
      </c>
      <c r="N1202" s="2">
        <f t="shared" si="37"/>
        <v>0.66900000000000004</v>
      </c>
      <c r="O1202" s="2" t="s">
        <v>2114</v>
      </c>
      <c r="P1202" s="2" t="s">
        <v>2114</v>
      </c>
      <c r="Q1202" s="2" t="s">
        <v>2108</v>
      </c>
      <c r="R1202" s="3" t="s">
        <v>24</v>
      </c>
      <c r="S1202" s="2" t="s">
        <v>25</v>
      </c>
      <c r="T1202" s="2" t="s">
        <v>26</v>
      </c>
    </row>
    <row r="1203" spans="1:20" x14ac:dyDescent="0.2">
      <c r="A1203" s="2">
        <v>8189</v>
      </c>
      <c r="B1203" s="2" t="s">
        <v>214</v>
      </c>
      <c r="C1203" s="2" t="s">
        <v>2038</v>
      </c>
      <c r="D1203" s="2" t="s">
        <v>89</v>
      </c>
      <c r="E1203" s="2" t="s">
        <v>43</v>
      </c>
      <c r="F1203" s="2">
        <v>2024</v>
      </c>
      <c r="G1203" s="2">
        <v>2024</v>
      </c>
      <c r="H1203" s="2">
        <f>'mpi_dataset_summary_2017-2024'!$G1203-'mpi_dataset_summary_2017-2024'!$F1203+1</f>
        <v>1</v>
      </c>
      <c r="I1203" s="2" t="s">
        <v>2111</v>
      </c>
      <c r="J1203" s="2" t="s">
        <v>2111</v>
      </c>
      <c r="K1203" s="2">
        <f>IF('mpi_dataset_summary_2017-2024'!$G1203=2024,1,0)</f>
        <v>1</v>
      </c>
      <c r="L1203" s="2">
        <f t="shared" si="36"/>
        <v>0</v>
      </c>
      <c r="M1203" s="2">
        <v>200</v>
      </c>
      <c r="N1203" s="2">
        <f t="shared" si="37"/>
        <v>0.49099999999999999</v>
      </c>
      <c r="O1203" s="2" t="s">
        <v>2114</v>
      </c>
      <c r="P1203" s="2" t="s">
        <v>2114</v>
      </c>
      <c r="Q1203" s="2" t="s">
        <v>2108</v>
      </c>
      <c r="R1203" s="3" t="s">
        <v>24</v>
      </c>
      <c r="S1203" s="2" t="s">
        <v>25</v>
      </c>
      <c r="T1203" s="2" t="s">
        <v>26</v>
      </c>
    </row>
    <row r="1204" spans="1:20" x14ac:dyDescent="0.2">
      <c r="A1204" s="2">
        <v>8190</v>
      </c>
      <c r="B1204" s="2" t="s">
        <v>214</v>
      </c>
      <c r="C1204" s="2" t="s">
        <v>2039</v>
      </c>
      <c r="D1204" s="2" t="s">
        <v>89</v>
      </c>
      <c r="E1204" s="2" t="s">
        <v>43</v>
      </c>
      <c r="F1204" s="2">
        <v>2024</v>
      </c>
      <c r="G1204" s="2">
        <v>2024</v>
      </c>
      <c r="H1204" s="2">
        <f>'mpi_dataset_summary_2017-2024'!$G1204-'mpi_dataset_summary_2017-2024'!$F1204+1</f>
        <v>1</v>
      </c>
      <c r="I1204" s="2" t="s">
        <v>2111</v>
      </c>
      <c r="J1204" s="2" t="s">
        <v>2111</v>
      </c>
      <c r="K1204" s="2">
        <f>IF('mpi_dataset_summary_2017-2024'!$G1204=2024,1,0)</f>
        <v>1</v>
      </c>
      <c r="L1204" s="2">
        <f t="shared" si="36"/>
        <v>0</v>
      </c>
      <c r="M1204" s="2">
        <v>750</v>
      </c>
      <c r="N1204" s="2">
        <f t="shared" si="37"/>
        <v>0.75700000000000001</v>
      </c>
      <c r="O1204" s="2" t="s">
        <v>2114</v>
      </c>
      <c r="P1204" s="2" t="s">
        <v>2114</v>
      </c>
      <c r="Q1204" s="2" t="s">
        <v>2108</v>
      </c>
      <c r="R1204" s="3" t="s">
        <v>24</v>
      </c>
      <c r="S1204" s="2" t="s">
        <v>25</v>
      </c>
      <c r="T1204" s="2" t="s">
        <v>26</v>
      </c>
    </row>
    <row r="1205" spans="1:20" x14ac:dyDescent="0.2">
      <c r="A1205" s="2">
        <v>8191</v>
      </c>
      <c r="B1205" s="2" t="s">
        <v>214</v>
      </c>
      <c r="C1205" s="2" t="s">
        <v>2040</v>
      </c>
      <c r="D1205" s="2" t="s">
        <v>89</v>
      </c>
      <c r="E1205" s="2" t="s">
        <v>43</v>
      </c>
      <c r="F1205" s="2">
        <v>2024</v>
      </c>
      <c r="G1205" s="2">
        <v>2024</v>
      </c>
      <c r="H1205" s="2">
        <f>'mpi_dataset_summary_2017-2024'!$G1205-'mpi_dataset_summary_2017-2024'!$F1205+1</f>
        <v>1</v>
      </c>
      <c r="I1205" s="2" t="s">
        <v>2110</v>
      </c>
      <c r="J1205" s="2" t="s">
        <v>2110</v>
      </c>
      <c r="K1205" s="2">
        <f>IF('mpi_dataset_summary_2017-2024'!$G1205=2024,1,0)</f>
        <v>1</v>
      </c>
      <c r="L1205" s="2">
        <f t="shared" si="36"/>
        <v>1</v>
      </c>
      <c r="M1205" s="2">
        <v>560</v>
      </c>
      <c r="N1205" s="2">
        <f t="shared" si="37"/>
        <v>0.70499999999999996</v>
      </c>
      <c r="O1205" s="2" t="s">
        <v>2114</v>
      </c>
      <c r="P1205" s="2" t="s">
        <v>2114</v>
      </c>
      <c r="Q1205" s="2" t="s">
        <v>2108</v>
      </c>
      <c r="R1205" s="3" t="s">
        <v>24</v>
      </c>
      <c r="S1205" s="2" t="s">
        <v>25</v>
      </c>
      <c r="T1205" s="2" t="s">
        <v>26</v>
      </c>
    </row>
    <row r="1206" spans="1:20" x14ac:dyDescent="0.2">
      <c r="A1206" s="2">
        <v>8192</v>
      </c>
      <c r="B1206" s="2" t="s">
        <v>214</v>
      </c>
      <c r="C1206" s="2" t="s">
        <v>2041</v>
      </c>
      <c r="D1206" s="2" t="s">
        <v>89</v>
      </c>
      <c r="E1206" s="2" t="s">
        <v>43</v>
      </c>
      <c r="F1206" s="2">
        <v>2024</v>
      </c>
      <c r="G1206" s="2">
        <v>2024</v>
      </c>
      <c r="H1206" s="2">
        <f>'mpi_dataset_summary_2017-2024'!$G1206-'mpi_dataset_summary_2017-2024'!$F1206+1</f>
        <v>1</v>
      </c>
      <c r="I1206" s="2" t="s">
        <v>2110</v>
      </c>
      <c r="J1206" s="2" t="s">
        <v>2110</v>
      </c>
      <c r="K1206" s="2">
        <f>IF('mpi_dataset_summary_2017-2024'!$G1206=2024,1,0)</f>
        <v>1</v>
      </c>
      <c r="L1206" s="2">
        <f t="shared" si="36"/>
        <v>1</v>
      </c>
      <c r="M1206" s="2">
        <v>250</v>
      </c>
      <c r="N1206" s="2">
        <f t="shared" si="37"/>
        <v>0.53500000000000003</v>
      </c>
      <c r="O1206" s="2" t="s">
        <v>2114</v>
      </c>
      <c r="P1206" s="2" t="s">
        <v>2114</v>
      </c>
      <c r="Q1206" s="2" t="s">
        <v>2108</v>
      </c>
      <c r="R1206" s="3" t="s">
        <v>24</v>
      </c>
      <c r="S1206" s="2" t="s">
        <v>25</v>
      </c>
      <c r="T1206" s="2" t="s">
        <v>26</v>
      </c>
    </row>
    <row r="1207" spans="1:20" x14ac:dyDescent="0.2">
      <c r="A1207" s="2">
        <v>8193</v>
      </c>
      <c r="B1207" s="2" t="s">
        <v>214</v>
      </c>
      <c r="C1207" s="2" t="s">
        <v>2042</v>
      </c>
      <c r="D1207" s="2" t="s">
        <v>89</v>
      </c>
      <c r="E1207" s="2" t="s">
        <v>43</v>
      </c>
      <c r="F1207" s="2">
        <v>2024</v>
      </c>
      <c r="G1207" s="2">
        <v>2024</v>
      </c>
      <c r="H1207" s="2">
        <f>'mpi_dataset_summary_2017-2024'!$G1207-'mpi_dataset_summary_2017-2024'!$F1207+1</f>
        <v>1</v>
      </c>
      <c r="I1207" s="2" t="s">
        <v>2110</v>
      </c>
      <c r="J1207" s="2" t="s">
        <v>2110</v>
      </c>
      <c r="K1207" s="2">
        <f>IF('mpi_dataset_summary_2017-2024'!$G1207=2024,1,0)</f>
        <v>1</v>
      </c>
      <c r="L1207" s="2">
        <f t="shared" si="36"/>
        <v>1</v>
      </c>
      <c r="M1207" s="2">
        <v>613</v>
      </c>
      <c r="N1207" s="2">
        <f t="shared" si="37"/>
        <v>0.73</v>
      </c>
      <c r="O1207" s="2" t="s">
        <v>2114</v>
      </c>
      <c r="P1207" s="2" t="s">
        <v>2114</v>
      </c>
      <c r="Q1207" s="2" t="s">
        <v>2108</v>
      </c>
      <c r="R1207" s="3" t="s">
        <v>24</v>
      </c>
      <c r="S1207" s="2" t="s">
        <v>25</v>
      </c>
      <c r="T1207" s="2" t="s">
        <v>26</v>
      </c>
    </row>
    <row r="1208" spans="1:20" x14ac:dyDescent="0.2">
      <c r="A1208" s="2">
        <v>8194</v>
      </c>
      <c r="B1208" s="2" t="s">
        <v>214</v>
      </c>
      <c r="C1208" s="2" t="s">
        <v>2043</v>
      </c>
      <c r="D1208" s="2" t="s">
        <v>89</v>
      </c>
      <c r="E1208" s="2" t="s">
        <v>43</v>
      </c>
      <c r="F1208" s="2">
        <v>2024</v>
      </c>
      <c r="G1208" s="2">
        <v>2024</v>
      </c>
      <c r="H1208" s="2">
        <f>'mpi_dataset_summary_2017-2024'!$G1208-'mpi_dataset_summary_2017-2024'!$F1208+1</f>
        <v>1</v>
      </c>
      <c r="I1208" s="2" t="s">
        <v>2112</v>
      </c>
      <c r="J1208" s="2" t="s">
        <v>2112</v>
      </c>
      <c r="K1208" s="2">
        <f>IF('mpi_dataset_summary_2017-2024'!$G1208=2024,1,0)</f>
        <v>1</v>
      </c>
      <c r="L1208" s="2">
        <f t="shared" si="36"/>
        <v>0</v>
      </c>
      <c r="M1208" s="2">
        <v>119.6</v>
      </c>
      <c r="N1208" s="2">
        <f t="shared" si="37"/>
        <v>0.38800000000000001</v>
      </c>
      <c r="O1208" s="2" t="s">
        <v>2114</v>
      </c>
      <c r="P1208" s="2" t="s">
        <v>2114</v>
      </c>
      <c r="Q1208" s="2" t="s">
        <v>2108</v>
      </c>
      <c r="R1208" s="3" t="s">
        <v>24</v>
      </c>
      <c r="S1208" s="2" t="s">
        <v>25</v>
      </c>
      <c r="T1208" s="2" t="s">
        <v>26</v>
      </c>
    </row>
    <row r="1209" spans="1:20" x14ac:dyDescent="0.2">
      <c r="A1209" s="2">
        <v>8195</v>
      </c>
      <c r="B1209" s="2" t="s">
        <v>214</v>
      </c>
      <c r="C1209" s="2" t="s">
        <v>2044</v>
      </c>
      <c r="D1209" s="2" t="s">
        <v>89</v>
      </c>
      <c r="E1209" s="2" t="s">
        <v>43</v>
      </c>
      <c r="F1209" s="2">
        <v>2024</v>
      </c>
      <c r="G1209" s="2">
        <v>2024</v>
      </c>
      <c r="H1209" s="2">
        <f>'mpi_dataset_summary_2017-2024'!$G1209-'mpi_dataset_summary_2017-2024'!$F1209+1</f>
        <v>1</v>
      </c>
      <c r="I1209" s="2" t="s">
        <v>2112</v>
      </c>
      <c r="J1209" s="2" t="s">
        <v>2112</v>
      </c>
      <c r="K1209" s="2">
        <f>IF('mpi_dataset_summary_2017-2024'!$G1209=2024,1,0)</f>
        <v>1</v>
      </c>
      <c r="L1209" s="2">
        <f t="shared" si="36"/>
        <v>0</v>
      </c>
      <c r="M1209" s="2">
        <v>196.3</v>
      </c>
      <c r="N1209" s="2">
        <f t="shared" si="37"/>
        <v>0.48799999999999999</v>
      </c>
      <c r="O1209" s="2" t="s">
        <v>2114</v>
      </c>
      <c r="P1209" s="2" t="s">
        <v>2114</v>
      </c>
      <c r="Q1209" s="2" t="s">
        <v>2108</v>
      </c>
      <c r="R1209" s="3" t="s">
        <v>35</v>
      </c>
      <c r="S1209" s="2" t="s">
        <v>22</v>
      </c>
      <c r="T1209" s="2" t="s">
        <v>45</v>
      </c>
    </row>
    <row r="1210" spans="1:20" x14ac:dyDescent="0.2">
      <c r="A1210" s="2">
        <v>8196</v>
      </c>
      <c r="B1210" s="2" t="s">
        <v>214</v>
      </c>
      <c r="C1210" s="2" t="s">
        <v>2045</v>
      </c>
      <c r="D1210" s="2" t="s">
        <v>89</v>
      </c>
      <c r="E1210" s="2" t="s">
        <v>43</v>
      </c>
      <c r="F1210" s="2">
        <v>2024</v>
      </c>
      <c r="G1210" s="2">
        <v>2024</v>
      </c>
      <c r="H1210" s="2">
        <f>'mpi_dataset_summary_2017-2024'!$G1210-'mpi_dataset_summary_2017-2024'!$F1210+1</f>
        <v>1</v>
      </c>
      <c r="I1210" s="2" t="s">
        <v>2112</v>
      </c>
      <c r="J1210" s="2" t="s">
        <v>2112</v>
      </c>
      <c r="K1210" s="2">
        <f>IF('mpi_dataset_summary_2017-2024'!$G1210=2024,1,0)</f>
        <v>1</v>
      </c>
      <c r="L1210" s="2">
        <f t="shared" si="36"/>
        <v>0</v>
      </c>
      <c r="M1210" s="2">
        <v>72.8</v>
      </c>
      <c r="N1210" s="2">
        <f t="shared" si="37"/>
        <v>0.28499999999999998</v>
      </c>
      <c r="O1210" s="2" t="s">
        <v>2114</v>
      </c>
      <c r="P1210" s="2" t="s">
        <v>2114</v>
      </c>
      <c r="Q1210" s="2" t="s">
        <v>2108</v>
      </c>
      <c r="R1210" s="3" t="s">
        <v>24</v>
      </c>
      <c r="S1210" s="2" t="s">
        <v>25</v>
      </c>
      <c r="T1210" s="2" t="s">
        <v>26</v>
      </c>
    </row>
    <row r="1211" spans="1:20" x14ac:dyDescent="0.2">
      <c r="A1211" s="2">
        <v>8197</v>
      </c>
      <c r="B1211" s="2" t="s">
        <v>214</v>
      </c>
      <c r="C1211" s="2" t="s">
        <v>2046</v>
      </c>
      <c r="D1211" s="2" t="s">
        <v>89</v>
      </c>
      <c r="E1211" s="2" t="s">
        <v>43</v>
      </c>
      <c r="F1211" s="2">
        <v>2024</v>
      </c>
      <c r="G1211" s="2">
        <v>2024</v>
      </c>
      <c r="H1211" s="2">
        <f>'mpi_dataset_summary_2017-2024'!$G1211-'mpi_dataset_summary_2017-2024'!$F1211+1</f>
        <v>1</v>
      </c>
      <c r="I1211" s="2" t="s">
        <v>2112</v>
      </c>
      <c r="J1211" s="2" t="s">
        <v>2112</v>
      </c>
      <c r="K1211" s="2">
        <f>IF('mpi_dataset_summary_2017-2024'!$G1211=2024,1,0)</f>
        <v>1</v>
      </c>
      <c r="L1211" s="2">
        <f t="shared" si="36"/>
        <v>0</v>
      </c>
      <c r="M1211" s="2">
        <v>166.9</v>
      </c>
      <c r="N1211" s="2">
        <f t="shared" si="37"/>
        <v>0.46300000000000002</v>
      </c>
      <c r="O1211" s="2" t="s">
        <v>2114</v>
      </c>
      <c r="P1211" s="2" t="s">
        <v>2114</v>
      </c>
      <c r="Q1211" s="2" t="s">
        <v>2108</v>
      </c>
      <c r="R1211" s="3" t="s">
        <v>35</v>
      </c>
      <c r="S1211" s="2" t="s">
        <v>22</v>
      </c>
      <c r="T1211" s="2" t="s">
        <v>45</v>
      </c>
    </row>
    <row r="1212" spans="1:20" x14ac:dyDescent="0.2">
      <c r="A1212" s="2">
        <v>8198</v>
      </c>
      <c r="B1212" s="2" t="s">
        <v>214</v>
      </c>
      <c r="C1212" s="2" t="s">
        <v>2047</v>
      </c>
      <c r="D1212" s="2" t="s">
        <v>89</v>
      </c>
      <c r="E1212" s="2" t="s">
        <v>43</v>
      </c>
      <c r="F1212" s="2">
        <v>2024</v>
      </c>
      <c r="G1212" s="2">
        <v>2024</v>
      </c>
      <c r="H1212" s="2">
        <f>'mpi_dataset_summary_2017-2024'!$G1212-'mpi_dataset_summary_2017-2024'!$F1212+1</f>
        <v>1</v>
      </c>
      <c r="I1212" s="2" t="s">
        <v>2112</v>
      </c>
      <c r="J1212" s="2" t="s">
        <v>2112</v>
      </c>
      <c r="K1212" s="2">
        <f>IF('mpi_dataset_summary_2017-2024'!$G1212=2024,1,0)</f>
        <v>1</v>
      </c>
      <c r="L1212" s="2">
        <f t="shared" si="36"/>
        <v>0</v>
      </c>
      <c r="M1212" s="2">
        <v>82.8</v>
      </c>
      <c r="N1212" s="2">
        <f t="shared" si="37"/>
        <v>0.315</v>
      </c>
      <c r="O1212" s="2" t="s">
        <v>2114</v>
      </c>
      <c r="P1212" s="2" t="s">
        <v>2114</v>
      </c>
      <c r="Q1212" s="2" t="s">
        <v>2108</v>
      </c>
      <c r="R1212" s="3" t="s">
        <v>35</v>
      </c>
      <c r="S1212" s="2" t="s">
        <v>22</v>
      </c>
      <c r="T1212" s="2" t="s">
        <v>45</v>
      </c>
    </row>
    <row r="1213" spans="1:20" x14ac:dyDescent="0.2">
      <c r="A1213" s="2">
        <v>8199</v>
      </c>
      <c r="B1213" s="2" t="s">
        <v>214</v>
      </c>
      <c r="C1213" s="2" t="s">
        <v>2048</v>
      </c>
      <c r="D1213" s="2" t="s">
        <v>89</v>
      </c>
      <c r="E1213" s="2" t="s">
        <v>43</v>
      </c>
      <c r="F1213" s="2">
        <v>2024</v>
      </c>
      <c r="G1213" s="2">
        <v>2024</v>
      </c>
      <c r="H1213" s="2">
        <f>'mpi_dataset_summary_2017-2024'!$G1213-'mpi_dataset_summary_2017-2024'!$F1213+1</f>
        <v>1</v>
      </c>
      <c r="I1213" s="2" t="s">
        <v>2112</v>
      </c>
      <c r="J1213" s="2" t="s">
        <v>2112</v>
      </c>
      <c r="K1213" s="2">
        <f>IF('mpi_dataset_summary_2017-2024'!$G1213=2024,1,0)</f>
        <v>1</v>
      </c>
      <c r="L1213" s="2">
        <f t="shared" si="36"/>
        <v>0</v>
      </c>
      <c r="M1213" s="2">
        <v>161.30000000000001</v>
      </c>
      <c r="N1213" s="2">
        <f t="shared" si="37"/>
        <v>0.45900000000000002</v>
      </c>
      <c r="O1213" s="2" t="s">
        <v>2114</v>
      </c>
      <c r="P1213" s="2" t="s">
        <v>2114</v>
      </c>
      <c r="Q1213" s="2" t="s">
        <v>2108</v>
      </c>
      <c r="R1213" s="3" t="s">
        <v>35</v>
      </c>
      <c r="S1213" s="2" t="s">
        <v>22</v>
      </c>
      <c r="T1213" s="2" t="s">
        <v>45</v>
      </c>
    </row>
    <row r="1214" spans="1:20" x14ac:dyDescent="0.2">
      <c r="A1214" s="2">
        <v>8200</v>
      </c>
      <c r="B1214" s="2" t="s">
        <v>214</v>
      </c>
      <c r="C1214" s="2" t="s">
        <v>2049</v>
      </c>
      <c r="D1214" s="2" t="s">
        <v>89</v>
      </c>
      <c r="E1214" s="2" t="s">
        <v>43</v>
      </c>
      <c r="F1214" s="2">
        <v>2024</v>
      </c>
      <c r="G1214" s="2">
        <v>2024</v>
      </c>
      <c r="H1214" s="2">
        <f>'mpi_dataset_summary_2017-2024'!$G1214-'mpi_dataset_summary_2017-2024'!$F1214+1</f>
        <v>1</v>
      </c>
      <c r="I1214" s="2" t="s">
        <v>2112</v>
      </c>
      <c r="J1214" s="2" t="s">
        <v>2112</v>
      </c>
      <c r="K1214" s="2">
        <f>IF('mpi_dataset_summary_2017-2024'!$G1214=2024,1,0)</f>
        <v>1</v>
      </c>
      <c r="L1214" s="2">
        <f t="shared" si="36"/>
        <v>0</v>
      </c>
      <c r="M1214" s="2">
        <v>83.5</v>
      </c>
      <c r="N1214" s="2">
        <f t="shared" si="37"/>
        <v>0.316</v>
      </c>
      <c r="O1214" s="2" t="s">
        <v>2114</v>
      </c>
      <c r="P1214" s="2" t="s">
        <v>2114</v>
      </c>
      <c r="Q1214" s="2" t="s">
        <v>2108</v>
      </c>
      <c r="R1214" s="3" t="s">
        <v>35</v>
      </c>
      <c r="S1214" s="2" t="s">
        <v>22</v>
      </c>
      <c r="T1214" s="2" t="s">
        <v>45</v>
      </c>
    </row>
    <row r="1215" spans="1:20" x14ac:dyDescent="0.2">
      <c r="A1215" s="2">
        <v>8201</v>
      </c>
      <c r="B1215" s="2" t="s">
        <v>214</v>
      </c>
      <c r="C1215" s="2" t="s">
        <v>2050</v>
      </c>
      <c r="D1215" s="2" t="s">
        <v>89</v>
      </c>
      <c r="E1215" s="2" t="s">
        <v>43</v>
      </c>
      <c r="F1215" s="2">
        <v>2024</v>
      </c>
      <c r="G1215" s="2">
        <v>2024</v>
      </c>
      <c r="H1215" s="2">
        <f>'mpi_dataset_summary_2017-2024'!$G1215-'mpi_dataset_summary_2017-2024'!$F1215+1</f>
        <v>1</v>
      </c>
      <c r="I1215" s="2" t="s">
        <v>2112</v>
      </c>
      <c r="J1215" s="2" t="s">
        <v>2112</v>
      </c>
      <c r="K1215" s="2">
        <f>IF('mpi_dataset_summary_2017-2024'!$G1215=2024,1,0)</f>
        <v>1</v>
      </c>
      <c r="L1215" s="2">
        <f t="shared" si="36"/>
        <v>0</v>
      </c>
      <c r="M1215" s="2">
        <v>887.6</v>
      </c>
      <c r="N1215" s="2">
        <f t="shared" si="37"/>
        <v>0.79200000000000004</v>
      </c>
      <c r="O1215" s="2" t="s">
        <v>2114</v>
      </c>
      <c r="P1215" s="2" t="s">
        <v>2114</v>
      </c>
      <c r="Q1215" s="2" t="s">
        <v>2108</v>
      </c>
      <c r="R1215" s="3" t="s">
        <v>35</v>
      </c>
      <c r="S1215" s="2" t="s">
        <v>22</v>
      </c>
      <c r="T1215" s="2" t="s">
        <v>45</v>
      </c>
    </row>
    <row r="1216" spans="1:20" x14ac:dyDescent="0.2">
      <c r="A1216" s="2">
        <v>8202</v>
      </c>
      <c r="B1216" s="2" t="s">
        <v>214</v>
      </c>
      <c r="C1216" s="2" t="s">
        <v>2051</v>
      </c>
      <c r="D1216" s="2" t="s">
        <v>89</v>
      </c>
      <c r="E1216" s="2" t="s">
        <v>43</v>
      </c>
      <c r="F1216" s="2">
        <v>2024</v>
      </c>
      <c r="G1216" s="2">
        <v>2024</v>
      </c>
      <c r="H1216" s="2">
        <f>'mpi_dataset_summary_2017-2024'!$G1216-'mpi_dataset_summary_2017-2024'!$F1216+1</f>
        <v>1</v>
      </c>
      <c r="I1216" s="2" t="s">
        <v>2112</v>
      </c>
      <c r="J1216" s="2" t="s">
        <v>2112</v>
      </c>
      <c r="K1216" s="2">
        <f>IF('mpi_dataset_summary_2017-2024'!$G1216=2024,1,0)</f>
        <v>1</v>
      </c>
      <c r="L1216" s="2">
        <f t="shared" si="36"/>
        <v>0</v>
      </c>
      <c r="M1216" s="2">
        <v>110</v>
      </c>
      <c r="N1216" s="2">
        <f t="shared" si="37"/>
        <v>0.372</v>
      </c>
      <c r="O1216" s="2" t="s">
        <v>2114</v>
      </c>
      <c r="P1216" s="2" t="s">
        <v>2114</v>
      </c>
      <c r="Q1216" s="2" t="s">
        <v>2108</v>
      </c>
      <c r="R1216" s="3" t="s">
        <v>24</v>
      </c>
      <c r="S1216" s="2" t="s">
        <v>25</v>
      </c>
      <c r="T1216" s="2" t="s">
        <v>26</v>
      </c>
    </row>
    <row r="1217" spans="1:20" x14ac:dyDescent="0.2">
      <c r="A1217" s="2">
        <v>8203</v>
      </c>
      <c r="B1217" s="2" t="s">
        <v>214</v>
      </c>
      <c r="C1217" s="2" t="s">
        <v>2052</v>
      </c>
      <c r="D1217" s="2" t="s">
        <v>89</v>
      </c>
      <c r="E1217" s="2" t="s">
        <v>43</v>
      </c>
      <c r="F1217" s="2">
        <v>2024</v>
      </c>
      <c r="G1217" s="2">
        <v>2024</v>
      </c>
      <c r="H1217" s="2">
        <f>'mpi_dataset_summary_2017-2024'!$G1217-'mpi_dataset_summary_2017-2024'!$F1217+1</f>
        <v>1</v>
      </c>
      <c r="I1217" s="2" t="s">
        <v>2110</v>
      </c>
      <c r="J1217" s="2" t="s">
        <v>2110</v>
      </c>
      <c r="K1217" s="2">
        <f>IF('mpi_dataset_summary_2017-2024'!$G1217=2024,1,0)</f>
        <v>1</v>
      </c>
      <c r="L1217" s="2">
        <f t="shared" si="36"/>
        <v>1</v>
      </c>
      <c r="M1217" s="2">
        <v>52.1</v>
      </c>
      <c r="N1217" s="2">
        <f t="shared" si="37"/>
        <v>0.23400000000000001</v>
      </c>
      <c r="O1217" s="2" t="s">
        <v>2114</v>
      </c>
      <c r="P1217" s="2" t="s">
        <v>2114</v>
      </c>
      <c r="Q1217" s="2" t="s">
        <v>2108</v>
      </c>
      <c r="R1217" s="3" t="s">
        <v>24</v>
      </c>
      <c r="S1217" s="2" t="s">
        <v>25</v>
      </c>
      <c r="T1217" s="2" t="s">
        <v>26</v>
      </c>
    </row>
    <row r="1218" spans="1:20" x14ac:dyDescent="0.2">
      <c r="A1218" s="2">
        <v>8211</v>
      </c>
      <c r="B1218" s="2" t="s">
        <v>2053</v>
      </c>
      <c r="C1218" s="2" t="s">
        <v>2054</v>
      </c>
      <c r="D1218" s="2" t="s">
        <v>89</v>
      </c>
      <c r="E1218" s="2" t="s">
        <v>20</v>
      </c>
      <c r="F1218" s="2">
        <v>2024</v>
      </c>
      <c r="G1218" s="2">
        <v>2024</v>
      </c>
      <c r="H1218" s="2">
        <f>'mpi_dataset_summary_2017-2024'!$G1218-'mpi_dataset_summary_2017-2024'!$F1218+1</f>
        <v>1</v>
      </c>
      <c r="I1218" s="2" t="s">
        <v>2112</v>
      </c>
      <c r="J1218" s="2" t="s">
        <v>2112</v>
      </c>
      <c r="K1218" s="2">
        <f>IF('mpi_dataset_summary_2017-2024'!$G1218=2024,1,0)</f>
        <v>1</v>
      </c>
      <c r="L1218" s="2">
        <f t="shared" ref="L1218:L1254" si="38">IF(J1218="Under Construction",1,0)</f>
        <v>0</v>
      </c>
      <c r="M1218" s="2">
        <v>4000</v>
      </c>
      <c r="N1218" s="2">
        <f t="shared" ref="N1218:N1252" si="39">_xlfn.PERCENTRANK.INC($M$2:$M$4056,M1218)</f>
        <v>0.93600000000000005</v>
      </c>
      <c r="O1218" s="2" t="s">
        <v>2114</v>
      </c>
      <c r="P1218" s="2" t="s">
        <v>2114</v>
      </c>
      <c r="Q1218" s="2" t="s">
        <v>2108</v>
      </c>
      <c r="R1218" s="3" t="s">
        <v>24</v>
      </c>
      <c r="S1218" s="2" t="s">
        <v>25</v>
      </c>
      <c r="T1218" s="2" t="s">
        <v>26</v>
      </c>
    </row>
    <row r="1219" spans="1:20" x14ac:dyDescent="0.2">
      <c r="A1219" s="2">
        <v>8212</v>
      </c>
      <c r="B1219" s="2" t="s">
        <v>2055</v>
      </c>
      <c r="C1219" s="2" t="s">
        <v>2056</v>
      </c>
      <c r="D1219" s="2" t="s">
        <v>89</v>
      </c>
      <c r="E1219" s="2" t="s">
        <v>20</v>
      </c>
      <c r="F1219" s="2">
        <v>2024</v>
      </c>
      <c r="G1219" s="2">
        <v>2024</v>
      </c>
      <c r="H1219" s="2">
        <f>'mpi_dataset_summary_2017-2024'!$G1219-'mpi_dataset_summary_2017-2024'!$F1219+1</f>
        <v>1</v>
      </c>
      <c r="I1219" s="2" t="s">
        <v>2111</v>
      </c>
      <c r="J1219" s="2" t="s">
        <v>2111</v>
      </c>
      <c r="K1219" s="2">
        <f>IF('mpi_dataset_summary_2017-2024'!$G1219=2024,1,0)</f>
        <v>1</v>
      </c>
      <c r="L1219" s="2">
        <f t="shared" si="38"/>
        <v>0</v>
      </c>
      <c r="M1219" s="2">
        <v>1000</v>
      </c>
      <c r="N1219" s="2">
        <f t="shared" si="39"/>
        <v>0.80500000000000005</v>
      </c>
      <c r="O1219" s="2" t="s">
        <v>2114</v>
      </c>
      <c r="P1219" s="2" t="s">
        <v>2114</v>
      </c>
      <c r="Q1219" s="2" t="s">
        <v>2108</v>
      </c>
      <c r="R1219" s="3" t="s">
        <v>24</v>
      </c>
      <c r="S1219" s="2" t="s">
        <v>25</v>
      </c>
      <c r="T1219" s="2" t="s">
        <v>26</v>
      </c>
    </row>
    <row r="1220" spans="1:20" x14ac:dyDescent="0.2">
      <c r="A1220" s="2">
        <v>8215</v>
      </c>
      <c r="B1220" s="2" t="s">
        <v>2057</v>
      </c>
      <c r="C1220" s="2" t="s">
        <v>2058</v>
      </c>
      <c r="D1220" s="2" t="s">
        <v>89</v>
      </c>
      <c r="E1220" s="2" t="s">
        <v>20</v>
      </c>
      <c r="F1220" s="2">
        <v>2024</v>
      </c>
      <c r="G1220" s="2">
        <v>2024</v>
      </c>
      <c r="H1220" s="2">
        <f>'mpi_dataset_summary_2017-2024'!$G1220-'mpi_dataset_summary_2017-2024'!$F1220+1</f>
        <v>1</v>
      </c>
      <c r="I1220" s="2" t="s">
        <v>2111</v>
      </c>
      <c r="J1220" s="2" t="s">
        <v>2111</v>
      </c>
      <c r="K1220" s="2">
        <f>IF('mpi_dataset_summary_2017-2024'!$G1220=2024,1,0)</f>
        <v>1</v>
      </c>
      <c r="L1220" s="2">
        <f t="shared" si="38"/>
        <v>0</v>
      </c>
      <c r="M1220" s="2">
        <v>96</v>
      </c>
      <c r="N1220" s="2">
        <f t="shared" si="39"/>
        <v>0.33900000000000002</v>
      </c>
      <c r="O1220" s="2">
        <v>45.598714999999999</v>
      </c>
      <c r="P1220" s="2">
        <v>-75.256777999999997</v>
      </c>
      <c r="Q1220" s="2" t="s">
        <v>2109</v>
      </c>
      <c r="R1220" s="3" t="s">
        <v>41</v>
      </c>
      <c r="S1220" s="2" t="s">
        <v>25</v>
      </c>
      <c r="T1220" s="2" t="s">
        <v>57</v>
      </c>
    </row>
    <row r="1221" spans="1:20" x14ac:dyDescent="0.2">
      <c r="A1221" s="2">
        <v>8216</v>
      </c>
      <c r="B1221" s="2" t="s">
        <v>1092</v>
      </c>
      <c r="C1221" s="2" t="s">
        <v>2059</v>
      </c>
      <c r="D1221" s="2" t="s">
        <v>89</v>
      </c>
      <c r="E1221" s="2" t="s">
        <v>20</v>
      </c>
      <c r="F1221" s="2">
        <v>2024</v>
      </c>
      <c r="G1221" s="2">
        <v>2024</v>
      </c>
      <c r="H1221" s="2">
        <f>'mpi_dataset_summary_2017-2024'!$G1221-'mpi_dataset_summary_2017-2024'!$F1221+1</f>
        <v>1</v>
      </c>
      <c r="I1221" s="2" t="s">
        <v>2110</v>
      </c>
      <c r="J1221" s="2" t="s">
        <v>2110</v>
      </c>
      <c r="K1221" s="2">
        <f>IF('mpi_dataset_summary_2017-2024'!$G1221=2024,1,0)</f>
        <v>1</v>
      </c>
      <c r="L1221" s="2">
        <f t="shared" si="38"/>
        <v>1</v>
      </c>
      <c r="M1221" s="2">
        <v>56.4</v>
      </c>
      <c r="N1221" s="2">
        <f t="shared" si="39"/>
        <v>0.25</v>
      </c>
      <c r="O1221" s="2">
        <v>45.564345000000003</v>
      </c>
      <c r="P1221" s="2">
        <v>-71.978617</v>
      </c>
      <c r="Q1221" s="2" t="s">
        <v>2109</v>
      </c>
      <c r="R1221" s="3" t="s">
        <v>41</v>
      </c>
      <c r="S1221" s="2" t="s">
        <v>25</v>
      </c>
      <c r="T1221" s="2" t="s">
        <v>57</v>
      </c>
    </row>
    <row r="1222" spans="1:20" x14ac:dyDescent="0.2">
      <c r="A1222" s="2">
        <v>8217</v>
      </c>
      <c r="B1222" s="2" t="s">
        <v>2060</v>
      </c>
      <c r="C1222" s="2" t="s">
        <v>2061</v>
      </c>
      <c r="D1222" s="2" t="s">
        <v>89</v>
      </c>
      <c r="E1222" s="2" t="s">
        <v>20</v>
      </c>
      <c r="F1222" s="2">
        <v>2024</v>
      </c>
      <c r="G1222" s="2">
        <v>2024</v>
      </c>
      <c r="H1222" s="2">
        <f>'mpi_dataset_summary_2017-2024'!$G1222-'mpi_dataset_summary_2017-2024'!$F1222+1</f>
        <v>1</v>
      </c>
      <c r="I1222" s="2" t="s">
        <v>2110</v>
      </c>
      <c r="J1222" s="2" t="s">
        <v>2110</v>
      </c>
      <c r="K1222" s="2">
        <f>IF('mpi_dataset_summary_2017-2024'!$G1222=2024,1,0)</f>
        <v>1</v>
      </c>
      <c r="L1222" s="2">
        <f t="shared" si="38"/>
        <v>1</v>
      </c>
      <c r="M1222" s="2">
        <v>30.1</v>
      </c>
      <c r="N1222" s="2">
        <f t="shared" si="39"/>
        <v>0.152</v>
      </c>
      <c r="O1222" s="2">
        <v>45.600340000000003</v>
      </c>
      <c r="P1222" s="2">
        <v>-75.249889999999994</v>
      </c>
      <c r="Q1222" s="2" t="s">
        <v>2109</v>
      </c>
      <c r="R1222" s="3" t="s">
        <v>41</v>
      </c>
      <c r="S1222" s="2" t="s">
        <v>25</v>
      </c>
      <c r="T1222" s="2" t="s">
        <v>57</v>
      </c>
    </row>
    <row r="1223" spans="1:20" x14ac:dyDescent="0.2">
      <c r="A1223" s="2">
        <v>8218</v>
      </c>
      <c r="B1223" s="2" t="s">
        <v>2062</v>
      </c>
      <c r="C1223" s="2" t="s">
        <v>2063</v>
      </c>
      <c r="D1223" s="2" t="s">
        <v>89</v>
      </c>
      <c r="E1223" s="2" t="s">
        <v>20</v>
      </c>
      <c r="F1223" s="2">
        <v>2024</v>
      </c>
      <c r="G1223" s="2">
        <v>2024</v>
      </c>
      <c r="H1223" s="2">
        <f>'mpi_dataset_summary_2017-2024'!$G1223-'mpi_dataset_summary_2017-2024'!$F1223+1</f>
        <v>1</v>
      </c>
      <c r="I1223" s="2" t="s">
        <v>2110</v>
      </c>
      <c r="J1223" s="2" t="s">
        <v>2110</v>
      </c>
      <c r="K1223" s="2">
        <f>IF('mpi_dataset_summary_2017-2024'!$G1223=2024,1,0)</f>
        <v>1</v>
      </c>
      <c r="L1223" s="2">
        <f t="shared" si="38"/>
        <v>1</v>
      </c>
      <c r="M1223" s="2">
        <v>57.1</v>
      </c>
      <c r="N1223" s="2">
        <f t="shared" si="39"/>
        <v>0.252</v>
      </c>
      <c r="O1223" s="2">
        <v>46.136189999999999</v>
      </c>
      <c r="P1223" s="2">
        <v>-70.65701</v>
      </c>
      <c r="Q1223" s="2" t="s">
        <v>2109</v>
      </c>
      <c r="R1223" s="3" t="s">
        <v>41</v>
      </c>
      <c r="S1223" s="2" t="s">
        <v>25</v>
      </c>
      <c r="T1223" s="2" t="s">
        <v>57</v>
      </c>
    </row>
    <row r="1224" spans="1:20" x14ac:dyDescent="0.2">
      <c r="A1224" s="2">
        <v>8221</v>
      </c>
      <c r="B1224" s="2" t="s">
        <v>2064</v>
      </c>
      <c r="C1224" s="2" t="s">
        <v>2065</v>
      </c>
      <c r="D1224" s="2" t="s">
        <v>89</v>
      </c>
      <c r="E1224" s="2" t="s">
        <v>20</v>
      </c>
      <c r="F1224" s="2">
        <v>2024</v>
      </c>
      <c r="G1224" s="2">
        <v>2024</v>
      </c>
      <c r="H1224" s="2">
        <f>'mpi_dataset_summary_2017-2024'!$G1224-'mpi_dataset_summary_2017-2024'!$F1224+1</f>
        <v>1</v>
      </c>
      <c r="I1224" s="2" t="s">
        <v>2113</v>
      </c>
      <c r="J1224" s="2" t="s">
        <v>2113</v>
      </c>
      <c r="K1224" s="2">
        <f>IF('mpi_dataset_summary_2017-2024'!$G1224=2024,1,0)</f>
        <v>1</v>
      </c>
      <c r="L1224" s="2">
        <f t="shared" si="38"/>
        <v>0</v>
      </c>
      <c r="M1224" s="2">
        <v>768</v>
      </c>
      <c r="N1224" s="2">
        <f t="shared" si="39"/>
        <v>0.76800000000000002</v>
      </c>
      <c r="O1224" s="2" t="s">
        <v>2114</v>
      </c>
      <c r="P1224" s="2" t="s">
        <v>2114</v>
      </c>
      <c r="Q1224" s="2" t="s">
        <v>2107</v>
      </c>
      <c r="R1224" s="3" t="s">
        <v>41</v>
      </c>
      <c r="S1224" s="2" t="s">
        <v>22</v>
      </c>
      <c r="T1224" s="2" t="s">
        <v>42</v>
      </c>
    </row>
    <row r="1225" spans="1:20" x14ac:dyDescent="0.2">
      <c r="A1225" s="2">
        <v>8244</v>
      </c>
      <c r="B1225" s="2" t="s">
        <v>2066</v>
      </c>
      <c r="C1225" s="2" t="s">
        <v>2067</v>
      </c>
      <c r="D1225" s="2" t="s">
        <v>89</v>
      </c>
      <c r="E1225" s="2" t="s">
        <v>20</v>
      </c>
      <c r="F1225" s="2">
        <v>2024</v>
      </c>
      <c r="G1225" s="2">
        <v>2024</v>
      </c>
      <c r="H1225" s="2">
        <f>'mpi_dataset_summary_2017-2024'!$G1225-'mpi_dataset_summary_2017-2024'!$F1225+1</f>
        <v>1</v>
      </c>
      <c r="I1225" s="2" t="s">
        <v>2113</v>
      </c>
      <c r="J1225" s="2" t="s">
        <v>2113</v>
      </c>
      <c r="K1225" s="2">
        <f>IF('mpi_dataset_summary_2017-2024'!$G1225=2024,1,0)</f>
        <v>1</v>
      </c>
      <c r="L1225" s="2">
        <f t="shared" si="38"/>
        <v>0</v>
      </c>
      <c r="M1225" s="2">
        <v>380.1</v>
      </c>
      <c r="N1225" s="2">
        <f t="shared" si="39"/>
        <v>0.628</v>
      </c>
      <c r="O1225" s="2" t="s">
        <v>2114</v>
      </c>
      <c r="P1225" s="2" t="s">
        <v>2114</v>
      </c>
      <c r="Q1225" s="2" t="s">
        <v>2107</v>
      </c>
      <c r="R1225" s="3" t="s">
        <v>33</v>
      </c>
      <c r="S1225" s="2" t="s">
        <v>25</v>
      </c>
      <c r="T1225" s="2" t="s">
        <v>34</v>
      </c>
    </row>
    <row r="1226" spans="1:20" x14ac:dyDescent="0.2">
      <c r="A1226" s="2">
        <v>8256</v>
      </c>
      <c r="B1226" s="2" t="s">
        <v>2068</v>
      </c>
      <c r="C1226" s="2" t="s">
        <v>2069</v>
      </c>
      <c r="D1226" s="2" t="s">
        <v>89</v>
      </c>
      <c r="E1226" s="2" t="s">
        <v>20</v>
      </c>
      <c r="F1226" s="2">
        <v>2024</v>
      </c>
      <c r="G1226" s="2">
        <v>2024</v>
      </c>
      <c r="H1226" s="2">
        <f>'mpi_dataset_summary_2017-2024'!$G1226-'mpi_dataset_summary_2017-2024'!$F1226+1</f>
        <v>1</v>
      </c>
      <c r="I1226" s="2" t="s">
        <v>2111</v>
      </c>
      <c r="J1226" s="2" t="s">
        <v>2111</v>
      </c>
      <c r="K1226" s="2">
        <f>IF('mpi_dataset_summary_2017-2024'!$G1226=2024,1,0)</f>
        <v>1</v>
      </c>
      <c r="L1226" s="2">
        <f t="shared" si="38"/>
        <v>0</v>
      </c>
      <c r="M1226" s="2">
        <v>470.7</v>
      </c>
      <c r="N1226" s="2">
        <f t="shared" si="39"/>
        <v>0.66700000000000004</v>
      </c>
      <c r="O1226" s="2" t="s">
        <v>2114</v>
      </c>
      <c r="P1226" s="2" t="s">
        <v>2114</v>
      </c>
      <c r="Q1226" s="2" t="s">
        <v>2107</v>
      </c>
      <c r="R1226" s="3" t="s">
        <v>41</v>
      </c>
      <c r="S1226" s="2" t="s">
        <v>22</v>
      </c>
      <c r="T1226" s="2" t="s">
        <v>42</v>
      </c>
    </row>
    <row r="1227" spans="1:20" x14ac:dyDescent="0.2">
      <c r="A1227" s="2">
        <v>8259</v>
      </c>
      <c r="B1227" s="2" t="s">
        <v>653</v>
      </c>
      <c r="C1227" s="2" t="s">
        <v>654</v>
      </c>
      <c r="D1227" s="2" t="s">
        <v>89</v>
      </c>
      <c r="E1227" s="2" t="s">
        <v>20</v>
      </c>
      <c r="F1227" s="2">
        <v>2024</v>
      </c>
      <c r="G1227" s="2">
        <v>2024</v>
      </c>
      <c r="H1227" s="2">
        <f>'mpi_dataset_summary_2017-2024'!$G1227-'mpi_dataset_summary_2017-2024'!$F1227+1</f>
        <v>1</v>
      </c>
      <c r="I1227" s="2" t="s">
        <v>2112</v>
      </c>
      <c r="J1227" s="2" t="s">
        <v>2112</v>
      </c>
      <c r="K1227" s="2">
        <f>IF('mpi_dataset_summary_2017-2024'!$G1227=2024,1,0)</f>
        <v>1</v>
      </c>
      <c r="L1227" s="2">
        <f t="shared" si="38"/>
        <v>0</v>
      </c>
      <c r="M1227" s="2">
        <v>236.5</v>
      </c>
      <c r="N1227" s="2">
        <f t="shared" si="39"/>
        <v>0.53</v>
      </c>
      <c r="O1227" s="2" t="s">
        <v>2114</v>
      </c>
      <c r="P1227" s="2" t="s">
        <v>2114</v>
      </c>
      <c r="Q1227" s="2" t="s">
        <v>2107</v>
      </c>
      <c r="R1227" s="3" t="s">
        <v>33</v>
      </c>
      <c r="S1227" s="2" t="s">
        <v>25</v>
      </c>
      <c r="T1227" s="2" t="s">
        <v>34</v>
      </c>
    </row>
    <row r="1228" spans="1:20" x14ac:dyDescent="0.2">
      <c r="A1228" s="2">
        <v>8266</v>
      </c>
      <c r="B1228" s="2" t="s">
        <v>2070</v>
      </c>
      <c r="C1228" s="2" t="s">
        <v>1074</v>
      </c>
      <c r="D1228" s="2" t="s">
        <v>89</v>
      </c>
      <c r="E1228" s="2" t="s">
        <v>20</v>
      </c>
      <c r="F1228" s="2">
        <v>2024</v>
      </c>
      <c r="G1228" s="2">
        <v>2024</v>
      </c>
      <c r="H1228" s="2">
        <f>'mpi_dataset_summary_2017-2024'!$G1228-'mpi_dataset_summary_2017-2024'!$F1228+1</f>
        <v>1</v>
      </c>
      <c r="I1228" s="2" t="s">
        <v>2112</v>
      </c>
      <c r="J1228" s="2" t="s">
        <v>2112</v>
      </c>
      <c r="K1228" s="2">
        <f>IF('mpi_dataset_summary_2017-2024'!$G1228=2024,1,0)</f>
        <v>1</v>
      </c>
      <c r="L1228" s="2">
        <f t="shared" si="38"/>
        <v>0</v>
      </c>
      <c r="M1228" s="2">
        <v>788.6</v>
      </c>
      <c r="N1228" s="2">
        <f t="shared" si="39"/>
        <v>0.77300000000000002</v>
      </c>
      <c r="O1228" s="2" t="s">
        <v>2114</v>
      </c>
      <c r="P1228" s="2" t="s">
        <v>2114</v>
      </c>
      <c r="Q1228" s="2" t="s">
        <v>2107</v>
      </c>
      <c r="R1228" s="3" t="s">
        <v>41</v>
      </c>
      <c r="S1228" s="2" t="s">
        <v>22</v>
      </c>
      <c r="T1228" s="2" t="s">
        <v>42</v>
      </c>
    </row>
    <row r="1229" spans="1:20" x14ac:dyDescent="0.2">
      <c r="A1229" s="2">
        <v>8268</v>
      </c>
      <c r="B1229" s="2" t="s">
        <v>2071</v>
      </c>
      <c r="C1229" s="2" t="s">
        <v>2072</v>
      </c>
      <c r="D1229" s="2" t="s">
        <v>89</v>
      </c>
      <c r="E1229" s="2" t="s">
        <v>20</v>
      </c>
      <c r="F1229" s="2">
        <v>2024</v>
      </c>
      <c r="G1229" s="2">
        <v>2024</v>
      </c>
      <c r="H1229" s="2">
        <f>'mpi_dataset_summary_2017-2024'!$G1229-'mpi_dataset_summary_2017-2024'!$F1229+1</f>
        <v>1</v>
      </c>
      <c r="I1229" s="2" t="s">
        <v>2111</v>
      </c>
      <c r="J1229" s="2" t="s">
        <v>2111</v>
      </c>
      <c r="K1229" s="2">
        <f>IF('mpi_dataset_summary_2017-2024'!$G1229=2024,1,0)</f>
        <v>1</v>
      </c>
      <c r="L1229" s="2">
        <f t="shared" si="38"/>
        <v>0</v>
      </c>
      <c r="M1229" s="2">
        <v>85.5</v>
      </c>
      <c r="N1229" s="2">
        <f t="shared" si="39"/>
        <v>0.32100000000000001</v>
      </c>
      <c r="O1229" s="2" t="s">
        <v>2114</v>
      </c>
      <c r="P1229" s="2" t="s">
        <v>2114</v>
      </c>
      <c r="Q1229" s="2" t="s">
        <v>2107</v>
      </c>
      <c r="R1229" s="3" t="s">
        <v>29</v>
      </c>
      <c r="S1229" s="2" t="s">
        <v>22</v>
      </c>
      <c r="T1229" s="2" t="s">
        <v>30</v>
      </c>
    </row>
    <row r="1230" spans="1:20" x14ac:dyDescent="0.2">
      <c r="A1230" s="2">
        <v>8271</v>
      </c>
      <c r="B1230" s="2" t="s">
        <v>631</v>
      </c>
      <c r="C1230" s="2" t="s">
        <v>2073</v>
      </c>
      <c r="D1230" s="2" t="s">
        <v>89</v>
      </c>
      <c r="E1230" s="2" t="s">
        <v>20</v>
      </c>
      <c r="F1230" s="2">
        <v>2024</v>
      </c>
      <c r="G1230" s="2">
        <v>2024</v>
      </c>
      <c r="H1230" s="2">
        <f>'mpi_dataset_summary_2017-2024'!$G1230-'mpi_dataset_summary_2017-2024'!$F1230+1</f>
        <v>1</v>
      </c>
      <c r="I1230" s="2" t="s">
        <v>2111</v>
      </c>
      <c r="J1230" s="2" t="s">
        <v>2111</v>
      </c>
      <c r="K1230" s="2">
        <f>IF('mpi_dataset_summary_2017-2024'!$G1230=2024,1,0)</f>
        <v>1</v>
      </c>
      <c r="L1230" s="2">
        <f t="shared" si="38"/>
        <v>0</v>
      </c>
      <c r="M1230" s="2">
        <v>923.4</v>
      </c>
      <c r="N1230" s="2">
        <f t="shared" si="39"/>
        <v>0.8</v>
      </c>
      <c r="O1230" s="2" t="s">
        <v>2114</v>
      </c>
      <c r="P1230" s="2" t="s">
        <v>2114</v>
      </c>
      <c r="Q1230" s="2" t="s">
        <v>2107</v>
      </c>
      <c r="R1230" s="3" t="s">
        <v>33</v>
      </c>
      <c r="S1230" s="2" t="s">
        <v>25</v>
      </c>
      <c r="T1230" s="2" t="s">
        <v>34</v>
      </c>
    </row>
    <row r="1231" spans="1:20" x14ac:dyDescent="0.2">
      <c r="A1231" s="2">
        <v>8292</v>
      </c>
      <c r="B1231" s="2" t="s">
        <v>261</v>
      </c>
      <c r="C1231" s="2" t="s">
        <v>262</v>
      </c>
      <c r="D1231" s="2" t="s">
        <v>89</v>
      </c>
      <c r="E1231" s="2" t="s">
        <v>20</v>
      </c>
      <c r="F1231" s="2">
        <v>2024</v>
      </c>
      <c r="G1231" s="2">
        <v>2024</v>
      </c>
      <c r="H1231" s="2">
        <f>'mpi_dataset_summary_2017-2024'!$G1231-'mpi_dataset_summary_2017-2024'!$F1231+1</f>
        <v>1</v>
      </c>
      <c r="I1231" s="2" t="s">
        <v>2110</v>
      </c>
      <c r="J1231" s="2" t="s">
        <v>2110</v>
      </c>
      <c r="K1231" s="2">
        <f>IF('mpi_dataset_summary_2017-2024'!$G1231=2024,1,0)</f>
        <v>1</v>
      </c>
      <c r="L1231" s="2">
        <f t="shared" si="38"/>
        <v>1</v>
      </c>
      <c r="M1231" s="2">
        <v>2100</v>
      </c>
      <c r="N1231" s="2">
        <f t="shared" si="39"/>
        <v>0.90100000000000002</v>
      </c>
      <c r="O1231" s="2" t="s">
        <v>2114</v>
      </c>
      <c r="P1231" s="2" t="s">
        <v>2114</v>
      </c>
      <c r="Q1231" s="2" t="s">
        <v>2107</v>
      </c>
      <c r="R1231" s="3" t="s">
        <v>33</v>
      </c>
      <c r="S1231" s="2" t="s">
        <v>25</v>
      </c>
      <c r="T1231" s="2" t="s">
        <v>34</v>
      </c>
    </row>
    <row r="1232" spans="1:20" x14ac:dyDescent="0.2">
      <c r="A1232" s="2">
        <v>8295</v>
      </c>
      <c r="B1232" s="2" t="s">
        <v>2074</v>
      </c>
      <c r="C1232" s="2" t="s">
        <v>2075</v>
      </c>
      <c r="D1232" s="2" t="s">
        <v>110</v>
      </c>
      <c r="E1232" s="2" t="s">
        <v>20</v>
      </c>
      <c r="F1232" s="2">
        <v>2024</v>
      </c>
      <c r="G1232" s="2">
        <v>2024</v>
      </c>
      <c r="H1232" s="2">
        <f>'mpi_dataset_summary_2017-2024'!$G1232-'mpi_dataset_summary_2017-2024'!$F1232+1</f>
        <v>1</v>
      </c>
      <c r="I1232" s="2" t="s">
        <v>2111</v>
      </c>
      <c r="J1232" s="2" t="s">
        <v>2111</v>
      </c>
      <c r="K1232" s="2">
        <f>IF('mpi_dataset_summary_2017-2024'!$G1232=2024,1,0)</f>
        <v>1</v>
      </c>
      <c r="L1232" s="2">
        <f t="shared" si="38"/>
        <v>0</v>
      </c>
      <c r="M1232" s="2">
        <v>200</v>
      </c>
      <c r="N1232" s="2">
        <f t="shared" si="39"/>
        <v>0.49099999999999999</v>
      </c>
      <c r="O1232" s="2" t="s">
        <v>2114</v>
      </c>
      <c r="P1232" s="2" t="s">
        <v>2114</v>
      </c>
      <c r="Q1232" s="2" t="s">
        <v>2108</v>
      </c>
      <c r="R1232" s="3" t="s">
        <v>24</v>
      </c>
      <c r="S1232" s="2" t="s">
        <v>25</v>
      </c>
      <c r="T1232" s="2" t="s">
        <v>26</v>
      </c>
    </row>
    <row r="1233" spans="1:20" x14ac:dyDescent="0.2">
      <c r="A1233" s="2">
        <v>8302</v>
      </c>
      <c r="B1233" s="2" t="s">
        <v>108</v>
      </c>
      <c r="C1233" s="2" t="s">
        <v>2076</v>
      </c>
      <c r="D1233" s="2" t="s">
        <v>110</v>
      </c>
      <c r="E1233" s="2" t="s">
        <v>20</v>
      </c>
      <c r="F1233" s="2">
        <v>2024</v>
      </c>
      <c r="G1233" s="2">
        <v>2024</v>
      </c>
      <c r="H1233" s="2">
        <f>'mpi_dataset_summary_2017-2024'!$G1233-'mpi_dataset_summary_2017-2024'!$F1233+1</f>
        <v>1</v>
      </c>
      <c r="I1233" s="2" t="s">
        <v>2110</v>
      </c>
      <c r="J1233" s="2" t="s">
        <v>2110</v>
      </c>
      <c r="K1233" s="2">
        <f>IF('mpi_dataset_summary_2017-2024'!$G1233=2024,1,0)</f>
        <v>1</v>
      </c>
      <c r="L1233" s="2">
        <f t="shared" si="38"/>
        <v>1</v>
      </c>
      <c r="M1233" s="2">
        <v>6400</v>
      </c>
      <c r="N1233" s="2">
        <f t="shared" si="39"/>
        <v>0.96099999999999997</v>
      </c>
      <c r="O1233" s="2">
        <v>51.85</v>
      </c>
      <c r="P1233" s="2">
        <v>-104.69</v>
      </c>
      <c r="Q1233" s="2" t="s">
        <v>2107</v>
      </c>
      <c r="R1233" s="3" t="s">
        <v>41</v>
      </c>
      <c r="S1233" s="2" t="s">
        <v>22</v>
      </c>
      <c r="T1233" s="2" t="s">
        <v>42</v>
      </c>
    </row>
    <row r="1234" spans="1:20" x14ac:dyDescent="0.2">
      <c r="A1234" s="2">
        <v>8303</v>
      </c>
      <c r="B1234" s="2" t="s">
        <v>2077</v>
      </c>
      <c r="C1234" s="2" t="s">
        <v>2078</v>
      </c>
      <c r="D1234" s="2" t="s">
        <v>110</v>
      </c>
      <c r="E1234" s="2" t="s">
        <v>20</v>
      </c>
      <c r="F1234" s="2">
        <v>2024</v>
      </c>
      <c r="G1234" s="2">
        <v>2024</v>
      </c>
      <c r="H1234" s="2">
        <f>'mpi_dataset_summary_2017-2024'!$G1234-'mpi_dataset_summary_2017-2024'!$F1234+1</f>
        <v>1</v>
      </c>
      <c r="I1234" s="2" t="s">
        <v>2110</v>
      </c>
      <c r="J1234" s="2" t="s">
        <v>2110</v>
      </c>
      <c r="K1234" s="2">
        <f>IF('mpi_dataset_summary_2017-2024'!$G1234=2024,1,0)</f>
        <v>1</v>
      </c>
      <c r="L1234" s="2">
        <f t="shared" si="38"/>
        <v>1</v>
      </c>
      <c r="M1234" s="2">
        <v>396.73</v>
      </c>
      <c r="N1234" s="2">
        <f t="shared" si="39"/>
        <v>0.63400000000000001</v>
      </c>
      <c r="O1234" s="2">
        <v>49.044629999999998</v>
      </c>
      <c r="P1234" s="2">
        <v>-103.97655</v>
      </c>
      <c r="Q1234" s="2" t="s">
        <v>2107</v>
      </c>
      <c r="R1234" s="3" t="s">
        <v>33</v>
      </c>
      <c r="S1234" s="2" t="s">
        <v>25</v>
      </c>
      <c r="T1234" s="2" t="s">
        <v>34</v>
      </c>
    </row>
    <row r="1235" spans="1:20" x14ac:dyDescent="0.2">
      <c r="A1235" s="2">
        <v>8306</v>
      </c>
      <c r="B1235" s="2" t="s">
        <v>1256</v>
      </c>
      <c r="C1235" s="2" t="s">
        <v>2079</v>
      </c>
      <c r="D1235" s="2" t="s">
        <v>110</v>
      </c>
      <c r="E1235" s="2" t="s">
        <v>20</v>
      </c>
      <c r="F1235" s="2">
        <v>2024</v>
      </c>
      <c r="G1235" s="2">
        <v>2024</v>
      </c>
      <c r="H1235" s="2">
        <f>'mpi_dataset_summary_2017-2024'!$G1235-'mpi_dataset_summary_2017-2024'!$F1235+1</f>
        <v>1</v>
      </c>
      <c r="I1235" s="2" t="s">
        <v>2112</v>
      </c>
      <c r="J1235" s="2" t="s">
        <v>2112</v>
      </c>
      <c r="K1235" s="2">
        <f>IF('mpi_dataset_summary_2017-2024'!$G1235=2024,1,0)</f>
        <v>1</v>
      </c>
      <c r="L1235" s="2">
        <f t="shared" si="38"/>
        <v>0</v>
      </c>
      <c r="M1235" s="2">
        <v>737.4</v>
      </c>
      <c r="N1235" s="2">
        <f t="shared" si="39"/>
        <v>0.754</v>
      </c>
      <c r="O1235" s="2">
        <v>57.53</v>
      </c>
      <c r="P1235" s="2">
        <v>-105.41</v>
      </c>
      <c r="Q1235" s="2" t="s">
        <v>2107</v>
      </c>
      <c r="R1235" s="3" t="s">
        <v>41</v>
      </c>
      <c r="S1235" s="2" t="s">
        <v>22</v>
      </c>
      <c r="T1235" s="2" t="s">
        <v>42</v>
      </c>
    </row>
    <row r="1236" spans="1:20" x14ac:dyDescent="0.2">
      <c r="A1236" s="2">
        <v>8307</v>
      </c>
      <c r="B1236" s="2" t="s">
        <v>2080</v>
      </c>
      <c r="C1236" s="2" t="s">
        <v>2081</v>
      </c>
      <c r="D1236" s="2" t="s">
        <v>89</v>
      </c>
      <c r="E1236" s="2" t="s">
        <v>20</v>
      </c>
      <c r="F1236" s="2">
        <v>2024</v>
      </c>
      <c r="G1236" s="2">
        <v>2024</v>
      </c>
      <c r="H1236" s="2">
        <f>'mpi_dataset_summary_2017-2024'!$G1236-'mpi_dataset_summary_2017-2024'!$F1236+1</f>
        <v>1</v>
      </c>
      <c r="I1236" s="2" t="s">
        <v>2111</v>
      </c>
      <c r="J1236" s="2" t="s">
        <v>2111</v>
      </c>
      <c r="K1236" s="2">
        <f>IF('mpi_dataset_summary_2017-2024'!$G1236=2024,1,0)</f>
        <v>1</v>
      </c>
      <c r="L1236" s="2">
        <f t="shared" si="38"/>
        <v>0</v>
      </c>
      <c r="M1236" s="2">
        <v>80</v>
      </c>
      <c r="N1236" s="2">
        <f t="shared" si="39"/>
        <v>0.30499999999999999</v>
      </c>
      <c r="O1236" s="2" t="s">
        <v>2114</v>
      </c>
      <c r="P1236" s="2" t="s">
        <v>2114</v>
      </c>
      <c r="Q1236" s="2" t="s">
        <v>2109</v>
      </c>
      <c r="R1236" s="3" t="s">
        <v>27</v>
      </c>
      <c r="S1236" s="2" t="s">
        <v>25</v>
      </c>
      <c r="T1236" s="2" t="s">
        <v>57</v>
      </c>
    </row>
    <row r="1237" spans="1:20" x14ac:dyDescent="0.2">
      <c r="A1237" s="2">
        <v>8308</v>
      </c>
      <c r="B1237" s="2" t="s">
        <v>2080</v>
      </c>
      <c r="C1237" s="2" t="s">
        <v>2081</v>
      </c>
      <c r="D1237" s="2" t="s">
        <v>89</v>
      </c>
      <c r="E1237" s="2" t="s">
        <v>20</v>
      </c>
      <c r="F1237" s="2">
        <v>2024</v>
      </c>
      <c r="G1237" s="2">
        <v>2024</v>
      </c>
      <c r="H1237" s="2">
        <f>'mpi_dataset_summary_2017-2024'!$G1237-'mpi_dataset_summary_2017-2024'!$F1237+1</f>
        <v>1</v>
      </c>
      <c r="I1237" s="2" t="s">
        <v>2111</v>
      </c>
      <c r="J1237" s="2" t="s">
        <v>2111</v>
      </c>
      <c r="K1237" s="2">
        <f>IF('mpi_dataset_summary_2017-2024'!$G1237=2024,1,0)</f>
        <v>1</v>
      </c>
      <c r="L1237" s="2">
        <f t="shared" si="38"/>
        <v>0</v>
      </c>
      <c r="M1237" s="2">
        <v>80</v>
      </c>
      <c r="N1237" s="2">
        <f t="shared" si="39"/>
        <v>0.30499999999999999</v>
      </c>
      <c r="O1237" s="2" t="s">
        <v>2114</v>
      </c>
      <c r="P1237" s="2" t="s">
        <v>2114</v>
      </c>
      <c r="Q1237" s="2" t="s">
        <v>2109</v>
      </c>
      <c r="R1237" s="3" t="s">
        <v>27</v>
      </c>
      <c r="S1237" s="2" t="s">
        <v>25</v>
      </c>
      <c r="T1237" s="2" t="s">
        <v>57</v>
      </c>
    </row>
    <row r="1238" spans="1:20" x14ac:dyDescent="0.2">
      <c r="A1238" s="2">
        <v>8309</v>
      </c>
      <c r="B1238" s="2" t="s">
        <v>2082</v>
      </c>
      <c r="C1238" s="2" t="s">
        <v>2083</v>
      </c>
      <c r="D1238" s="2" t="s">
        <v>66</v>
      </c>
      <c r="E1238" s="2" t="s">
        <v>20</v>
      </c>
      <c r="F1238" s="2">
        <v>2024</v>
      </c>
      <c r="G1238" s="2">
        <v>2024</v>
      </c>
      <c r="H1238" s="2">
        <f>'mpi_dataset_summary_2017-2024'!$G1238-'mpi_dataset_summary_2017-2024'!$F1238+1</f>
        <v>1</v>
      </c>
      <c r="I1238" s="2" t="s">
        <v>2111</v>
      </c>
      <c r="J1238" s="2" t="s">
        <v>2111</v>
      </c>
      <c r="K1238" s="2">
        <f>IF('mpi_dataset_summary_2017-2024'!$G1238=2024,1,0)</f>
        <v>1</v>
      </c>
      <c r="L1238" s="2">
        <f t="shared" si="38"/>
        <v>0</v>
      </c>
      <c r="M1238" s="2">
        <v>28.5</v>
      </c>
      <c r="N1238" s="2">
        <f t="shared" si="39"/>
        <v>0.14199999999999999</v>
      </c>
      <c r="O1238" s="2" t="s">
        <v>2114</v>
      </c>
      <c r="P1238" s="2" t="s">
        <v>2114</v>
      </c>
      <c r="Q1238" s="2" t="s">
        <v>2109</v>
      </c>
      <c r="R1238" s="3" t="s">
        <v>41</v>
      </c>
      <c r="S1238" s="2" t="s">
        <v>25</v>
      </c>
      <c r="T1238" s="2" t="s">
        <v>57</v>
      </c>
    </row>
    <row r="1239" spans="1:20" x14ac:dyDescent="0.2">
      <c r="A1239" s="2">
        <v>8310</v>
      </c>
      <c r="B1239" s="2" t="s">
        <v>2084</v>
      </c>
      <c r="C1239" s="2" t="s">
        <v>2085</v>
      </c>
      <c r="D1239" s="2" t="s">
        <v>69</v>
      </c>
      <c r="E1239" s="2" t="s">
        <v>20</v>
      </c>
      <c r="F1239" s="2">
        <v>2024</v>
      </c>
      <c r="G1239" s="2">
        <v>2024</v>
      </c>
      <c r="H1239" s="2">
        <f>'mpi_dataset_summary_2017-2024'!$G1239-'mpi_dataset_summary_2017-2024'!$F1239+1</f>
        <v>1</v>
      </c>
      <c r="I1239" s="2" t="s">
        <v>2111</v>
      </c>
      <c r="J1239" s="2" t="s">
        <v>2111</v>
      </c>
      <c r="K1239" s="2">
        <f>IF('mpi_dataset_summary_2017-2024'!$G1239=2024,1,0)</f>
        <v>1</v>
      </c>
      <c r="L1239" s="2">
        <f t="shared" si="38"/>
        <v>0</v>
      </c>
      <c r="M1239" s="2">
        <v>34</v>
      </c>
      <c r="N1239" s="2">
        <f t="shared" si="39"/>
        <v>0.157</v>
      </c>
      <c r="O1239" s="2" t="s">
        <v>2114</v>
      </c>
      <c r="P1239" s="2" t="s">
        <v>2114</v>
      </c>
      <c r="Q1239" s="2" t="s">
        <v>2109</v>
      </c>
      <c r="R1239" s="3" t="s">
        <v>41</v>
      </c>
      <c r="S1239" s="2" t="s">
        <v>25</v>
      </c>
      <c r="T1239" s="2" t="s">
        <v>57</v>
      </c>
    </row>
    <row r="1240" spans="1:20" x14ac:dyDescent="0.2">
      <c r="A1240" s="2">
        <v>8319</v>
      </c>
      <c r="B1240" s="2" t="s">
        <v>2086</v>
      </c>
      <c r="C1240" s="2" t="s">
        <v>2087</v>
      </c>
      <c r="D1240" s="2" t="s">
        <v>110</v>
      </c>
      <c r="E1240" s="2" t="s">
        <v>20</v>
      </c>
      <c r="F1240" s="2">
        <v>2024</v>
      </c>
      <c r="G1240" s="2">
        <v>2024</v>
      </c>
      <c r="H1240" s="2">
        <f>'mpi_dataset_summary_2017-2024'!$G1240-'mpi_dataset_summary_2017-2024'!$F1240+1</f>
        <v>1</v>
      </c>
      <c r="I1240" s="2" t="s">
        <v>2111</v>
      </c>
      <c r="J1240" s="2" t="s">
        <v>2111</v>
      </c>
      <c r="K1240" s="2">
        <f>IF('mpi_dataset_summary_2017-2024'!$G1240=2024,1,0)</f>
        <v>1</v>
      </c>
      <c r="L1240" s="2">
        <f t="shared" si="38"/>
        <v>0</v>
      </c>
      <c r="M1240" s="2">
        <v>920</v>
      </c>
      <c r="N1240" s="2">
        <f t="shared" si="39"/>
        <v>0.79900000000000004</v>
      </c>
      <c r="O1240" s="2">
        <v>53.294639593880397</v>
      </c>
      <c r="P1240" s="2">
        <v>-109.98371302460799</v>
      </c>
      <c r="Q1240" s="2" t="s">
        <v>2108</v>
      </c>
      <c r="R1240" s="3" t="s">
        <v>44</v>
      </c>
      <c r="S1240" s="2" t="s">
        <v>25</v>
      </c>
      <c r="T1240" s="2" t="s">
        <v>45</v>
      </c>
    </row>
    <row r="1241" spans="1:20" x14ac:dyDescent="0.2">
      <c r="A1241" s="2">
        <v>8322</v>
      </c>
      <c r="B1241" s="2" t="s">
        <v>2088</v>
      </c>
      <c r="C1241" s="2" t="s">
        <v>2089</v>
      </c>
      <c r="D1241" s="2" t="s">
        <v>83</v>
      </c>
      <c r="E1241" s="2" t="s">
        <v>20</v>
      </c>
      <c r="F1241" s="2">
        <v>2024</v>
      </c>
      <c r="G1241" s="2">
        <v>2024</v>
      </c>
      <c r="H1241" s="2">
        <f>'mpi_dataset_summary_2017-2024'!$G1241-'mpi_dataset_summary_2017-2024'!$F1241+1</f>
        <v>1</v>
      </c>
      <c r="I1241" s="2" t="s">
        <v>2111</v>
      </c>
      <c r="J1241" s="2" t="s">
        <v>2111</v>
      </c>
      <c r="K1241" s="2">
        <f>IF('mpi_dataset_summary_2017-2024'!$G1241=2024,1,0)</f>
        <v>1</v>
      </c>
      <c r="L1241" s="2">
        <f t="shared" si="38"/>
        <v>0</v>
      </c>
      <c r="M1241" s="2">
        <v>77.599999999999994</v>
      </c>
      <c r="N1241" s="2">
        <f t="shared" si="39"/>
        <v>0.30099999999999999</v>
      </c>
      <c r="O1241" s="2" t="s">
        <v>2114</v>
      </c>
      <c r="P1241" s="2" t="s">
        <v>2114</v>
      </c>
      <c r="Q1241" s="2" t="s">
        <v>2108</v>
      </c>
      <c r="R1241" s="3" t="s">
        <v>24</v>
      </c>
      <c r="S1241" s="2" t="s">
        <v>25</v>
      </c>
      <c r="T1241" s="2" t="s">
        <v>26</v>
      </c>
    </row>
    <row r="1242" spans="1:20" x14ac:dyDescent="0.2">
      <c r="A1242" s="2">
        <v>8323</v>
      </c>
      <c r="B1242" s="2" t="s">
        <v>2090</v>
      </c>
      <c r="C1242" s="2" t="s">
        <v>2091</v>
      </c>
      <c r="D1242" s="2" t="s">
        <v>110</v>
      </c>
      <c r="E1242" s="2" t="s">
        <v>20</v>
      </c>
      <c r="F1242" s="2">
        <v>2024</v>
      </c>
      <c r="G1242" s="2">
        <v>2024</v>
      </c>
      <c r="H1242" s="2">
        <f>'mpi_dataset_summary_2017-2024'!$G1242-'mpi_dataset_summary_2017-2024'!$F1242+1</f>
        <v>1</v>
      </c>
      <c r="I1242" s="2" t="s">
        <v>2111</v>
      </c>
      <c r="J1242" s="2" t="s">
        <v>2111</v>
      </c>
      <c r="K1242" s="2">
        <f>IF('mpi_dataset_summary_2017-2024'!$G1242=2024,1,0)</f>
        <v>1</v>
      </c>
      <c r="L1242" s="2">
        <f t="shared" si="38"/>
        <v>0</v>
      </c>
      <c r="M1242" s="2">
        <v>100</v>
      </c>
      <c r="N1242" s="2">
        <f t="shared" si="39"/>
        <v>0.34300000000000003</v>
      </c>
      <c r="O1242" s="2" t="s">
        <v>2114</v>
      </c>
      <c r="P1242" s="2" t="s">
        <v>2114</v>
      </c>
      <c r="Q1242" s="2" t="s">
        <v>2108</v>
      </c>
      <c r="R1242" s="3" t="s">
        <v>24</v>
      </c>
      <c r="S1242" s="2" t="s">
        <v>25</v>
      </c>
      <c r="T1242" s="2" t="s">
        <v>26</v>
      </c>
    </row>
    <row r="1243" spans="1:20" x14ac:dyDescent="0.2">
      <c r="A1243" s="2">
        <v>8324</v>
      </c>
      <c r="B1243" s="2" t="s">
        <v>278</v>
      </c>
      <c r="C1243" s="2" t="s">
        <v>2092</v>
      </c>
      <c r="D1243" s="2" t="s">
        <v>161</v>
      </c>
      <c r="E1243" s="2" t="s">
        <v>43</v>
      </c>
      <c r="F1243" s="2">
        <v>2024</v>
      </c>
      <c r="G1243" s="2">
        <v>2024</v>
      </c>
      <c r="H1243" s="2">
        <f>'mpi_dataset_summary_2017-2024'!$G1243-'mpi_dataset_summary_2017-2024'!$F1243+1</f>
        <v>1</v>
      </c>
      <c r="I1243" s="2" t="s">
        <v>2111</v>
      </c>
      <c r="J1243" s="2" t="s">
        <v>2111</v>
      </c>
      <c r="K1243" s="2">
        <f>IF('mpi_dataset_summary_2017-2024'!$G1243=2024,1,0)</f>
        <v>1</v>
      </c>
      <c r="L1243" s="2">
        <f t="shared" si="38"/>
        <v>0</v>
      </c>
      <c r="M1243" s="2">
        <v>1000</v>
      </c>
      <c r="N1243" s="2">
        <f t="shared" si="39"/>
        <v>0.80500000000000005</v>
      </c>
      <c r="O1243" s="2" t="s">
        <v>2114</v>
      </c>
      <c r="P1243" s="2" t="s">
        <v>2114</v>
      </c>
      <c r="Q1243" s="2" t="s">
        <v>2108</v>
      </c>
      <c r="R1243" s="3" t="s">
        <v>24</v>
      </c>
      <c r="S1243" s="2" t="s">
        <v>25</v>
      </c>
      <c r="T1243" s="2" t="s">
        <v>26</v>
      </c>
    </row>
    <row r="1244" spans="1:20" x14ac:dyDescent="0.2">
      <c r="A1244" s="2">
        <v>8325</v>
      </c>
      <c r="B1244" s="2" t="s">
        <v>1247</v>
      </c>
      <c r="C1244" s="2" t="s">
        <v>2093</v>
      </c>
      <c r="D1244" s="2" t="s">
        <v>161</v>
      </c>
      <c r="E1244" s="2" t="s">
        <v>43</v>
      </c>
      <c r="F1244" s="2">
        <v>2024</v>
      </c>
      <c r="G1244" s="2">
        <v>2024</v>
      </c>
      <c r="H1244" s="2">
        <f>'mpi_dataset_summary_2017-2024'!$G1244-'mpi_dataset_summary_2017-2024'!$F1244+1</f>
        <v>1</v>
      </c>
      <c r="I1244" s="2" t="s">
        <v>2111</v>
      </c>
      <c r="J1244" s="2" t="s">
        <v>2111</v>
      </c>
      <c r="K1244" s="2">
        <f>IF('mpi_dataset_summary_2017-2024'!$G1244=2024,1,0)</f>
        <v>1</v>
      </c>
      <c r="L1244" s="2">
        <f t="shared" si="38"/>
        <v>0</v>
      </c>
      <c r="M1244" s="2">
        <v>80</v>
      </c>
      <c r="N1244" s="2">
        <f t="shared" si="39"/>
        <v>0.30499999999999999</v>
      </c>
      <c r="O1244" s="2" t="s">
        <v>2114</v>
      </c>
      <c r="P1244" s="2" t="s">
        <v>2114</v>
      </c>
      <c r="Q1244" s="2" t="s">
        <v>2108</v>
      </c>
      <c r="R1244" s="3" t="s">
        <v>41</v>
      </c>
      <c r="S1244" s="2" t="s">
        <v>25</v>
      </c>
      <c r="T1244" s="2" t="s">
        <v>46</v>
      </c>
    </row>
    <row r="1245" spans="1:20" x14ac:dyDescent="0.2">
      <c r="A1245" s="2">
        <v>8326</v>
      </c>
      <c r="B1245" s="2" t="s">
        <v>235</v>
      </c>
      <c r="C1245" s="2" t="s">
        <v>2094</v>
      </c>
      <c r="D1245" s="2" t="s">
        <v>86</v>
      </c>
      <c r="E1245" s="2" t="s">
        <v>43</v>
      </c>
      <c r="F1245" s="2">
        <v>2024</v>
      </c>
      <c r="G1245" s="2">
        <v>2024</v>
      </c>
      <c r="H1245" s="2">
        <f>'mpi_dataset_summary_2017-2024'!$G1245-'mpi_dataset_summary_2017-2024'!$F1245+1</f>
        <v>1</v>
      </c>
      <c r="I1245" s="2" t="s">
        <v>2112</v>
      </c>
      <c r="J1245" s="2" t="s">
        <v>2112</v>
      </c>
      <c r="K1245" s="2">
        <f>IF('mpi_dataset_summary_2017-2024'!$G1245=2024,1,0)</f>
        <v>1</v>
      </c>
      <c r="L1245" s="2">
        <f t="shared" si="38"/>
        <v>0</v>
      </c>
      <c r="M1245" s="2">
        <v>106.82105934000001</v>
      </c>
      <c r="N1245" s="2">
        <f t="shared" si="39"/>
        <v>0.36799999999999999</v>
      </c>
      <c r="O1245" s="2" t="s">
        <v>2114</v>
      </c>
      <c r="P1245" s="2" t="s">
        <v>2114</v>
      </c>
      <c r="Q1245" s="2" t="s">
        <v>2108</v>
      </c>
      <c r="R1245" s="3" t="s">
        <v>35</v>
      </c>
      <c r="S1245" s="2" t="s">
        <v>22</v>
      </c>
      <c r="T1245" s="2" t="s">
        <v>36</v>
      </c>
    </row>
    <row r="1246" spans="1:20" x14ac:dyDescent="0.2">
      <c r="A1246" s="2">
        <v>8327</v>
      </c>
      <c r="B1246" s="2" t="s">
        <v>235</v>
      </c>
      <c r="C1246" s="2" t="s">
        <v>2095</v>
      </c>
      <c r="D1246" s="2" t="s">
        <v>86</v>
      </c>
      <c r="E1246" s="2" t="s">
        <v>43</v>
      </c>
      <c r="F1246" s="2">
        <v>2024</v>
      </c>
      <c r="G1246" s="2">
        <v>2024</v>
      </c>
      <c r="H1246" s="2">
        <f>'mpi_dataset_summary_2017-2024'!$G1246-'mpi_dataset_summary_2017-2024'!$F1246+1</f>
        <v>1</v>
      </c>
      <c r="I1246" s="2" t="s">
        <v>2110</v>
      </c>
      <c r="J1246" s="2" t="s">
        <v>2110</v>
      </c>
      <c r="K1246" s="2">
        <f>IF('mpi_dataset_summary_2017-2024'!$G1246=2024,1,0)</f>
        <v>1</v>
      </c>
      <c r="L1246" s="2">
        <f t="shared" si="38"/>
        <v>1</v>
      </c>
      <c r="M1246" s="2">
        <v>20.587434559999998</v>
      </c>
      <c r="N1246" s="2">
        <f t="shared" si="39"/>
        <v>0.10299999999999999</v>
      </c>
      <c r="O1246" s="2">
        <v>51.182200000000002</v>
      </c>
      <c r="P1246" s="2">
        <v>-98.345500000000001</v>
      </c>
      <c r="Q1246" s="2" t="s">
        <v>2108</v>
      </c>
      <c r="R1246" s="3" t="s">
        <v>24</v>
      </c>
      <c r="S1246" s="2" t="s">
        <v>25</v>
      </c>
      <c r="T1246" s="2" t="s">
        <v>26</v>
      </c>
    </row>
    <row r="1247" spans="1:20" x14ac:dyDescent="0.2">
      <c r="A1247" s="2">
        <v>8328</v>
      </c>
      <c r="B1247" s="2" t="s">
        <v>235</v>
      </c>
      <c r="C1247" s="2" t="s">
        <v>2096</v>
      </c>
      <c r="D1247" s="2" t="s">
        <v>86</v>
      </c>
      <c r="E1247" s="2" t="s">
        <v>43</v>
      </c>
      <c r="F1247" s="2">
        <v>2024</v>
      </c>
      <c r="G1247" s="2">
        <v>2024</v>
      </c>
      <c r="H1247" s="2">
        <f>'mpi_dataset_summary_2017-2024'!$G1247-'mpi_dataset_summary_2017-2024'!$F1247+1</f>
        <v>1</v>
      </c>
      <c r="I1247" s="2" t="s">
        <v>2110</v>
      </c>
      <c r="J1247" s="2" t="s">
        <v>2110</v>
      </c>
      <c r="K1247" s="2">
        <f>IF('mpi_dataset_summary_2017-2024'!$G1247=2024,1,0)</f>
        <v>1</v>
      </c>
      <c r="L1247" s="2">
        <f t="shared" si="38"/>
        <v>1</v>
      </c>
      <c r="M1247" s="2">
        <v>84.324716569999893</v>
      </c>
      <c r="N1247" s="2">
        <f t="shared" si="39"/>
        <v>0.317</v>
      </c>
      <c r="O1247" s="2">
        <v>50.222000000000001</v>
      </c>
      <c r="P1247" s="2">
        <v>-95.567999999999998</v>
      </c>
      <c r="Q1247" s="2" t="s">
        <v>2108</v>
      </c>
      <c r="R1247" s="3" t="s">
        <v>24</v>
      </c>
      <c r="S1247" s="2" t="s">
        <v>25</v>
      </c>
      <c r="T1247" s="2" t="s">
        <v>26</v>
      </c>
    </row>
    <row r="1248" spans="1:20" x14ac:dyDescent="0.2">
      <c r="A1248" s="2">
        <v>8329</v>
      </c>
      <c r="B1248" s="2" t="s">
        <v>235</v>
      </c>
      <c r="C1248" s="2" t="s">
        <v>2097</v>
      </c>
      <c r="D1248" s="2" t="s">
        <v>86</v>
      </c>
      <c r="E1248" s="2" t="s">
        <v>43</v>
      </c>
      <c r="F1248" s="2">
        <v>2024</v>
      </c>
      <c r="G1248" s="2">
        <v>2024</v>
      </c>
      <c r="H1248" s="2">
        <f>'mpi_dataset_summary_2017-2024'!$G1248-'mpi_dataset_summary_2017-2024'!$F1248+1</f>
        <v>1</v>
      </c>
      <c r="I1248" s="2" t="s">
        <v>2110</v>
      </c>
      <c r="J1248" s="2" t="s">
        <v>2110</v>
      </c>
      <c r="K1248" s="2">
        <f>IF('mpi_dataset_summary_2017-2024'!$G1248=2024,1,0)</f>
        <v>1</v>
      </c>
      <c r="L1248" s="2">
        <f t="shared" si="38"/>
        <v>1</v>
      </c>
      <c r="M1248" s="2">
        <v>20.851829800000001</v>
      </c>
      <c r="N1248" s="2">
        <f t="shared" si="39"/>
        <v>0.10299999999999999</v>
      </c>
      <c r="O1248" s="2">
        <v>51.149000000000001</v>
      </c>
      <c r="P1248" s="2">
        <v>-100.04900000000001</v>
      </c>
      <c r="Q1248" s="2" t="s">
        <v>2108</v>
      </c>
      <c r="R1248" s="3" t="s">
        <v>41</v>
      </c>
      <c r="S1248" s="2" t="s">
        <v>25</v>
      </c>
      <c r="T1248" s="2" t="s">
        <v>46</v>
      </c>
    </row>
    <row r="1249" spans="1:20" x14ac:dyDescent="0.2">
      <c r="A1249" s="2">
        <v>8330</v>
      </c>
      <c r="B1249" s="2" t="s">
        <v>2098</v>
      </c>
      <c r="C1249" s="2" t="s">
        <v>2099</v>
      </c>
      <c r="D1249" s="2" t="s">
        <v>161</v>
      </c>
      <c r="E1249" s="2" t="s">
        <v>20</v>
      </c>
      <c r="F1249" s="2">
        <v>2024</v>
      </c>
      <c r="G1249" s="2">
        <v>2024</v>
      </c>
      <c r="H1249" s="2">
        <f>'mpi_dataset_summary_2017-2024'!$G1249-'mpi_dataset_summary_2017-2024'!$F1249+1</f>
        <v>1</v>
      </c>
      <c r="I1249" s="2" t="s">
        <v>2111</v>
      </c>
      <c r="J1249" s="2" t="s">
        <v>2111</v>
      </c>
      <c r="K1249" s="2">
        <f>IF('mpi_dataset_summary_2017-2024'!$G1249=2024,1,0)</f>
        <v>1</v>
      </c>
      <c r="L1249" s="2">
        <f t="shared" si="38"/>
        <v>0</v>
      </c>
      <c r="M1249" s="2">
        <v>26000</v>
      </c>
      <c r="N1249" s="2">
        <f t="shared" si="39"/>
        <v>0.996</v>
      </c>
      <c r="O1249" s="2" t="s">
        <v>2114</v>
      </c>
      <c r="P1249" s="2" t="s">
        <v>2114</v>
      </c>
      <c r="Q1249" s="2" t="s">
        <v>2108</v>
      </c>
      <c r="R1249" s="3" t="s">
        <v>24</v>
      </c>
      <c r="S1249" s="2" t="s">
        <v>25</v>
      </c>
      <c r="T1249" s="2" t="s">
        <v>26</v>
      </c>
    </row>
    <row r="1250" spans="1:20" x14ac:dyDescent="0.2">
      <c r="A1250" s="2">
        <v>8331</v>
      </c>
      <c r="B1250" s="2" t="s">
        <v>133</v>
      </c>
      <c r="C1250" s="2" t="s">
        <v>2100</v>
      </c>
      <c r="D1250" s="2" t="s">
        <v>86</v>
      </c>
      <c r="E1250" s="2" t="s">
        <v>20</v>
      </c>
      <c r="F1250" s="2">
        <v>2024</v>
      </c>
      <c r="G1250" s="2">
        <v>2024</v>
      </c>
      <c r="H1250" s="2">
        <f>'mpi_dataset_summary_2017-2024'!$G1250-'mpi_dataset_summary_2017-2024'!$F1250+1</f>
        <v>1</v>
      </c>
      <c r="I1250" s="2" t="s">
        <v>2112</v>
      </c>
      <c r="J1250" s="2" t="s">
        <v>2112</v>
      </c>
      <c r="K1250" s="2">
        <f>IF('mpi_dataset_summary_2017-2024'!$G1250=2024,1,0)</f>
        <v>1</v>
      </c>
      <c r="L1250" s="2">
        <f t="shared" si="38"/>
        <v>0</v>
      </c>
      <c r="M1250" s="2">
        <v>260.59800000000001</v>
      </c>
      <c r="N1250" s="2">
        <f t="shared" si="39"/>
        <v>0.55500000000000005</v>
      </c>
      <c r="O1250" s="2">
        <v>56.893099999999997</v>
      </c>
      <c r="P1250" s="2">
        <v>-100.95140000000001</v>
      </c>
      <c r="Q1250" s="2" t="s">
        <v>2107</v>
      </c>
      <c r="R1250" s="3" t="s">
        <v>29</v>
      </c>
      <c r="S1250" s="2" t="s">
        <v>22</v>
      </c>
      <c r="T1250" s="2" t="s">
        <v>30</v>
      </c>
    </row>
    <row r="1251" spans="1:20" x14ac:dyDescent="0.2">
      <c r="A1251" s="2">
        <v>9997</v>
      </c>
      <c r="B1251" s="2" t="s">
        <v>2101</v>
      </c>
      <c r="C1251" s="2" t="s">
        <v>2102</v>
      </c>
      <c r="D1251" s="2" t="s">
        <v>161</v>
      </c>
      <c r="E1251" s="2" t="s">
        <v>20</v>
      </c>
      <c r="F1251" s="2">
        <v>2024</v>
      </c>
      <c r="G1251" s="2">
        <v>2024</v>
      </c>
      <c r="H1251" s="2">
        <f>'mpi_dataset_summary_2017-2024'!$G1251-'mpi_dataset_summary_2017-2024'!$F1251+1</f>
        <v>1</v>
      </c>
      <c r="I1251" s="2" t="s">
        <v>2112</v>
      </c>
      <c r="J1251" s="2" t="s">
        <v>2112</v>
      </c>
      <c r="K1251" s="2">
        <f>IF('mpi_dataset_summary_2017-2024'!$G1251=2024,1,0)</f>
        <v>1</v>
      </c>
      <c r="L1251" s="2">
        <f t="shared" si="38"/>
        <v>0</v>
      </c>
      <c r="M1251" s="2">
        <v>165</v>
      </c>
      <c r="N1251" s="2">
        <f t="shared" si="39"/>
        <v>0.46</v>
      </c>
      <c r="O1251" s="2">
        <v>42.8290770294563</v>
      </c>
      <c r="P1251" s="2">
        <v>-80.047302063017099</v>
      </c>
      <c r="Q1251" s="2" t="s">
        <v>2108</v>
      </c>
      <c r="R1251" s="3" t="s">
        <v>44</v>
      </c>
      <c r="S1251" s="2" t="s">
        <v>25</v>
      </c>
      <c r="T1251" s="2" t="s">
        <v>45</v>
      </c>
    </row>
    <row r="1252" spans="1:20" x14ac:dyDescent="0.2">
      <c r="A1252" s="2">
        <v>9998</v>
      </c>
      <c r="B1252" s="2" t="s">
        <v>2103</v>
      </c>
      <c r="C1252" s="2" t="s">
        <v>2104</v>
      </c>
      <c r="D1252" s="2" t="s">
        <v>66</v>
      </c>
      <c r="E1252" s="2" t="s">
        <v>20</v>
      </c>
      <c r="F1252" s="2">
        <v>2024</v>
      </c>
      <c r="G1252" s="2">
        <v>2024</v>
      </c>
      <c r="H1252" s="2">
        <f>'mpi_dataset_summary_2017-2024'!$G1252-'mpi_dataset_summary_2017-2024'!$F1252+1</f>
        <v>1</v>
      </c>
      <c r="I1252" s="2" t="s">
        <v>2111</v>
      </c>
      <c r="J1252" s="2" t="s">
        <v>2111</v>
      </c>
      <c r="K1252" s="2">
        <f>IF('mpi_dataset_summary_2017-2024'!$G1252=2024,1,0)</f>
        <v>1</v>
      </c>
      <c r="L1252" s="2">
        <f t="shared" si="38"/>
        <v>0</v>
      </c>
      <c r="M1252" s="2">
        <v>135</v>
      </c>
      <c r="N1252" s="2">
        <f t="shared" si="39"/>
        <v>0.42</v>
      </c>
      <c r="O1252" s="2">
        <v>50.0813209783825</v>
      </c>
      <c r="P1252" s="2">
        <v>-110.727736443913</v>
      </c>
      <c r="Q1252" s="2" t="s">
        <v>2108</v>
      </c>
      <c r="R1252" s="3" t="s">
        <v>44</v>
      </c>
      <c r="S1252" s="2" t="s">
        <v>25</v>
      </c>
      <c r="T1252" s="2" t="s">
        <v>45</v>
      </c>
    </row>
    <row r="1253" spans="1:20" x14ac:dyDescent="0.2">
      <c r="A1253" s="2">
        <v>9999</v>
      </c>
      <c r="B1253" s="2" t="s">
        <v>2103</v>
      </c>
      <c r="C1253" s="2" t="s">
        <v>2105</v>
      </c>
      <c r="D1253" s="2" t="s">
        <v>110</v>
      </c>
      <c r="E1253" s="2" t="s">
        <v>20</v>
      </c>
      <c r="F1253" s="2">
        <v>2024</v>
      </c>
      <c r="G1253" s="2">
        <v>2024</v>
      </c>
      <c r="H1253" s="2">
        <f>'mpi_dataset_summary_2017-2024'!$G1253-'mpi_dataset_summary_2017-2024'!$F1253+1</f>
        <v>1</v>
      </c>
      <c r="I1253" s="2" t="s">
        <v>2111</v>
      </c>
      <c r="J1253" s="2" t="s">
        <v>2111</v>
      </c>
      <c r="K1253" s="2">
        <f>IF('mpi_dataset_summary_2017-2024'!$G1253=2024,1,0)</f>
        <v>1</v>
      </c>
      <c r="L1253" s="2">
        <f t="shared" si="38"/>
        <v>0</v>
      </c>
      <c r="M1253" s="2">
        <v>100</v>
      </c>
      <c r="N1253" s="2">
        <f>_xlfn.PERCENTRANK.INC($M$2:$M$4056,M1253)</f>
        <v>0.34300000000000003</v>
      </c>
      <c r="O1253" s="2">
        <v>51.852111604668202</v>
      </c>
      <c r="P1253" s="2">
        <v>-104.861876888975</v>
      </c>
      <c r="Q1253" s="2" t="s">
        <v>2108</v>
      </c>
      <c r="R1253" s="3" t="s">
        <v>44</v>
      </c>
      <c r="S1253" s="2" t="s">
        <v>25</v>
      </c>
      <c r="T1253" s="2" t="s">
        <v>45</v>
      </c>
    </row>
    <row r="1254" spans="1:20" x14ac:dyDescent="0.2">
      <c r="A1254" s="2">
        <v>8258</v>
      </c>
      <c r="B1254" s="2" t="s">
        <v>1430</v>
      </c>
      <c r="C1254" s="2" t="s">
        <v>2106</v>
      </c>
      <c r="D1254" s="2" t="s">
        <v>66</v>
      </c>
      <c r="E1254" s="2" t="s">
        <v>20</v>
      </c>
      <c r="F1254" s="2">
        <v>2020</v>
      </c>
      <c r="G1254" s="2">
        <v>2020</v>
      </c>
      <c r="H1254" s="2">
        <f>'mpi_dataset_summary_2017-2024'!$G1254-'mpi_dataset_summary_2017-2024'!$F1254+1</f>
        <v>1</v>
      </c>
      <c r="I1254" s="2" t="s">
        <v>2110</v>
      </c>
      <c r="J1254" s="2" t="s">
        <v>2110</v>
      </c>
      <c r="K1254" s="2">
        <f>IF('mpi_dataset_summary_2017-2024'!$G1254=2024,1,0)</f>
        <v>0</v>
      </c>
      <c r="L1254" s="2">
        <f t="shared" si="38"/>
        <v>1</v>
      </c>
      <c r="M1254" s="2">
        <v>33</v>
      </c>
      <c r="N1254" s="2">
        <f t="shared" ref="N1254" si="40">_xlfn.PERCENTRANK.INC($M$2:$M$4056,M1254)</f>
        <v>0.155</v>
      </c>
      <c r="O1254" s="2" t="s">
        <v>2114</v>
      </c>
      <c r="P1254" s="2" t="s">
        <v>2114</v>
      </c>
      <c r="Q1254" s="2" t="s">
        <v>2109</v>
      </c>
      <c r="R1254" s="3" t="s">
        <v>41</v>
      </c>
      <c r="S1254" s="2" t="s">
        <v>25</v>
      </c>
      <c r="T1254" s="2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15c362-78d0-46e3-855d-450aec0345ae">
      <Terms xmlns="http://schemas.microsoft.com/office/infopath/2007/PartnerControls"/>
    </lcf76f155ced4ddcb4097134ff3c332f>
    <TaxCatchAll xmlns="919db50e-9b93-4aa7-8f4d-aba87c2cfe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54FBCA06F694A882683D7ACFDA923" ma:contentTypeVersion="18" ma:contentTypeDescription="Create a new document." ma:contentTypeScope="" ma:versionID="654d623470b4a6fb6721727d56430b4d">
  <xsd:schema xmlns:xsd="http://www.w3.org/2001/XMLSchema" xmlns:xs="http://www.w3.org/2001/XMLSchema" xmlns:p="http://schemas.microsoft.com/office/2006/metadata/properties" xmlns:ns2="cd15c362-78d0-46e3-855d-450aec0345ae" xmlns:ns3="919db50e-9b93-4aa7-8f4d-aba87c2cfe80" targetNamespace="http://schemas.microsoft.com/office/2006/metadata/properties" ma:root="true" ma:fieldsID="a32782979afd25915a6e5b9a8d07914c" ns2:_="" ns3:_="">
    <xsd:import namespace="cd15c362-78d0-46e3-855d-450aec0345ae"/>
    <xsd:import namespace="919db50e-9b93-4aa7-8f4d-aba87c2cf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5c362-78d0-46e3-855d-450aec034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764d4ab-16ae-4785-9752-2479a0912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db50e-9b93-4aa7-8f4d-aba87c2cf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445403-771f-40fd-a3c7-d4736e9d1dad}" ma:internalName="TaxCatchAll" ma:showField="CatchAllData" ma:web="919db50e-9b93-4aa7-8f4d-aba87c2cf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7EDA60-049C-4B37-AF76-60A0A4A9D1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C0DAEC-BA8E-47E1-ACD5-E2885B648B94}">
  <ds:schemaRefs>
    <ds:schemaRef ds:uri="http://schemas.microsoft.com/office/2006/metadata/properties"/>
    <ds:schemaRef ds:uri="http://schemas.microsoft.com/office/infopath/2007/PartnerControls"/>
    <ds:schemaRef ds:uri="cd15c362-78d0-46e3-855d-450aec0345ae"/>
    <ds:schemaRef ds:uri="919db50e-9b93-4aa7-8f4d-aba87c2cfe80"/>
  </ds:schemaRefs>
</ds:datastoreItem>
</file>

<file path=customXml/itemProps3.xml><?xml version="1.0" encoding="utf-8"?>
<ds:datastoreItem xmlns:ds="http://schemas.openxmlformats.org/officeDocument/2006/customXml" ds:itemID="{9271CC9C-AE78-44C0-8F31-C20B687A6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15c362-78d0-46e3-855d-450aec0345ae"/>
    <ds:schemaRef ds:uri="919db50e-9b93-4aa7-8f4d-aba87c2cf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mpi_dataset_summary_2017-2024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2025-08-12T14:16:52Z</dcterms:created>
  <dcterms:modified xsi:type="dcterms:W3CDTF">2025-08-21T16:04:15Z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0x0101003BD54FBCA06F694A882683D7ACFDA923</vt:lpwstr>
  </property>
</Properties>
</file>