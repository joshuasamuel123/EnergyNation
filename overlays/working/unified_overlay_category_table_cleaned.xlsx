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northeastmidstream.sharepoint.com/sites/NMRNG/Shared Documents/Major Projects/MPI Government Override/Overlays/Unified Overlay/Latest/Substack/"/>
    </mc:Choice>
  </mc:AlternateContent>
  <xr:revisionPtr revIDLastSave="38" documentId="8_{AB228061-659A-834D-9847-87CDD73B2A20}" xr6:coauthVersionLast="47" xr6:coauthVersionMax="47" xr10:uidLastSave="{82F12A2B-BE96-CE44-9C1A-2685CC509244}"/>
  <bookViews>
    <workbookView xWindow="6920" yWindow="500" windowWidth="32080" windowHeight="13200" xr2:uid="{00000000-000D-0000-FFFF-FFFF00000000}"/>
  </bookViews>
  <sheets>
    <sheet name="Sheet1" sheetId="1" r:id="rId1"/>
    <sheet name="Sheet2" sheetId="3" r:id="rId2"/>
    <sheet name="Sheet4" sheetId="5" r:id="rId3"/>
  </sheets>
  <calcPr calcId="191029"/>
  <pivotCaches>
    <pivotCache cacheId="38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3" i="1" l="1"/>
  <c r="L142" i="1"/>
  <c r="L141" i="1"/>
  <c r="L140" i="1"/>
  <c r="L139" i="1"/>
  <c r="L138" i="1"/>
  <c r="L137" i="1"/>
  <c r="L136" i="1"/>
  <c r="L135" i="1"/>
  <c r="L134" i="1"/>
  <c r="L133" i="1"/>
  <c r="L132" i="1"/>
  <c r="L131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<sst xmlns="http://schemas.openxmlformats.org/spreadsheetml/2006/main" count="444" uniqueCount="67">
  <si>
    <t>category_type</t>
  </si>
  <si>
    <t>group_label</t>
  </si>
  <si>
    <t>source</t>
  </si>
  <si>
    <t>mean_blended_base</t>
  </si>
  <si>
    <t>mean_blended_counterfactual</t>
  </si>
  <si>
    <t>mean_delta_blended</t>
  </si>
  <si>
    <t>mean_EV_base</t>
  </si>
  <si>
    <t>mean_EV_counterfactual</t>
  </si>
  <si>
    <t>mean_delta_EV</t>
  </si>
  <si>
    <t>total_EV_base</t>
  </si>
  <si>
    <t>total_EV_counterfactual</t>
  </si>
  <si>
    <t>count</t>
  </si>
  <si>
    <t>province</t>
  </si>
  <si>
    <t>start_year</t>
  </si>
  <si>
    <t>sector</t>
  </si>
  <si>
    <t>group</t>
  </si>
  <si>
    <t>FOAK</t>
  </si>
  <si>
    <t>greenfield</t>
  </si>
  <si>
    <t>cost_bin</t>
  </si>
  <si>
    <t>AB</t>
  </si>
  <si>
    <t>BC</t>
  </si>
  <si>
    <t>MB</t>
  </si>
  <si>
    <t>Multi</t>
  </si>
  <si>
    <t>NB</t>
  </si>
  <si>
    <t>NL</t>
  </si>
  <si>
    <t>NS</t>
  </si>
  <si>
    <t>NT</t>
  </si>
  <si>
    <t>ON</t>
  </si>
  <si>
    <t>PE</t>
  </si>
  <si>
    <t>QC</t>
  </si>
  <si>
    <t>SK</t>
  </si>
  <si>
    <t>YK</t>
  </si>
  <si>
    <t>Energy</t>
  </si>
  <si>
    <t>Forest</t>
  </si>
  <si>
    <t>Mining</t>
  </si>
  <si>
    <t>Base Metal</t>
  </si>
  <si>
    <t>CCUS</t>
  </si>
  <si>
    <t>Clean Electricity</t>
  </si>
  <si>
    <t>Coal</t>
  </si>
  <si>
    <t>Critical Mineral</t>
  </si>
  <si>
    <t>DER, Storage, EV</t>
  </si>
  <si>
    <t>EWP</t>
  </si>
  <si>
    <t>Low Carbon Fuels</t>
  </si>
  <si>
    <t>Lumber</t>
  </si>
  <si>
    <t>NG Power Gen</t>
  </si>
  <si>
    <t>Nuclear</t>
  </si>
  <si>
    <t>Oil &amp; Gas - Downstream</t>
  </si>
  <si>
    <t>Oil &amp; Gas - Upstream</t>
  </si>
  <si>
    <t>Other</t>
  </si>
  <si>
    <t>Precious Metal</t>
  </si>
  <si>
    <t>Pulp &amp; Paper</t>
  </si>
  <si>
    <t>Trans &amp; Distr</t>
  </si>
  <si>
    <t>Waste Biomass</t>
  </si>
  <si>
    <t>No</t>
  </si>
  <si>
    <t>Yes</t>
  </si>
  <si>
    <t>Q0</t>
  </si>
  <si>
    <t>Q1</t>
  </si>
  <si>
    <t>Q2</t>
  </si>
  <si>
    <t>Q3</t>
  </si>
  <si>
    <t>Q4</t>
  </si>
  <si>
    <t>ind_only</t>
  </si>
  <si>
    <t>mpo_only</t>
  </si>
  <si>
    <t>combined</t>
  </si>
  <si>
    <t>total_EV_delta</t>
  </si>
  <si>
    <t>Row Labels</t>
  </si>
  <si>
    <t>Grand Total</t>
  </si>
  <si>
    <t>Sum of total_EV_delta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</si>
</sst>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4" borderId="2" xfId="0" applyFont="1" applyFill="1" applyBorder="1"/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0" fillId="3" borderId="1" xfId="0" applyFont="1" applyFill="1" applyBorder="1"/>
    <xf numFmtId="0" fontId="0" fillId="3" borderId="5" xfId="0" applyFont="1" applyFill="1" applyBorder="1"/>
    <xf numFmtId="0" fontId="0" fillId="4" borderId="6" xfId="0" applyFont="1" applyFill="1" applyBorder="1"/>
    <xf numFmtId="0" fontId="0" fillId="3" borderId="6" xfId="0" applyFont="1" applyFill="1" applyBorder="1"/>
    <xf numFmtId="0" fontId="0" fillId="3" borderId="2" xfId="0" applyFont="1" applyFill="1" applyBorder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pivotCacheDefinition" Target="pivotCache/pivotCacheDefinition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26.674696527778" createdVersion="8" refreshedVersion="8" minRefreshableVersion="3" recordCount="142" xr:uid="{4BB170C0-D732-F042-AAA3-0495B10F2B72}">
  <cacheSource type="worksheet">
    <worksheetSource ref="A1:M143" sheet="Sheet1"/>
  </cacheSource>
  <cacheFields count="13">
    <cacheField name="category_type" numFmtId="0">
      <sharedItems count="7">
        <s v="province"/>
        <s v="start_year"/>
        <s v="sector"/>
        <s v="group"/>
        <s v="FOAK"/>
        <s v="greenfield"/>
        <s v="cost_bin"/>
      </sharedItems>
    </cacheField>
    <cacheField name="group_label" numFmtId="0">
      <sharedItems containsMixedTypes="1" containsNumber="1" containsInteger="1" minValue="0" maxValue="7" count="49">
        <s v="AB"/>
        <s v="BC"/>
        <s v="MB"/>
        <s v="Multi"/>
        <s v="NB"/>
        <s v="NL"/>
        <s v="NS"/>
        <s v="NT"/>
        <s v="ON"/>
        <s v="PE"/>
        <s v="QC"/>
        <s v="SK"/>
        <s v="YK"/>
        <n v="0"/>
        <n v="1"/>
        <n v="2"/>
        <n v="3"/>
        <n v="4"/>
        <n v="5"/>
        <n v="6"/>
        <n v="7"/>
        <s v="Energy"/>
        <s v="Forest"/>
        <s v="Mining"/>
        <s v="Base Metal"/>
        <s v="CCUS"/>
        <s v="Clean Electricity"/>
        <s v="Coal"/>
        <s v="Critical Mineral"/>
        <s v="DER, Storage, EV"/>
        <s v="EWP"/>
        <s v="Low Carbon Fuels"/>
        <s v="Lumber"/>
        <s v="NG Power Gen"/>
        <s v="Nuclear"/>
        <s v="Oil &amp; Gas - Downstream"/>
        <s v="Oil &amp; Gas - Upstream"/>
        <s v="Other"/>
        <s v="Precious Metal"/>
        <s v="Pulp &amp; Paper"/>
        <s v="Trans &amp; Distr"/>
        <s v="Waste Biomass"/>
        <s v="No"/>
        <s v="Yes"/>
        <s v="Q0"/>
        <s v="Q1"/>
        <s v="Q2"/>
        <s v="Q3"/>
        <s v="Q4"/>
      </sharedItems>
    </cacheField>
    <cacheField name="source" numFmtId="0">
      <sharedItems count="3">
        <s v="ind_only"/>
        <s v="mpo_only"/>
        <s v="combined"/>
      </sharedItems>
    </cacheField>
    <cacheField name="mean_blended_base" numFmtId="0">
      <sharedItems containsSemiMixedTypes="0" containsString="0" containsNumber="1" minValue="1.0510052964490001E-2" maxValue="0.57293544757683601"/>
    </cacheField>
    <cacheField name="mean_blended_counterfactual" numFmtId="0">
      <sharedItems containsSemiMixedTypes="0" containsString="0" containsNumber="1" minValue="1.07807536156181E-2" maxValue="0.583495516249253"/>
    </cacheField>
    <cacheField name="mean_delta_blended" numFmtId="0">
      <sharedItems containsSemiMixedTypes="0" containsString="0" containsNumber="1" minValue="0" maxValue="0.12661861477084299"/>
    </cacheField>
    <cacheField name="mean_EV_base" numFmtId="0">
      <sharedItems containsSemiMixedTypes="0" containsString="0" containsNumber="1" minValue="7.1304730619283596" maxValue="11758.472683243001"/>
    </cacheField>
    <cacheField name="mean_EV_counterfactual" numFmtId="0">
      <sharedItems containsSemiMixedTypes="0" containsString="0" containsNumber="1" minValue="8.6026536443353994" maxValue="11963.393443917699"/>
    </cacheField>
    <cacheField name="mean_delta_EV" numFmtId="0">
      <sharedItems containsSemiMixedTypes="0" containsString="0" containsNumber="1" minValue="0" maxValue="204.92076067464501"/>
    </cacheField>
    <cacheField name="total_EV_base" numFmtId="0">
      <sharedItems containsSemiMixedTypes="0" containsString="0" containsNumber="1" minValue="7.1304730619283596" maxValue="109394.841787592"/>
    </cacheField>
    <cacheField name="total_EV_counterfactual" numFmtId="0">
      <sharedItems containsSemiMixedTypes="0" containsString="0" containsNumber="1" minValue="8.6026536443353994" maxValue="118531.26317977499"/>
    </cacheField>
    <cacheField name="total_EV_delta" numFmtId="0">
      <sharedItems containsSemiMixedTypes="0" containsString="0" containsNumber="1" minValue="0" maxValue="9612.1864491519009"/>
    </cacheField>
    <cacheField name="count" numFmtId="0">
      <sharedItems containsSemiMixedTypes="0" containsString="0" containsNumber="1" containsInteger="1" minValue="1" maxValue="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2">
  <r>
    <x v="0"/>
    <x v="0"/>
    <x v="0"/>
    <n v="0.48425350583789001"/>
    <n v="0.50006262444781002"/>
    <n v="1.5809118609919799E-2"/>
    <n v="640.67461109086105"/>
    <n v="652.89045403714101"/>
    <n v="12.2158429462807"/>
    <n v="53175.992720541399"/>
    <n v="54189.907685082697"/>
    <n v="1013.9149645412981"/>
    <n v="83"/>
  </r>
  <r>
    <x v="0"/>
    <x v="1"/>
    <x v="0"/>
    <n v="2.3621421226126201E-2"/>
    <n v="2.4575843634546801E-2"/>
    <n v="9.5442240842054404E-4"/>
    <n v="27.3665004922305"/>
    <n v="28.783848212114499"/>
    <n v="1.4173477198839901"/>
    <n v="2709.2835487308198"/>
    <n v="2849.6009729993398"/>
    <n v="140.31742426851997"/>
    <n v="99"/>
  </r>
  <r>
    <x v="0"/>
    <x v="2"/>
    <x v="0"/>
    <n v="0.41230620331815199"/>
    <n v="0.42165814008923602"/>
    <n v="9.3519367710841496E-3"/>
    <n v="47.580877663150197"/>
    <n v="48.3972741546321"/>
    <n v="0.81639649148188298"/>
    <n v="333.06614364205097"/>
    <n v="338.78091908242499"/>
    <n v="5.7147754403740123"/>
    <n v="7"/>
  </r>
  <r>
    <x v="0"/>
    <x v="3"/>
    <x v="0"/>
    <n v="0.42735901953774202"/>
    <n v="0.43960857729289499"/>
    <n v="1.22495577551521E-2"/>
    <n v="478.59196468144398"/>
    <n v="485.89251820251701"/>
    <n v="7.3005535210733496"/>
    <n v="1435.77589404433"/>
    <n v="1457.6775546075501"/>
    <n v="21.901660563220048"/>
    <n v="3"/>
  </r>
  <r>
    <x v="0"/>
    <x v="4"/>
    <x v="0"/>
    <n v="0.34891974214240901"/>
    <n v="0.350308727365512"/>
    <n v="1.3889852231030999E-3"/>
    <n v="180.86621095973501"/>
    <n v="182.394094705149"/>
    <n v="1.52788374541344"/>
    <n v="723.46484383894199"/>
    <n v="729.57637882059601"/>
    <n v="6.1115349816540174"/>
    <n v="4"/>
  </r>
  <r>
    <x v="0"/>
    <x v="5"/>
    <x v="0"/>
    <n v="0.25411281262144297"/>
    <n v="0.25594016361475902"/>
    <n v="1.8273509933161201E-3"/>
    <n v="386.83572283402401"/>
    <n v="396.90610746629397"/>
    <n v="10.070384632269599"/>
    <n v="3868.35722834024"/>
    <n v="3969.06107466294"/>
    <n v="100.70384632269997"/>
    <n v="10"/>
  </r>
  <r>
    <x v="0"/>
    <x v="6"/>
    <x v="0"/>
    <n v="0.230221007311981"/>
    <n v="0.24325254992351"/>
    <n v="1.30315426115283E-2"/>
    <n v="65.226038240396704"/>
    <n v="67.144313089986596"/>
    <n v="1.91827484958989"/>
    <n v="913.164535365554"/>
    <n v="940.020383259813"/>
    <n v="26.855847894259"/>
    <n v="14"/>
  </r>
  <r>
    <x v="0"/>
    <x v="7"/>
    <x v="0"/>
    <n v="0.26084147965314802"/>
    <n v="0.28412485454318498"/>
    <n v="2.3283374890037099E-2"/>
    <n v="48.772232266624201"/>
    <n v="50.979348522870602"/>
    <n v="2.2071162562463398"/>
    <n v="438.95009039961798"/>
    <n v="458.81413670583498"/>
    <n v="19.864046306217006"/>
    <n v="9"/>
  </r>
  <r>
    <x v="0"/>
    <x v="8"/>
    <x v="0"/>
    <n v="0.449464383394791"/>
    <n v="0.46060227581471203"/>
    <n v="1.1137892419921599E-2"/>
    <n v="830.20079708608296"/>
    <n v="843.74807490783098"/>
    <n v="13.547277821747899"/>
    <n v="35698.634274701501"/>
    <n v="36281.167221036703"/>
    <n v="582.53294633520272"/>
    <n v="43"/>
  </r>
  <r>
    <x v="0"/>
    <x v="9"/>
    <x v="0"/>
    <n v="0.43792392496958699"/>
    <n v="0.47636943212703498"/>
    <n v="3.8445507157448801E-2"/>
    <n v="25.6200114031091"/>
    <n v="27.140000334762099"/>
    <n v="1.51998893165301"/>
    <n v="76.860034209327495"/>
    <n v="81.420001004286505"/>
    <n v="4.5599667949590099"/>
    <n v="3"/>
  </r>
  <r>
    <x v="0"/>
    <x v="10"/>
    <x v="0"/>
    <n v="0.28864450315385598"/>
    <n v="0.29187170780309202"/>
    <n v="3.2272046492358201E-3"/>
    <n v="197.31763100329999"/>
    <n v="198.68521030873501"/>
    <n v="1.3675793054352701"/>
    <n v="13614.916539227699"/>
    <n v="13709.2795113027"/>
    <n v="94.36297207500138"/>
    <n v="69"/>
  </r>
  <r>
    <x v="0"/>
    <x v="11"/>
    <x v="0"/>
    <n v="0.301041997083346"/>
    <n v="0.31151328722223998"/>
    <n v="1.04712901388935E-2"/>
    <n v="155.09802934691001"/>
    <n v="159.21581383974001"/>
    <n v="4.1177844928290801"/>
    <n v="2481.5684695505702"/>
    <n v="2547.4530214358401"/>
    <n v="65.884551885269957"/>
    <n v="16"/>
  </r>
  <r>
    <x v="0"/>
    <x v="12"/>
    <x v="0"/>
    <n v="0.30992731822672298"/>
    <n v="0.30992731822672298"/>
    <n v="0"/>
    <n v="355.94382581412401"/>
    <n v="355.94382581412401"/>
    <n v="0"/>
    <n v="1423.7753032564899"/>
    <n v="1423.7753032564899"/>
    <n v="0"/>
    <n v="4"/>
  </r>
  <r>
    <x v="1"/>
    <x v="13"/>
    <x v="0"/>
    <n v="0.39909339056927801"/>
    <n v="0.40469427470542702"/>
    <n v="5.6008841361486397E-3"/>
    <n v="389.344105544169"/>
    <n v="392.90353760418998"/>
    <n v="3.5594320600210798"/>
    <n v="42438.507504314497"/>
    <n v="42826.4855988567"/>
    <n v="387.9780945422026"/>
    <n v="109"/>
  </r>
  <r>
    <x v="1"/>
    <x v="14"/>
    <x v="0"/>
    <n v="0.37167712340963799"/>
    <n v="0.37700912797841302"/>
    <n v="5.3320045687744299E-3"/>
    <n v="423.58152544174601"/>
    <n v="426.77924020279698"/>
    <n v="3.1977147610511198"/>
    <n v="13554.6088141358"/>
    <n v="13656.9356864895"/>
    <n v="102.32687235370031"/>
    <n v="32"/>
  </r>
  <r>
    <x v="1"/>
    <x v="15"/>
    <x v="0"/>
    <n v="0.380253976310923"/>
    <n v="0.40053405297448902"/>
    <n v="2.0280076663565402E-2"/>
    <n v="295.96572280279798"/>
    <n v="308.483034658002"/>
    <n v="12.5173118552043"/>
    <n v="9766.8688524923291"/>
    <n v="10179.940143714"/>
    <n v="413.07129122167134"/>
    <n v="33"/>
  </r>
  <r>
    <x v="1"/>
    <x v="16"/>
    <x v="0"/>
    <n v="0.33436647296076399"/>
    <n v="0.35724789360379799"/>
    <n v="2.2881420643034198E-2"/>
    <n v="469.98720274256198"/>
    <n v="482.45165834386199"/>
    <n v="12.4644556013006"/>
    <n v="12689.654474049101"/>
    <n v="13026.194775284201"/>
    <n v="336.54030123509983"/>
    <n v="27"/>
  </r>
  <r>
    <x v="1"/>
    <x v="17"/>
    <x v="0"/>
    <n v="0.18989399215361299"/>
    <n v="0.21889401178689899"/>
    <n v="2.9000019633286502E-2"/>
    <n v="259.76959922537202"/>
    <n v="288.831943296264"/>
    <n v="29.0623440708918"/>
    <n v="7533.3183775358002"/>
    <n v="8376.1263555916594"/>
    <n v="842.80797805585917"/>
    <n v="29"/>
  </r>
  <r>
    <x v="1"/>
    <x v="18"/>
    <x v="0"/>
    <n v="0.11305687853441999"/>
    <n v="0.11305687853441999"/>
    <n v="0"/>
    <n v="78.469904942953605"/>
    <n v="78.469904942953605"/>
    <n v="0"/>
    <n v="1883.2777186308799"/>
    <n v="1883.2777186308799"/>
    <n v="0"/>
    <n v="24"/>
  </r>
  <r>
    <x v="1"/>
    <x v="19"/>
    <x v="0"/>
    <n v="0.145307899261685"/>
    <n v="0.145307899261685"/>
    <n v="0"/>
    <n v="56.601303828569101"/>
    <n v="56.601303828569101"/>
    <n v="0"/>
    <n v="1245.22868422852"/>
    <n v="1245.22868422852"/>
    <n v="0"/>
    <n v="22"/>
  </r>
  <r>
    <x v="1"/>
    <x v="20"/>
    <x v="0"/>
    <n v="0.164007508365276"/>
    <n v="0.164007508365276"/>
    <n v="0"/>
    <n v="315.708468187064"/>
    <n v="315.708468187064"/>
    <n v="0"/>
    <n v="27782.345200461601"/>
    <n v="27782.345200461601"/>
    <n v="0"/>
    <n v="88"/>
  </r>
  <r>
    <x v="2"/>
    <x v="21"/>
    <x v="0"/>
    <n v="0.36102467636121399"/>
    <n v="0.37155536773242298"/>
    <n v="1.05306913712085E-2"/>
    <n v="452.14883474200502"/>
    <n v="460.40747987645602"/>
    <n v="8.2586451344508092"/>
    <n v="106254.97616437099"/>
    <n v="108195.757770967"/>
    <n v="1940.7816065960069"/>
    <n v="235"/>
  </r>
  <r>
    <x v="2"/>
    <x v="22"/>
    <x v="0"/>
    <n v="0.29422879381894801"/>
    <n v="0.30736688488314401"/>
    <n v="1.31380910641954E-2"/>
    <n v="84.622349375915505"/>
    <n v="87.090873369151694"/>
    <n v="2.46852399323623"/>
    <n v="1438.57993939056"/>
    <n v="1480.54484727558"/>
    <n v="41.964907885020011"/>
    <n v="17"/>
  </r>
  <r>
    <x v="2"/>
    <x v="23"/>
    <x v="0"/>
    <n v="0.11587643256013901"/>
    <n v="0.117761271429251"/>
    <n v="1.8848388691121E-3"/>
    <n v="82.145120732919295"/>
    <n v="83.037781651916603"/>
    <n v="0.89266091899733202"/>
    <n v="9200.2535220869595"/>
    <n v="9300.2315450146598"/>
    <n v="99.978022927700295"/>
    <n v="112"/>
  </r>
  <r>
    <x v="3"/>
    <x v="24"/>
    <x v="0"/>
    <n v="0.12932859863360699"/>
    <n v="0.129643528384979"/>
    <n v="3.1492975137207999E-4"/>
    <n v="233.91450079363"/>
    <n v="233.96647327806599"/>
    <n v="5.1972484436160302E-2"/>
    <n v="1169.5725039681499"/>
    <n v="1169.83236639033"/>
    <n v="0.25986242218004918"/>
    <n v="5"/>
  </r>
  <r>
    <x v="3"/>
    <x v="25"/>
    <x v="0"/>
    <n v="0.498635407554542"/>
    <n v="0.50468005037800401"/>
    <n v="6.0446428234616203E-3"/>
    <n v="2290.6823445763198"/>
    <n v="2302.7064573048001"/>
    <n v="12.0241127284764"/>
    <n v="9162.7293783053101"/>
    <n v="9210.8258292192204"/>
    <n v="48.096450913910303"/>
    <n v="4"/>
  </r>
  <r>
    <x v="3"/>
    <x v="26"/>
    <x v="0"/>
    <n v="0.39583019888073401"/>
    <n v="0.40952931207327498"/>
    <n v="1.36991131925406E-2"/>
    <n v="307.64529042445298"/>
    <n v="315.02208094418597"/>
    <n v="7.3767905197332801"/>
    <n v="30456.8837520208"/>
    <n v="31187.186013474398"/>
    <n v="730.30226145359848"/>
    <n v="99"/>
  </r>
  <r>
    <x v="3"/>
    <x v="27"/>
    <x v="0"/>
    <n v="1.0510052964490001E-2"/>
    <n v="1.07807536156181E-2"/>
    <n v="2.7070065112806598E-4"/>
    <n v="9.2595631174478594"/>
    <n v="9.2813005909137303"/>
    <n v="2.17374734658691E-2"/>
    <n v="111.11475740937399"/>
    <n v="111.375607090964"/>
    <n v="0.26084968159000255"/>
    <n v="12"/>
  </r>
  <r>
    <x v="3"/>
    <x v="28"/>
    <x v="0"/>
    <n v="7.2083335691881301E-2"/>
    <n v="7.4093990128458298E-2"/>
    <n v="2.0106544365770199E-3"/>
    <n v="56.110162337706797"/>
    <n v="57.469712588110397"/>
    <n v="1.3595502504035899"/>
    <n v="1627.1947077934899"/>
    <n v="1666.6216650552001"/>
    <n v="39.426957261710186"/>
    <n v="29"/>
  </r>
  <r>
    <x v="3"/>
    <x v="29"/>
    <x v="0"/>
    <n v="0.44371436686585197"/>
    <n v="0.47080637148769"/>
    <n v="2.7092004621837799E-2"/>
    <n v="155.01439537838999"/>
    <n v="163.21532500869699"/>
    <n v="8.2009296303071508"/>
    <n v="1395.1295584055099"/>
    <n v="1468.9379250782799"/>
    <n v="73.808366672770035"/>
    <n v="9"/>
  </r>
  <r>
    <x v="3"/>
    <x v="30"/>
    <x v="0"/>
    <n v="0.40665411748730501"/>
    <n v="0.44505887324557297"/>
    <n v="3.84047557582681E-2"/>
    <n v="162.66164699492199"/>
    <n v="178.023549298229"/>
    <n v="15.3619023033072"/>
    <n v="162.66164699492199"/>
    <n v="178.023549298229"/>
    <n v="15.361902303307005"/>
    <n v="1"/>
  </r>
  <r>
    <x v="3"/>
    <x v="31"/>
    <x v="0"/>
    <n v="0.25250979142136798"/>
    <n v="0.25719781520715401"/>
    <n v="4.6880237857853399E-3"/>
    <n v="229.647751718092"/>
    <n v="233.080568161277"/>
    <n v="3.4328164431841799"/>
    <n v="4363.3072826437601"/>
    <n v="4428.53079506426"/>
    <n v="65.223512420499901"/>
    <n v="19"/>
  </r>
  <r>
    <x v="3"/>
    <x v="32"/>
    <x v="0"/>
    <n v="0.35652365309641798"/>
    <n v="0.43013268221676998"/>
    <n v="7.3609029120351804E-2"/>
    <n v="7.1304730619283596"/>
    <n v="8.6026536443353994"/>
    <n v="1.47218058240703"/>
    <n v="7.1304730619283596"/>
    <n v="8.6026536443353994"/>
    <n v="1.4721805824070398"/>
    <n v="1"/>
  </r>
  <r>
    <x v="3"/>
    <x v="33"/>
    <x v="0"/>
    <n v="0.57293544757683601"/>
    <n v="0.583495516249253"/>
    <n v="1.05600686724174E-2"/>
    <n v="418.13499625940102"/>
    <n v="423.901537812816"/>
    <n v="5.7665415534144797"/>
    <n v="1254.4049887782"/>
    <n v="1271.70461343844"/>
    <n v="17.299624660239942"/>
    <n v="3"/>
  </r>
  <r>
    <x v="3"/>
    <x v="34"/>
    <x v="0"/>
    <n v="0.50070548748003996"/>
    <n v="0.50707757936083697"/>
    <n v="6.3720918807971001E-3"/>
    <n v="11758.472683243001"/>
    <n v="11898.7390466457"/>
    <n v="140.26636340267001"/>
    <n v="23516.945366486099"/>
    <n v="23797.478093291498"/>
    <n v="280.53272680539885"/>
    <n v="2"/>
  </r>
  <r>
    <x v="3"/>
    <x v="35"/>
    <x v="0"/>
    <n v="7.0580081423213106E-2"/>
    <n v="7.1976572731102001E-2"/>
    <n v="1.39649130788885E-3"/>
    <n v="288.95968498711602"/>
    <n v="299.61567300247998"/>
    <n v="10.655988015364001"/>
    <n v="5490.2340147552104"/>
    <n v="5692.6977870471301"/>
    <n v="202.46377229191967"/>
    <n v="19"/>
  </r>
  <r>
    <x v="3"/>
    <x v="36"/>
    <x v="0"/>
    <n v="0.41180790319705501"/>
    <n v="0.421652077253303"/>
    <n v="9.8441740562477502E-3"/>
    <n v="1013.33856894094"/>
    <n v="1038.1799562311601"/>
    <n v="24.841387290216801"/>
    <n v="15200.0785341142"/>
    <n v="15572.6993434674"/>
    <n v="372.62080935320046"/>
    <n v="15"/>
  </r>
  <r>
    <x v="3"/>
    <x v="37"/>
    <x v="0"/>
    <n v="0.20938262817054601"/>
    <n v="0.21354870942071899"/>
    <n v="4.1660812501732401E-3"/>
    <n v="169.26833161676601"/>
    <n v="170.35632149753701"/>
    <n v="1.08798988077103"/>
    <n v="9986.8315653892205"/>
    <n v="10051.0229683547"/>
    <n v="64.191402965479938"/>
    <n v="59"/>
  </r>
  <r>
    <x v="3"/>
    <x v="38"/>
    <x v="0"/>
    <n v="0.16368052276460601"/>
    <n v="0.16549349602711499"/>
    <n v="1.8129732625091499E-3"/>
    <n v="105.20947949550499"/>
    <n v="105.660868206237"/>
    <n v="0.45138871073213599"/>
    <n v="2840.6559463786498"/>
    <n v="2852.8434415684101"/>
    <n v="12.187495189760284"/>
    <n v="27"/>
  </r>
  <r>
    <x v="3"/>
    <x v="39"/>
    <x v="0"/>
    <n v="0.25759480415389102"/>
    <n v="0.26468995295290598"/>
    <n v="7.0951487990148403E-3"/>
    <n v="180.88656616396099"/>
    <n v="184.02021456309399"/>
    <n v="3.1336483991328699"/>
    <n v="904.43283081980906"/>
    <n v="920.10107281547403"/>
    <n v="15.668241995664971"/>
    <n v="5"/>
  </r>
  <r>
    <x v="3"/>
    <x v="40"/>
    <x v="0"/>
    <n v="0.40461736736549297"/>
    <n v="0.41446490802157498"/>
    <n v="9.8475406560825495E-3"/>
    <n v="165.50301058901599"/>
    <n v="168.60117933178799"/>
    <n v="3.0981687427712701"/>
    <n v="5792.6053706155799"/>
    <n v="5901.0412766125801"/>
    <n v="108.43590599700019"/>
    <n v="35"/>
  </r>
  <r>
    <x v="3"/>
    <x v="41"/>
    <x v="0"/>
    <n v="0.338037781299382"/>
    <n v="0.34439857171917698"/>
    <n v="6.3607904197955896E-3"/>
    <n v="172.594847395416"/>
    <n v="174.350458117317"/>
    <n v="1.75561072190156"/>
    <n v="3451.8969479083198"/>
    <n v="3487.00916234635"/>
    <n v="35.112214438030151"/>
    <n v="20"/>
  </r>
  <r>
    <x v="4"/>
    <x v="42"/>
    <x v="0"/>
    <n v="0.28081407108188"/>
    <n v="0.28920236220408702"/>
    <n v="8.3882911222072903E-3"/>
    <n v="235.694303955442"/>
    <n v="240.863203754133"/>
    <n v="5.1688997986912302"/>
    <n v="76129.260177607895"/>
    <n v="77798.814812585202"/>
    <n v="1669.5546349773067"/>
    <n v="323"/>
  </r>
  <r>
    <x v="4"/>
    <x v="43"/>
    <x v="0"/>
    <n v="0.29555863236819302"/>
    <n v="0.30043043581192302"/>
    <n v="4.8718034437298099E-3"/>
    <n v="994.25730361562898"/>
    <n v="1004.33461830907"/>
    <n v="10.0773146934485"/>
    <n v="40764.549448240803"/>
    <n v="41177.719350672101"/>
    <n v="413.1699024312984"/>
    <n v="41"/>
  </r>
  <r>
    <x v="5"/>
    <x v="42"/>
    <x v="0"/>
    <n v="0.3537404901683"/>
    <n v="0.36159558257652202"/>
    <n v="7.8550924082213501E-3"/>
    <n v="192.28122662195699"/>
    <n v="196.25959383604399"/>
    <n v="3.9783672140867301"/>
    <n v="7498.9678382563397"/>
    <n v="7654.1241596057198"/>
    <n v="155.15632134938005"/>
    <n v="39"/>
  </r>
  <r>
    <x v="5"/>
    <x v="43"/>
    <x v="0"/>
    <n v="0.27392298390762898"/>
    <n v="0.28193164042992203"/>
    <n v="8.0086565222930606E-3"/>
    <n v="336.59951319259198"/>
    <n v="342.530492318928"/>
    <n v="5.9309791263362301"/>
    <n v="109394.841787592"/>
    <n v="111322.41000365101"/>
    <n v="1927.5682160590077"/>
    <n v="325"/>
  </r>
  <r>
    <x v="6"/>
    <x v="44"/>
    <x v="0"/>
    <n v="0.243499925553814"/>
    <n v="0.25568107479796598"/>
    <n v="1.21811492441512E-2"/>
    <n v="11.764179539585401"/>
    <n v="12.255081913718"/>
    <n v="0.49090237413258903"/>
    <n v="858.78510638973898"/>
    <n v="894.62097970141804"/>
    <n v="35.835873311679052"/>
    <n v="73"/>
  </r>
  <r>
    <x v="6"/>
    <x v="45"/>
    <x v="0"/>
    <n v="0.369530051132478"/>
    <n v="0.38330524617880302"/>
    <n v="1.37751950463248E-2"/>
    <n v="55.760949234346299"/>
    <n v="57.874519312163201"/>
    <n v="2.1135700778168802"/>
    <n v="4070.5492941072798"/>
    <n v="4224.8399097879101"/>
    <n v="154.29061568063025"/>
    <n v="73"/>
  </r>
  <r>
    <x v="6"/>
    <x v="46"/>
    <x v="0"/>
    <n v="0.28949180171604999"/>
    <n v="0.29471778796925002"/>
    <n v="5.2259862532003003E-3"/>
    <n v="104.16437733529"/>
    <n v="105.903070669317"/>
    <n v="1.7386933340272801"/>
    <n v="7499.8351681408803"/>
    <n v="7625.0210881908497"/>
    <n v="125.18592004996935"/>
    <n v="72"/>
  </r>
  <r>
    <x v="6"/>
    <x v="47"/>
    <x v="0"/>
    <n v="0.27247763942153802"/>
    <n v="0.277471090112069"/>
    <n v="4.9934506905313604E-3"/>
    <n v="217.693865557066"/>
    <n v="221.50262087267799"/>
    <n v="3.80875531561201"/>
    <n v="15891.6521856658"/>
    <n v="16169.6913237055"/>
    <n v="278.03913803969954"/>
    <n v="73"/>
  </r>
  <r>
    <x v="6"/>
    <x v="48"/>
    <x v="0"/>
    <n v="0.23747100256323"/>
    <n v="0.24121834406764001"/>
    <n v="3.7473415044096698E-3"/>
    <n v="1213.3286009800599"/>
    <n v="1233.7309707105701"/>
    <n v="20.402369730502802"/>
    <n v="88572.987871545003"/>
    <n v="90062.360861871697"/>
    <n v="1489.372990326694"/>
    <n v="73"/>
  </r>
  <r>
    <x v="0"/>
    <x v="0"/>
    <x v="1"/>
    <n v="0.48425350583789001"/>
    <n v="0.52601106196343705"/>
    <n v="4.1757556125546401E-2"/>
    <n v="640.67461109086105"/>
    <n v="713.93410525619504"/>
    <n v="73.259494165334004"/>
    <n v="53175.992720541399"/>
    <n v="59256.530736264198"/>
    <n v="6080.5380157227992"/>
    <n v="83"/>
  </r>
  <r>
    <x v="0"/>
    <x v="1"/>
    <x v="1"/>
    <n v="2.3621421226126201E-2"/>
    <n v="2.87277491698038E-2"/>
    <n v="5.1063279436775501E-3"/>
    <n v="27.3665004922305"/>
    <n v="33.348542643066999"/>
    <n v="5.9820421508364898"/>
    <n v="2709.2835487308198"/>
    <n v="3301.5057216636401"/>
    <n v="592.22217293282029"/>
    <n v="99"/>
  </r>
  <r>
    <x v="0"/>
    <x v="2"/>
    <x v="1"/>
    <n v="0.41230620331815199"/>
    <n v="0.422571924270845"/>
    <n v="1.0265720952693499E-2"/>
    <n v="47.580877663150197"/>
    <n v="49.828854597073601"/>
    <n v="2.24797693392334"/>
    <n v="333.06614364205097"/>
    <n v="348.80198217951499"/>
    <n v="15.735838537464019"/>
    <n v="7"/>
  </r>
  <r>
    <x v="0"/>
    <x v="3"/>
    <x v="1"/>
    <n v="0.42735901953774202"/>
    <n v="0.46376321153372002"/>
    <n v="3.6404191995977303E-2"/>
    <n v="478.59196468144398"/>
    <n v="528.37108011140401"/>
    <n v="49.779115429959703"/>
    <n v="1435.77589404433"/>
    <n v="1585.1132403342101"/>
    <n v="149.33734628988009"/>
    <n v="3"/>
  </r>
  <r>
    <x v="0"/>
    <x v="4"/>
    <x v="1"/>
    <n v="0.34891974214240901"/>
    <n v="0.38447670018254498"/>
    <n v="3.5556958040136102E-2"/>
    <n v="180.86621095973501"/>
    <n v="184.64671151708299"/>
    <n v="3.7805005573472901"/>
    <n v="723.46484383894199"/>
    <n v="738.58684606833197"/>
    <n v="15.122002229389977"/>
    <n v="4"/>
  </r>
  <r>
    <x v="0"/>
    <x v="5"/>
    <x v="1"/>
    <n v="0.25411281262144297"/>
    <n v="0.26456441412315601"/>
    <n v="1.04516015017132E-2"/>
    <n v="386.83572283402401"/>
    <n v="398.656620093345"/>
    <n v="11.8208972593207"/>
    <n v="3868.35722834024"/>
    <n v="3986.5662009334501"/>
    <n v="118.20897259321009"/>
    <n v="10"/>
  </r>
  <r>
    <x v="0"/>
    <x v="6"/>
    <x v="1"/>
    <n v="0.230221007311981"/>
    <n v="0.26539968545680498"/>
    <n v="3.5178678144823602E-2"/>
    <n v="65.226038240396704"/>
    <n v="107.96048703572001"/>
    <n v="42.734448795323402"/>
    <n v="913.164535365554"/>
    <n v="1511.4468185000801"/>
    <n v="598.2822831345261"/>
    <n v="14"/>
  </r>
  <r>
    <x v="0"/>
    <x v="7"/>
    <x v="1"/>
    <n v="0.26084147965314802"/>
    <n v="0.296069108381737"/>
    <n v="3.5227628728589401E-2"/>
    <n v="48.772232266624201"/>
    <n v="54.944509092683496"/>
    <n v="6.1722768260592504"/>
    <n v="438.95009039961798"/>
    <n v="494.50058183415098"/>
    <n v="55.550491434533001"/>
    <n v="9"/>
  </r>
  <r>
    <x v="0"/>
    <x v="8"/>
    <x v="1"/>
    <n v="0.449464383394791"/>
    <n v="0.46695622527117198"/>
    <n v="1.74918418763815E-2"/>
    <n v="830.20079708608296"/>
    <n v="845.90522342305201"/>
    <n v="15.704426336968501"/>
    <n v="35698.634274701501"/>
    <n v="36373.924607191198"/>
    <n v="675.2903324896979"/>
    <n v="43"/>
  </r>
  <r>
    <x v="0"/>
    <x v="9"/>
    <x v="1"/>
    <n v="0.43792392496958699"/>
    <n v="0.55205893021322805"/>
    <n v="0.11413500524364099"/>
    <n v="25.6200114031091"/>
    <n v="30.1427348010643"/>
    <n v="4.52272339795518"/>
    <n v="76.860034209327495"/>
    <n v="90.428204403193007"/>
    <n v="13.568170193865512"/>
    <n v="3"/>
  </r>
  <r>
    <x v="0"/>
    <x v="10"/>
    <x v="1"/>
    <n v="0.28864450315385598"/>
    <n v="0.29633439500643"/>
    <n v="7.6898918525735499E-3"/>
    <n v="197.31763100329999"/>
    <n v="199.24722882847701"/>
    <n v="1.92959782517711"/>
    <n v="13614.916539227699"/>
    <n v="13748.058789164899"/>
    <n v="133.14224993720018"/>
    <n v="69"/>
  </r>
  <r>
    <x v="0"/>
    <x v="11"/>
    <x v="1"/>
    <n v="0.301041997083346"/>
    <n v="0.31350668375969298"/>
    <n v="1.24646866763462E-2"/>
    <n v="155.09802934691001"/>
    <n v="162.40035958484901"/>
    <n v="7.3023302379383797"/>
    <n v="2481.5684695505702"/>
    <n v="2598.4057533575901"/>
    <n v="116.83728380701996"/>
    <n v="16"/>
  </r>
  <r>
    <x v="0"/>
    <x v="12"/>
    <x v="1"/>
    <n v="0.30992731822672298"/>
    <n v="0.33272098643374398"/>
    <n v="2.2793668207021198E-2"/>
    <n v="355.94382581412401"/>
    <n v="378.95492781048603"/>
    <n v="23.011101996361401"/>
    <n v="1423.7753032564899"/>
    <n v="1515.81971124194"/>
    <n v="92.044407985450107"/>
    <n v="4"/>
  </r>
  <r>
    <x v="1"/>
    <x v="14"/>
    <x v="1"/>
    <n v="0.39909339056927801"/>
    <n v="0.39909339056927801"/>
    <n v="0"/>
    <n v="389.344105544169"/>
    <n v="389.344105544169"/>
    <n v="0"/>
    <n v="42438.507504314497"/>
    <n v="42438.507504314497"/>
    <n v="0"/>
    <n v="109"/>
  </r>
  <r>
    <x v="1"/>
    <x v="15"/>
    <x v="1"/>
    <n v="0.23262615417447699"/>
    <n v="0.26056551362999197"/>
    <n v="2.7939359455514699E-2"/>
    <n v="291.98157694719299"/>
    <n v="325.92620270126201"/>
    <n v="33.944625754069499"/>
    <n v="74455.302121534201"/>
    <n v="83111.181688822006"/>
    <n v="8655.8795672878041"/>
    <n v="255"/>
  </r>
  <r>
    <x v="2"/>
    <x v="21"/>
    <x v="1"/>
    <n v="0.36102467636121399"/>
    <n v="0.38554497014436501"/>
    <n v="2.4520293783151001E-2"/>
    <n v="452.14883474200502"/>
    <n v="486.19983606760002"/>
    <n v="34.051001325595003"/>
    <n v="106254.97616437099"/>
    <n v="114256.961475886"/>
    <n v="8001.9853115150036"/>
    <n v="235"/>
  </r>
  <r>
    <x v="2"/>
    <x v="22"/>
    <x v="1"/>
    <n v="0.29422879381894801"/>
    <n v="0.30970514002640498"/>
    <n v="1.54763462074568E-2"/>
    <n v="84.622349375915505"/>
    <n v="85.843320429804805"/>
    <n v="1.2209710538893499"/>
    <n v="1438.57993939056"/>
    <n v="1459.3364473066799"/>
    <n v="20.756507916119972"/>
    <n v="17"/>
  </r>
  <r>
    <x v="2"/>
    <x v="23"/>
    <x v="1"/>
    <n v="0.11587643256013901"/>
    <n v="0.125690448065398"/>
    <n v="9.8140155052588406E-3"/>
    <n v="82.145120732919295"/>
    <n v="87.798136338783493"/>
    <n v="5.6530156058641596"/>
    <n v="9200.2535220869595"/>
    <n v="9833.3912699437496"/>
    <n v="633.13774785679016"/>
    <n v="112"/>
  </r>
  <r>
    <x v="3"/>
    <x v="24"/>
    <x v="1"/>
    <n v="0.12932859863360699"/>
    <n v="0.13704767315116101"/>
    <n v="7.7190745175545403E-3"/>
    <n v="233.91450079363"/>
    <n v="242.46034081610901"/>
    <n v="8.5458400224796005"/>
    <n v="1169.5725039681499"/>
    <n v="1212.30170408054"/>
    <n v="42.729200112390117"/>
    <n v="5"/>
  </r>
  <r>
    <x v="3"/>
    <x v="25"/>
    <x v="1"/>
    <n v="0.498635407554542"/>
    <n v="0.511706112642626"/>
    <n v="1.3070705088084099E-2"/>
    <n v="2290.6823445763198"/>
    <n v="2293.9747111986699"/>
    <n v="3.2923666223412198"/>
    <n v="9162.7293783053101"/>
    <n v="9175.8988447946795"/>
    <n v="13.16946648936937"/>
    <n v="4"/>
  </r>
  <r>
    <x v="3"/>
    <x v="26"/>
    <x v="1"/>
    <n v="0.39583019888073401"/>
    <n v="0.419809770866238"/>
    <n v="2.39795719855041E-2"/>
    <n v="307.64529042445298"/>
    <n v="324.81098454172002"/>
    <n v="17.165694117267499"/>
    <n v="30456.8837520208"/>
    <n v="32156.287469630301"/>
    <n v="1699.4037176095007"/>
    <n v="99"/>
  </r>
  <r>
    <x v="3"/>
    <x v="27"/>
    <x v="1"/>
    <n v="1.0510052964490001E-2"/>
    <n v="1.6000294328239399E-2"/>
    <n v="5.4902413637493101E-3"/>
    <n v="9.2595631174478594"/>
    <n v="13.542612172071999"/>
    <n v="4.2830490546242102"/>
    <n v="111.11475740937399"/>
    <n v="162.511346064864"/>
    <n v="51.396588655490007"/>
    <n v="12"/>
  </r>
  <r>
    <x v="3"/>
    <x v="28"/>
    <x v="1"/>
    <n v="7.2083335691881301E-2"/>
    <n v="8.2798140455736996E-2"/>
    <n v="1.07148047638556E-2"/>
    <n v="56.110162337706797"/>
    <n v="62.198283707703297"/>
    <n v="6.0881213699965402"/>
    <n v="1627.1947077934899"/>
    <n v="1803.7502275233901"/>
    <n v="176.5555197299002"/>
    <n v="29"/>
  </r>
  <r>
    <x v="3"/>
    <x v="29"/>
    <x v="1"/>
    <n v="0.44371436686585197"/>
    <n v="0.47750533640149001"/>
    <n v="3.37909695356374E-2"/>
    <n v="155.01439537838999"/>
    <n v="166.03547288557999"/>
    <n v="11.021077507190199"/>
    <n v="1395.1295584055099"/>
    <n v="1494.31925597022"/>
    <n v="99.189697564710059"/>
    <n v="9"/>
  </r>
  <r>
    <x v="3"/>
    <x v="30"/>
    <x v="1"/>
    <n v="0.40665411748730501"/>
    <n v="0.43275669979700798"/>
    <n v="2.6102582309702801E-2"/>
    <n v="162.66164699492199"/>
    <n v="173.10267991880301"/>
    <n v="10.441032923881099"/>
    <n v="162.66164699492199"/>
    <n v="173.10267991880301"/>
    <n v="10.441032923881011"/>
    <n v="1"/>
  </r>
  <r>
    <x v="3"/>
    <x v="31"/>
    <x v="1"/>
    <n v="0.25250979142136798"/>
    <n v="0.25510480803191199"/>
    <n v="2.5950166105439499E-3"/>
    <n v="229.647751718092"/>
    <n v="231.90399616430699"/>
    <n v="2.2562444462142701"/>
    <n v="4363.3072826437601"/>
    <n v="4406.1759271218298"/>
    <n v="42.868644478069655"/>
    <n v="19"/>
  </r>
  <r>
    <x v="3"/>
    <x v="32"/>
    <x v="1"/>
    <n v="0.35652365309641798"/>
    <n v="0.45181041362199897"/>
    <n v="9.5286760525581493E-2"/>
    <n v="7.1304730619283596"/>
    <n v="9.0362082724399908"/>
    <n v="1.9057352105116201"/>
    <n v="7.1304730619283596"/>
    <n v="9.0362082724399908"/>
    <n v="1.9057352105116312"/>
    <n v="1"/>
  </r>
  <r>
    <x v="3"/>
    <x v="33"/>
    <x v="1"/>
    <n v="0.57293544757683601"/>
    <n v="0.57293544757683601"/>
    <n v="0"/>
    <n v="418.13499625940102"/>
    <n v="418.13499625940102"/>
    <n v="0"/>
    <n v="1254.4049887782"/>
    <n v="1254.4049887782"/>
    <n v="0"/>
    <n v="3"/>
  </r>
  <r>
    <x v="3"/>
    <x v="34"/>
    <x v="1"/>
    <n v="0.50070548748003996"/>
    <n v="0.507386860643398"/>
    <n v="6.6813731633580996E-3"/>
    <n v="11758.472683243001"/>
    <n v="11898.1133823572"/>
    <n v="139.640699114184"/>
    <n v="23516.945366486099"/>
    <n v="23796.226764714502"/>
    <n v="279.2813982284024"/>
    <n v="2"/>
  </r>
  <r>
    <x v="3"/>
    <x v="35"/>
    <x v="1"/>
    <n v="7.0580081423213106E-2"/>
    <n v="9.9806862074664202E-2"/>
    <n v="2.9226780651451002E-2"/>
    <n v="288.95968498711602"/>
    <n v="377.57087677220699"/>
    <n v="88.611191785091293"/>
    <n v="5490.2340147552104"/>
    <n v="7173.8466586719496"/>
    <n v="1683.6126439167392"/>
    <n v="19"/>
  </r>
  <r>
    <x v="3"/>
    <x v="36"/>
    <x v="1"/>
    <n v="0.41180790319705501"/>
    <n v="0.48353733376595198"/>
    <n v="7.1729430568896899E-2"/>
    <n v="1013.33856894094"/>
    <n v="1188.01237367316"/>
    <n v="174.67380473222099"/>
    <n v="15200.0785341142"/>
    <n v="17820.1856050975"/>
    <n v="2620.1070709833002"/>
    <n v="15"/>
  </r>
  <r>
    <x v="3"/>
    <x v="37"/>
    <x v="1"/>
    <n v="0.20938262817054601"/>
    <n v="0.22651704052740099"/>
    <n v="1.7134412356854398E-2"/>
    <n v="169.26833161676601"/>
    <n v="191.096654472963"/>
    <n v="21.828322856196401"/>
    <n v="9986.8315653892205"/>
    <n v="11274.702613904799"/>
    <n v="1287.8710485155789"/>
    <n v="59"/>
  </r>
  <r>
    <x v="3"/>
    <x v="38"/>
    <x v="1"/>
    <n v="0.16368052276460601"/>
    <n v="0.17415744940736599"/>
    <n v="1.0476926642760001E-2"/>
    <n v="105.20947949550499"/>
    <n v="112.262703337584"/>
    <n v="7.05322384207855"/>
    <n v="2840.6559463786498"/>
    <n v="3031.0929901147701"/>
    <n v="190.43704373612036"/>
    <n v="27"/>
  </r>
  <r>
    <x v="3"/>
    <x v="39"/>
    <x v="1"/>
    <n v="0.25759480415389102"/>
    <n v="0.26679363760512698"/>
    <n v="9.1988334512361301E-3"/>
    <n v="180.88656616396099"/>
    <n v="181.273494348659"/>
    <n v="0.38692818469747298"/>
    <n v="904.43283081980906"/>
    <n v="906.36747174329696"/>
    <n v="1.9346409234879047"/>
    <n v="5"/>
  </r>
  <r>
    <x v="3"/>
    <x v="40"/>
    <x v="1"/>
    <n v="0.40461736736549297"/>
    <n v="0.41934034812556698"/>
    <n v="1.47229807600745E-2"/>
    <n v="165.50301058901599"/>
    <n v="173.31854570978001"/>
    <n v="7.81553512076409"/>
    <n v="5792.6053706155799"/>
    <n v="6066.1490998423296"/>
    <n v="273.54372922674975"/>
    <n v="35"/>
  </r>
  <r>
    <x v="3"/>
    <x v="41"/>
    <x v="1"/>
    <n v="0.338037781299382"/>
    <n v="0.35346459846801198"/>
    <n v="1.5426817168630799E-2"/>
    <n v="172.594847395416"/>
    <n v="181.666466844593"/>
    <n v="9.0716194491775095"/>
    <n v="3451.8969479083198"/>
    <n v="3633.3293368918698"/>
    <n v="181.43238898355003"/>
    <n v="20"/>
  </r>
  <r>
    <x v="4"/>
    <x v="42"/>
    <x v="1"/>
    <n v="0.28081407108188"/>
    <n v="0.302209189252858"/>
    <n v="2.1395118170978E-2"/>
    <n v="235.694303955442"/>
    <n v="261.40761102844101"/>
    <n v="25.713307072998401"/>
    <n v="76129.260177607895"/>
    <n v="84434.658362186397"/>
    <n v="8305.398184578502"/>
    <n v="323"/>
  </r>
  <r>
    <x v="4"/>
    <x v="43"/>
    <x v="1"/>
    <n v="0.29555863236819302"/>
    <n v="0.30077603461039698"/>
    <n v="5.2174022422040297E-3"/>
    <n v="994.25730361562898"/>
    <n v="1002.80563002317"/>
    <n v="8.5483264075419996"/>
    <n v="40764.549448240803"/>
    <n v="41115.030830950003"/>
    <n v="350.48138270920026"/>
    <n v="41"/>
  </r>
  <r>
    <x v="5"/>
    <x v="42"/>
    <x v="1"/>
    <n v="0.3537404901683"/>
    <n v="0.37000889341252702"/>
    <n v="1.6268403244227E-2"/>
    <n v="192.28122662195699"/>
    <n v="212.68948443458501"/>
    <n v="20.408257812628101"/>
    <n v="7498.9678382563397"/>
    <n v="8294.8898929488296"/>
    <n v="795.92205469248984"/>
    <n v="39"/>
  </r>
  <r>
    <x v="5"/>
    <x v="43"/>
    <x v="1"/>
    <n v="0.27392298390762898"/>
    <n v="0.29389242678341798"/>
    <n v="1.99694428757889E-2"/>
    <n v="336.59951319259198"/>
    <n v="360.78399784673098"/>
    <n v="24.184484654139101"/>
    <n v="109394.841787592"/>
    <n v="117254.79930018701"/>
    <n v="7859.9575125950068"/>
    <n v="325"/>
  </r>
  <r>
    <x v="6"/>
    <x v="44"/>
    <x v="1"/>
    <n v="0.243499925553814"/>
    <n v="0.26902817140048002"/>
    <n v="2.55282458466661E-2"/>
    <n v="11.764179539585401"/>
    <n v="12.793173218996101"/>
    <n v="1.0289936794107"/>
    <n v="858.78510638973898"/>
    <n v="933.90164498672095"/>
    <n v="75.116538596981968"/>
    <n v="73"/>
  </r>
  <r>
    <x v="6"/>
    <x v="45"/>
    <x v="1"/>
    <n v="0.369530051132478"/>
    <n v="0.391783507906526"/>
    <n v="2.2253456774047602E-2"/>
    <n v="55.760949234346299"/>
    <n v="59.004344293137898"/>
    <n v="3.2433950587915601"/>
    <n v="4070.5492941072798"/>
    <n v="4307.3171333990604"/>
    <n v="236.76783929178055"/>
    <n v="73"/>
  </r>
  <r>
    <x v="6"/>
    <x v="46"/>
    <x v="1"/>
    <n v="0.28949180171604999"/>
    <n v="0.30107801790382199"/>
    <n v="1.15862161877718E-2"/>
    <n v="104.16437733529"/>
    <n v="108.510007694264"/>
    <n v="4.3456303589747103"/>
    <n v="7499.8351681408803"/>
    <n v="7812.7205539870602"/>
    <n v="312.88538584617982"/>
    <n v="72"/>
  </r>
  <r>
    <x v="6"/>
    <x v="47"/>
    <x v="1"/>
    <n v="0.27247763942153802"/>
    <n v="0.28622921167757398"/>
    <n v="1.3751572256036499E-2"/>
    <n v="217.693865557066"/>
    <n v="229.15340044818399"/>
    <n v="11.4595348911177"/>
    <n v="15891.6521856658"/>
    <n v="16728.198232717401"/>
    <n v="836.54604705160091"/>
    <n v="73"/>
  </r>
  <r>
    <x v="6"/>
    <x v="48"/>
    <x v="1"/>
    <n v="0.23747100256323"/>
    <n v="0.26210661940753099"/>
    <n v="2.4635616844300198E-2"/>
    <n v="1213.3286009800599"/>
    <n v="1311.88426887734"/>
    <n v="98.555667897276507"/>
    <n v="88572.987871545003"/>
    <n v="95767.551628046203"/>
    <n v="7194.5637565012003"/>
    <n v="73"/>
  </r>
  <r>
    <x v="0"/>
    <x v="0"/>
    <x v="2"/>
    <n v="0.48425350583789001"/>
    <n v="0.53436346398045398"/>
    <n v="5.0109958142563402E-2"/>
    <n v="640.67461109086105"/>
    <n v="723.00312418825104"/>
    <n v="82.328513097389802"/>
    <n v="53175.992720541399"/>
    <n v="60009.259307624801"/>
    <n v="6833.2665870834026"/>
    <n v="83"/>
  </r>
  <r>
    <x v="0"/>
    <x v="1"/>
    <x v="2"/>
    <n v="2.3621421226126201E-2"/>
    <n v="2.9453702877393802E-2"/>
    <n v="5.8322816512675398E-3"/>
    <n v="27.3665004922305"/>
    <n v="34.263647053682"/>
    <n v="6.8971465614514598"/>
    <n v="2709.2835487308198"/>
    <n v="3392.1010583145198"/>
    <n v="682.81750958370003"/>
    <n v="99"/>
  </r>
  <r>
    <x v="0"/>
    <x v="2"/>
    <x v="2"/>
    <n v="0.41230620331815199"/>
    <n v="0.42873665278661499"/>
    <n v="1.64304494684634E-2"/>
    <n v="47.580877663150197"/>
    <n v="50.390626775845803"/>
    <n v="2.8097491126955298"/>
    <n v="333.06614364205097"/>
    <n v="352.73438743091998"/>
    <n v="19.668243788869006"/>
    <n v="7"/>
  </r>
  <r>
    <x v="0"/>
    <x v="3"/>
    <x v="2"/>
    <n v="0.42735901953774202"/>
    <n v="0.47189449237465902"/>
    <n v="4.4535472836916001E-2"/>
    <n v="478.59196468144398"/>
    <n v="537.54998233334004"/>
    <n v="58.958017651895503"/>
    <n v="1435.77589404433"/>
    <n v="1612.6499470000199"/>
    <n v="176.87405295568988"/>
    <n v="3"/>
  </r>
  <r>
    <x v="0"/>
    <x v="4"/>
    <x v="2"/>
    <n v="0.34891974214240901"/>
    <n v="0.38912476020967401"/>
    <n v="4.02050180672653E-2"/>
    <n v="180.86621095973501"/>
    <n v="186.52895969378099"/>
    <n v="5.66274873404614"/>
    <n v="723.46484383894199"/>
    <n v="746.11583877512703"/>
    <n v="22.650994936185043"/>
    <n v="4"/>
  </r>
  <r>
    <x v="0"/>
    <x v="5"/>
    <x v="2"/>
    <n v="0.25411281262144297"/>
    <n v="0.266687010396434"/>
    <n v="1.25741977749904E-2"/>
    <n v="386.83572283402401"/>
    <n v="402.560923562852"/>
    <n v="15.7252007288276"/>
    <n v="3868.35722834024"/>
    <n v="4025.6092356285199"/>
    <n v="157.25200728827986"/>
    <n v="10"/>
  </r>
  <r>
    <x v="0"/>
    <x v="6"/>
    <x v="2"/>
    <n v="0.230221007311981"/>
    <n v="0.27261400948831899"/>
    <n v="4.23930021763377E-2"/>
    <n v="65.226038240396704"/>
    <n v="112.751269363207"/>
    <n v="47.525231122810403"/>
    <n v="913.164535365554"/>
    <n v="1578.5177710849"/>
    <n v="665.353235719346"/>
    <n v="14"/>
  </r>
  <r>
    <x v="0"/>
    <x v="7"/>
    <x v="2"/>
    <n v="0.26084147965314802"/>
    <n v="0.30302059099329298"/>
    <n v="4.2179111340145001E-2"/>
    <n v="48.772232266624201"/>
    <n v="55.840110257196898"/>
    <n v="7.0678779905726703"/>
    <n v="438.95009039961798"/>
    <n v="502.56099231477202"/>
    <n v="63.610901915154045"/>
    <n v="9"/>
  </r>
  <r>
    <x v="0"/>
    <x v="8"/>
    <x v="2"/>
    <n v="0.449464383394791"/>
    <n v="0.4739434599174"/>
    <n v="2.44790765226089E-2"/>
    <n v="830.20079708608296"/>
    <n v="852.85460535651896"/>
    <n v="22.653808270435501"/>
    <n v="35698.634274701501"/>
    <n v="36672.748030330302"/>
    <n v="974.1137556288013"/>
    <n v="43"/>
  </r>
  <r>
    <x v="0"/>
    <x v="9"/>
    <x v="2"/>
    <n v="0.43792392496958699"/>
    <n v="0.56454253974043"/>
    <n v="0.12661861477084299"/>
    <n v="25.6200114031091"/>
    <n v="30.795327107204699"/>
    <n v="5.1753157040955298"/>
    <n v="76.860034209327495"/>
    <n v="92.385981321614096"/>
    <n v="15.525947112286602"/>
    <n v="3"/>
  </r>
  <r>
    <x v="0"/>
    <x v="10"/>
    <x v="2"/>
    <n v="0.28864450315385598"/>
    <n v="0.29942262949279003"/>
    <n v="1.07781263389344E-2"/>
    <n v="197.31763100329999"/>
    <n v="200.691247058237"/>
    <n v="3.37361605493735"/>
    <n v="13614.916539227699"/>
    <n v="13847.6960470183"/>
    <n v="232.7795077906012"/>
    <n v="69"/>
  </r>
  <r>
    <x v="0"/>
    <x v="11"/>
    <x v="2"/>
    <n v="0.301041997083346"/>
    <n v="0.31902236438237203"/>
    <n v="1.79803672990251E-2"/>
    <n v="155.09802934691001"/>
    <n v="164.94380701351301"/>
    <n v="9.84577766660286"/>
    <n v="2481.5684695505702"/>
    <n v="2639.10091221622"/>
    <n v="157.5324426656498"/>
    <n v="16"/>
  </r>
  <r>
    <x v="0"/>
    <x v="12"/>
    <x v="2"/>
    <n v="0.30992731822672298"/>
    <n v="0.33494138709181798"/>
    <n v="2.5014068865094798E-2"/>
    <n v="355.94382581412401"/>
    <n v="381.20538320908798"/>
    <n v="25.261557394963798"/>
    <n v="1423.7753032564899"/>
    <n v="1524.8215328363499"/>
    <n v="101.04622957985998"/>
    <n v="4"/>
  </r>
  <r>
    <x v="1"/>
    <x v="13"/>
    <x v="2"/>
    <n v="0.39909339056927801"/>
    <n v="0.40469427470542702"/>
    <n v="5.6008841361486397E-3"/>
    <n v="389.344105544169"/>
    <n v="392.90353760418998"/>
    <n v="3.5594320600210798"/>
    <n v="42438.507504314497"/>
    <n v="42826.4855988567"/>
    <n v="387.9780945422026"/>
    <n v="109"/>
  </r>
  <r>
    <x v="1"/>
    <x v="14"/>
    <x v="2"/>
    <n v="0.37167712340963799"/>
    <n v="0.37700912797841302"/>
    <n v="5.3320045687744299E-3"/>
    <n v="423.58152544174601"/>
    <n v="426.77924020279698"/>
    <n v="3.1977147610511198"/>
    <n v="13554.6088141358"/>
    <n v="13656.9356864895"/>
    <n v="102.32687235370031"/>
    <n v="32"/>
  </r>
  <r>
    <x v="1"/>
    <x v="15"/>
    <x v="2"/>
    <n v="0.21267265186270501"/>
    <n v="0.24867079780002499"/>
    <n v="3.5998145937319398E-2"/>
    <n v="273.097279405373"/>
    <n v="316.20125451367801"/>
    <n v="43.103975108304098"/>
    <n v="60900.693307398302"/>
    <n v="70512.879756550203"/>
    <n v="9612.1864491519009"/>
    <n v="223"/>
  </r>
  <r>
    <x v="2"/>
    <x v="21"/>
    <x v="2"/>
    <n v="0.36102467636121399"/>
    <n v="0.39146301075325501"/>
    <n v="3.04383343920403E-2"/>
    <n v="452.14883474200502"/>
    <n v="491.82125319746302"/>
    <n v="39.672418455457901"/>
    <n v="106254.97616437099"/>
    <n v="115577.99450140299"/>
    <n v="9323.018337032001"/>
    <n v="235"/>
  </r>
  <r>
    <x v="2"/>
    <x v="22"/>
    <x v="2"/>
    <n v="0.29422879381894801"/>
    <n v="0.31765500846492001"/>
    <n v="2.3426214645971201E-2"/>
    <n v="84.622349375915505"/>
    <n v="87.619560560687106"/>
    <n v="2.9972111847715901"/>
    <n v="1438.57993939056"/>
    <n v="1489.53252953168"/>
    <n v="50.952590141120027"/>
    <n v="17"/>
  </r>
  <r>
    <x v="2"/>
    <x v="23"/>
    <x v="2"/>
    <n v="0.11587643256013901"/>
    <n v="0.12710368997042701"/>
    <n v="1.12272574102876E-2"/>
    <n v="82.145120732919295"/>
    <n v="88.649767955008898"/>
    <n v="6.5046472220895497"/>
    <n v="9200.2535220869595"/>
    <n v="9928.7740109609895"/>
    <n v="728.52048887402998"/>
    <n v="112"/>
  </r>
  <r>
    <x v="3"/>
    <x v="24"/>
    <x v="2"/>
    <n v="0.12932859863360699"/>
    <n v="0.13783546019113799"/>
    <n v="8.5068615575313398E-3"/>
    <n v="233.91450079363"/>
    <n v="243.327385842376"/>
    <n v="9.4128850487467393"/>
    <n v="1169.5725039681499"/>
    <n v="1216.63692921188"/>
    <n v="47.064425243730057"/>
    <n v="5"/>
  </r>
  <r>
    <x v="3"/>
    <x v="25"/>
    <x v="2"/>
    <n v="0.498635407554542"/>
    <n v="0.515554749861867"/>
    <n v="1.6919342307324899E-2"/>
    <n v="2290.6823445763198"/>
    <n v="2305.9688671499598"/>
    <n v="15.2865225736354"/>
    <n v="9162.7293783053101"/>
    <n v="9223.8754685998592"/>
    <n v="61.14609029454914"/>
    <n v="4"/>
  </r>
  <r>
    <x v="3"/>
    <x v="26"/>
    <x v="2"/>
    <n v="0.39583019888073401"/>
    <n v="0.426255407504054"/>
    <n v="3.04252086233202E-2"/>
    <n v="307.64529042445298"/>
    <n v="328.64387642806201"/>
    <n v="20.998586003609098"/>
    <n v="30456.8837520208"/>
    <n v="32535.743766378098"/>
    <n v="2078.8600143572985"/>
    <n v="99"/>
  </r>
  <r>
    <x v="3"/>
    <x v="27"/>
    <x v="2"/>
    <n v="1.0510052964490001E-2"/>
    <n v="1.65535767909968E-2"/>
    <n v="6.0435238265067002E-3"/>
    <n v="9.2595631174478594"/>
    <n v="13.966157676541901"/>
    <n v="4.7065945590940998"/>
    <n v="111.11475740937399"/>
    <n v="167.59389211850299"/>
    <n v="56.479134709128999"/>
    <n v="12"/>
  </r>
  <r>
    <x v="3"/>
    <x v="28"/>
    <x v="2"/>
    <n v="7.2083335691881301E-2"/>
    <n v="8.4344552433459397E-2"/>
    <n v="1.2261216741578001E-2"/>
    <n v="56.110162337706797"/>
    <n v="63.239069923936"/>
    <n v="7.1289075862292099"/>
    <n v="1627.1947077934899"/>
    <n v="1833.9330277941399"/>
    <n v="206.73832000064999"/>
    <n v="29"/>
  </r>
  <r>
    <x v="3"/>
    <x v="29"/>
    <x v="2"/>
    <n v="0.44371436686585197"/>
    <n v="0.48569151537268301"/>
    <n v="4.1977148506830299E-2"/>
    <n v="155.01439537838999"/>
    <n v="168.71953390944699"/>
    <n v="13.705138531056299"/>
    <n v="1395.1295584055099"/>
    <n v="1518.4758051850199"/>
    <n v="123.34624677951001"/>
    <n v="9"/>
  </r>
  <r>
    <x v="3"/>
    <x v="30"/>
    <x v="2"/>
    <n v="0.40665411748730501"/>
    <n v="0.44505887324557297"/>
    <n v="3.84047557582681E-2"/>
    <n v="162.66164699492199"/>
    <n v="178.023549298229"/>
    <n v="15.3619023033072"/>
    <n v="162.66164699492199"/>
    <n v="178.023549298229"/>
    <n v="15.361902303307005"/>
    <n v="1"/>
  </r>
  <r>
    <x v="3"/>
    <x v="31"/>
    <x v="2"/>
    <n v="0.25250979142136798"/>
    <n v="0.25832268123416802"/>
    <n v="5.8128898127995697E-3"/>
    <n v="229.647751718092"/>
    <n v="233.50022396740999"/>
    <n v="3.85247224931735"/>
    <n v="4363.3072826437601"/>
    <n v="4436.5042553807898"/>
    <n v="73.196972737029682"/>
    <n v="19"/>
  </r>
  <r>
    <x v="3"/>
    <x v="32"/>
    <x v="2"/>
    <n v="0.35652365309641798"/>
    <n v="0.46842320262359599"/>
    <n v="0.111899549527178"/>
    <n v="7.1304730619283596"/>
    <n v="9.3684640524719303"/>
    <n v="2.23799099054356"/>
    <n v="7.1304730619283596"/>
    <n v="9.3684640524719303"/>
    <n v="2.2379909905435706"/>
    <n v="1"/>
  </r>
  <r>
    <x v="3"/>
    <x v="33"/>
    <x v="2"/>
    <n v="0.57293544757683601"/>
    <n v="0.583495516249253"/>
    <n v="1.05600686724174E-2"/>
    <n v="418.13499625940102"/>
    <n v="423.901537812816"/>
    <n v="5.7665415534144797"/>
    <n v="1254.4049887782"/>
    <n v="1271.70461343844"/>
    <n v="17.299624660239942"/>
    <n v="3"/>
  </r>
  <r>
    <x v="3"/>
    <x v="34"/>
    <x v="2"/>
    <n v="0.50070548748003996"/>
    <n v="0.51017109119203197"/>
    <n v="9.4656037119920898E-3"/>
    <n v="11758.472683243001"/>
    <n v="11963.393443917699"/>
    <n v="204.92076067464501"/>
    <n v="23516.945366486099"/>
    <n v="23926.786887835398"/>
    <n v="409.841521349299"/>
    <n v="2"/>
  </r>
  <r>
    <x v="3"/>
    <x v="35"/>
    <x v="2"/>
    <n v="7.0580081423213106E-2"/>
    <n v="0.102687961739162"/>
    <n v="3.2107880315949099E-2"/>
    <n v="288.95968498711602"/>
    <n v="388.30278166290401"/>
    <n v="99.343096675788203"/>
    <n v="5490.2340147552104"/>
    <n v="7377.7528515951899"/>
    <n v="1887.5188368399795"/>
    <n v="19"/>
  </r>
  <r>
    <x v="3"/>
    <x v="36"/>
    <x v="2"/>
    <n v="0.41180790319705501"/>
    <n v="0.49020989212857302"/>
    <n v="7.8401988931518493E-2"/>
    <n v="1013.33856894094"/>
    <n v="1204.09010408176"/>
    <n v="190.75153514081401"/>
    <n v="15200.0785341142"/>
    <n v="18061.351561226398"/>
    <n v="2861.2730271121982"/>
    <n v="15"/>
  </r>
  <r>
    <x v="3"/>
    <x v="37"/>
    <x v="2"/>
    <n v="0.20938262817054601"/>
    <n v="0.230114431895069"/>
    <n v="2.0731803724522799E-2"/>
    <n v="169.26833161676601"/>
    <n v="193.611392041806"/>
    <n v="24.3430604250401"/>
    <n v="9986.8315653892205"/>
    <n v="11423.0721304665"/>
    <n v="1436.2405650772798"/>
    <n v="59"/>
  </r>
  <r>
    <x v="3"/>
    <x v="38"/>
    <x v="2"/>
    <n v="0.16368052276460601"/>
    <n v="0.17568361908385699"/>
    <n v="1.2003096319251E-2"/>
    <n v="105.20947949550499"/>
    <n v="113.13183850225199"/>
    <n v="7.9223590067472802"/>
    <n v="2840.6559463786498"/>
    <n v="3054.55963956082"/>
    <n v="213.90369318217017"/>
    <n v="27"/>
  </r>
  <r>
    <x v="3"/>
    <x v="39"/>
    <x v="2"/>
    <n v="0.25759480415389102"/>
    <n v="0.27235086030073802"/>
    <n v="1.4756056146847199E-2"/>
    <n v="180.88656616396099"/>
    <n v="184.288346320269"/>
    <n v="3.4017801563069998"/>
    <n v="904.43283081980906"/>
    <n v="921.44173160134403"/>
    <n v="17.008900781534976"/>
    <n v="5"/>
  </r>
  <r>
    <x v="3"/>
    <x v="40"/>
    <x v="2"/>
    <n v="0.40461736736549297"/>
    <n v="0.426508731337855"/>
    <n v="2.1891363972361699E-2"/>
    <n v="165.50301058901599"/>
    <n v="176.13717368753601"/>
    <n v="10.634163098519901"/>
    <n v="5792.6053706155799"/>
    <n v="6164.80107906378"/>
    <n v="372.19570844820009"/>
    <n v="35"/>
  </r>
  <r>
    <x v="3"/>
    <x v="41"/>
    <x v="2"/>
    <n v="0.338037781299382"/>
    <n v="0.35782926115303298"/>
    <n v="1.9791479853650901E-2"/>
    <n v="172.594847395416"/>
    <n v="183.733769454466"/>
    <n v="11.1389220590505"/>
    <n v="3451.8969479083198"/>
    <n v="3674.6753890893301"/>
    <n v="222.77844118101029"/>
    <n v="20"/>
  </r>
  <r>
    <x v="4"/>
    <x v="42"/>
    <x v="2"/>
    <n v="0.28081407108188"/>
    <n v="0.30710013763493899"/>
    <n v="2.6286066553058901E-2"/>
    <n v="235.694303955442"/>
    <n v="265.20571575856002"/>
    <n v="29.5114118031176"/>
    <n v="76129.260177607895"/>
    <n v="85661.446190014904"/>
    <n v="9532.1860124070081"/>
    <n v="323"/>
  </r>
  <r>
    <x v="4"/>
    <x v="43"/>
    <x v="2"/>
    <n v="0.29555863236819302"/>
    <n v="0.30332223150051402"/>
    <n v="7.7635991323209098E-3"/>
    <n v="994.25730361562898"/>
    <n v="1008.1671915093"/>
    <n v="13.9098878936767"/>
    <n v="40764.549448240803"/>
    <n v="41334.854851881501"/>
    <n v="570.30540364069748"/>
    <n v="41"/>
  </r>
  <r>
    <x v="5"/>
    <x v="42"/>
    <x v="2"/>
    <n v="0.3537404901683"/>
    <n v="0.37680148355649801"/>
    <n v="2.30609933881974E-2"/>
    <n v="192.28122662195699"/>
    <n v="217.05225287488901"/>
    <n v="24.771026252932302"/>
    <n v="7498.9678382563397"/>
    <n v="8465.0378621207001"/>
    <n v="966.07002386436034"/>
    <n v="39"/>
  </r>
  <r>
    <x v="5"/>
    <x v="43"/>
    <x v="2"/>
    <n v="0.27392298390762898"/>
    <n v="0.29825937873508601"/>
    <n v="2.4336394827456899E-2"/>
    <n v="336.59951319259198"/>
    <n v="364.711579014694"/>
    <n v="28.1120658221027"/>
    <n v="109394.841787592"/>
    <n v="118531.26317977499"/>
    <n v="9136.4213921829942"/>
    <n v="325"/>
  </r>
  <r>
    <x v="6"/>
    <x v="44"/>
    <x v="2"/>
    <n v="0.243499925553814"/>
    <n v="0.27474655461111402"/>
    <n v="3.12466290573E-2"/>
    <n v="11.764179539585401"/>
    <n v="13.0508409216449"/>
    <n v="1.2866613820595001"/>
    <n v="858.78510638973898"/>
    <n v="952.71138728008304"/>
    <n v="93.92628089034406"/>
    <n v="73"/>
  </r>
  <r>
    <x v="6"/>
    <x v="45"/>
    <x v="2"/>
    <n v="0.369530051132478"/>
    <n v="0.39809820621591102"/>
    <n v="2.8568155083432301E-2"/>
    <n v="55.760949234346299"/>
    <n v="59.965554387296599"/>
    <n v="4.2046051529502604"/>
    <n v="4070.5492941072798"/>
    <n v="4377.4854702726498"/>
    <n v="306.93617616536994"/>
    <n v="73"/>
  </r>
  <r>
    <x v="6"/>
    <x v="46"/>
    <x v="2"/>
    <n v="0.28949180171604999"/>
    <n v="0.305139487233131"/>
    <n v="1.5647685517081102E-2"/>
    <n v="104.16437733529"/>
    <n v="109.965695875347"/>
    <n v="5.8013185400570402"/>
    <n v="7499.8351681408803"/>
    <n v="7917.5301030249902"/>
    <n v="417.6949348841099"/>
    <n v="72"/>
  </r>
  <r>
    <x v="6"/>
    <x v="47"/>
    <x v="2"/>
    <n v="0.27247763942153802"/>
    <n v="0.29002517000647499"/>
    <n v="1.7547530584936601E-2"/>
    <n v="217.693865557066"/>
    <n v="232.145759009057"/>
    <n v="14.451893451990999"/>
    <n v="15891.6521856658"/>
    <n v="16946.6404076611"/>
    <n v="1054.9882219952997"/>
    <n v="73"/>
  </r>
  <r>
    <x v="6"/>
    <x v="48"/>
    <x v="2"/>
    <n v="0.23747100256323"/>
    <n v="0.26534257419144303"/>
    <n v="2.7871571628212698E-2"/>
    <n v="1213.3286009800599"/>
    <n v="1326.0538859405101"/>
    <n v="112.725284960446"/>
    <n v="88572.987871545003"/>
    <n v="96801.933673657593"/>
    <n v="8228.9458021125902"/>
    <n v="7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830A25-9BF3-014C-83C0-47D80330834F}" name="PivotTable5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19" firstHeaderRow="1" firstDataRow="1" firstDataCol="1"/>
  <pivotFields count="13">
    <pivotField axis="axisRow" showAll="0">
      <items count="8">
        <item x="6"/>
        <item x="4"/>
        <item x="5"/>
        <item x="3"/>
        <item x="0"/>
        <item x="2"/>
        <item x="1"/>
        <item t="default"/>
      </items>
    </pivotField>
    <pivotField axis="axisRow" showAll="0">
      <items count="50">
        <item h="1" x="13"/>
        <item h="1" x="14"/>
        <item h="1" x="15"/>
        <item h="1" x="16"/>
        <item h="1" x="17"/>
        <item h="1" x="18"/>
        <item h="1" x="19"/>
        <item h="1" x="20"/>
        <item h="1" x="0"/>
        <item h="1" x="24"/>
        <item h="1" x="1"/>
        <item h="1" x="25"/>
        <item h="1" x="26"/>
        <item h="1" x="27"/>
        <item h="1" x="28"/>
        <item h="1" x="29"/>
        <item x="21"/>
        <item h="1" x="30"/>
        <item x="22"/>
        <item h="1" x="31"/>
        <item h="1" x="32"/>
        <item h="1" x="2"/>
        <item x="23"/>
        <item h="1" x="3"/>
        <item h="1" x="4"/>
        <item h="1" x="33"/>
        <item h="1" x="5"/>
        <item h="1" x="42"/>
        <item h="1" x="6"/>
        <item h="1" x="7"/>
        <item h="1" x="34"/>
        <item h="1" x="35"/>
        <item h="1" x="36"/>
        <item h="1" x="8"/>
        <item h="1" x="37"/>
        <item h="1" x="9"/>
        <item h="1" x="38"/>
        <item h="1" x="39"/>
        <item h="1" x="44"/>
        <item h="1" x="45"/>
        <item h="1" x="46"/>
        <item h="1" x="47"/>
        <item h="1" x="48"/>
        <item h="1" x="10"/>
        <item h="1" x="11"/>
        <item h="1" x="40"/>
        <item h="1" x="41"/>
        <item h="1" x="43"/>
        <item h="1" x="12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3">
    <field x="2"/>
    <field x="0"/>
    <field x="1"/>
  </rowFields>
  <rowItems count="16">
    <i>
      <x/>
    </i>
    <i r="1">
      <x v="5"/>
    </i>
    <i r="2">
      <x v="16"/>
    </i>
    <i r="2">
      <x v="18"/>
    </i>
    <i r="2">
      <x v="22"/>
    </i>
    <i>
      <x v="1"/>
    </i>
    <i r="1">
      <x v="5"/>
    </i>
    <i r="2">
      <x v="16"/>
    </i>
    <i r="2">
      <x v="18"/>
    </i>
    <i r="2">
      <x v="22"/>
    </i>
    <i>
      <x v="2"/>
    </i>
    <i r="1">
      <x v="5"/>
    </i>
    <i r="2">
      <x v="16"/>
    </i>
    <i r="2">
      <x v="18"/>
    </i>
    <i r="2">
      <x v="22"/>
    </i>
    <i t="grand">
      <x/>
    </i>
  </rowItems>
  <colItems count="1">
    <i/>
  </colItems>
  <dataFields count="1">
    <dataField name="Sum of total_EV_delta" fld="1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3"/>
  <sheetViews>
    <sheetView tabSelected="1" workbookViewId="0">
      <selection activeCell="E18" sqref="E18"/>
    </sheetView>
  </sheetViews>
  <sheetFormatPr baseColWidth="10" defaultColWidth="8.83203125" defaultRowHeight="15" x14ac:dyDescent="0.2"/>
  <cols>
    <col min="1" max="1" width="14.1640625" customWidth="1"/>
    <col min="2" max="2" width="12.33203125" customWidth="1"/>
    <col min="4" max="4" width="19.1640625" customWidth="1"/>
    <col min="5" max="5" width="27" customWidth="1"/>
    <col min="6" max="6" width="19.6640625" customWidth="1"/>
    <col min="7" max="7" width="14.6640625" customWidth="1"/>
    <col min="8" max="8" width="22.5" customWidth="1"/>
    <col min="9" max="9" width="15.1640625" customWidth="1"/>
    <col min="10" max="10" width="14" customWidth="1"/>
    <col min="11" max="12" width="21.83203125" customWidth="1"/>
  </cols>
  <sheetData>
    <row r="1" spans="1:13" x14ac:dyDescent="0.2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63</v>
      </c>
      <c r="M1" s="6" t="s">
        <v>11</v>
      </c>
    </row>
    <row r="2" spans="1:13" x14ac:dyDescent="0.2">
      <c r="A2" s="7" t="s">
        <v>12</v>
      </c>
      <c r="B2" s="8" t="s">
        <v>19</v>
      </c>
      <c r="C2" s="8" t="s">
        <v>60</v>
      </c>
      <c r="D2" s="8">
        <v>0.48425350583789001</v>
      </c>
      <c r="E2" s="8">
        <v>0.50006262444781002</v>
      </c>
      <c r="F2" s="8">
        <v>1.5809118609919799E-2</v>
      </c>
      <c r="G2" s="8">
        <v>640.67461109086105</v>
      </c>
      <c r="H2" s="8">
        <v>652.89045403714101</v>
      </c>
      <c r="I2" s="8">
        <v>12.2158429462807</v>
      </c>
      <c r="J2" s="8">
        <v>53175.992720541399</v>
      </c>
      <c r="K2" s="8">
        <v>54189.907685082697</v>
      </c>
      <c r="L2" s="8">
        <f>Sheet1!$K2-Sheet1!$J2</f>
        <v>1013.9149645412981</v>
      </c>
      <c r="M2" s="8">
        <v>83</v>
      </c>
    </row>
    <row r="3" spans="1:13" x14ac:dyDescent="0.2">
      <c r="A3" s="9" t="s">
        <v>12</v>
      </c>
      <c r="B3" s="4" t="s">
        <v>20</v>
      </c>
      <c r="C3" s="4" t="s">
        <v>60</v>
      </c>
      <c r="D3" s="4">
        <v>2.3621421226126201E-2</v>
      </c>
      <c r="E3" s="4">
        <v>2.4575843634546801E-2</v>
      </c>
      <c r="F3" s="4">
        <v>9.5442240842054404E-4</v>
      </c>
      <c r="G3" s="4">
        <v>27.3665004922305</v>
      </c>
      <c r="H3" s="4">
        <v>28.783848212114499</v>
      </c>
      <c r="I3" s="4">
        <v>1.4173477198839901</v>
      </c>
      <c r="J3" s="4">
        <v>2709.2835487308198</v>
      </c>
      <c r="K3" s="4">
        <v>2849.6009729993398</v>
      </c>
      <c r="L3" s="4">
        <f>Sheet1!$K3-Sheet1!$J3</f>
        <v>140.31742426851997</v>
      </c>
      <c r="M3" s="4">
        <v>99</v>
      </c>
    </row>
    <row r="4" spans="1:13" x14ac:dyDescent="0.2">
      <c r="A4" s="10" t="s">
        <v>12</v>
      </c>
      <c r="B4" s="11" t="s">
        <v>21</v>
      </c>
      <c r="C4" s="11" t="s">
        <v>60</v>
      </c>
      <c r="D4" s="11">
        <v>0.41230620331815199</v>
      </c>
      <c r="E4" s="11">
        <v>0.42165814008923602</v>
      </c>
      <c r="F4" s="11">
        <v>9.3519367710841496E-3</v>
      </c>
      <c r="G4" s="11">
        <v>47.580877663150197</v>
      </c>
      <c r="H4" s="11">
        <v>48.3972741546321</v>
      </c>
      <c r="I4" s="11">
        <v>0.81639649148188298</v>
      </c>
      <c r="J4" s="11">
        <v>333.06614364205097</v>
      </c>
      <c r="K4" s="11">
        <v>338.78091908242499</v>
      </c>
      <c r="L4" s="11">
        <f>Sheet1!$K4-Sheet1!$J4</f>
        <v>5.7147754403740123</v>
      </c>
      <c r="M4" s="11">
        <v>7</v>
      </c>
    </row>
    <row r="5" spans="1:13" x14ac:dyDescent="0.2">
      <c r="A5" s="9" t="s">
        <v>12</v>
      </c>
      <c r="B5" s="4" t="s">
        <v>22</v>
      </c>
      <c r="C5" s="4" t="s">
        <v>60</v>
      </c>
      <c r="D5" s="4">
        <v>0.42735901953774202</v>
      </c>
      <c r="E5" s="4">
        <v>0.43960857729289499</v>
      </c>
      <c r="F5" s="4">
        <v>1.22495577551521E-2</v>
      </c>
      <c r="G5" s="4">
        <v>478.59196468144398</v>
      </c>
      <c r="H5" s="4">
        <v>485.89251820251701</v>
      </c>
      <c r="I5" s="4">
        <v>7.3005535210733496</v>
      </c>
      <c r="J5" s="4">
        <v>1435.77589404433</v>
      </c>
      <c r="K5" s="4">
        <v>1457.6775546075501</v>
      </c>
      <c r="L5" s="4">
        <f>Sheet1!$K5-Sheet1!$J5</f>
        <v>21.901660563220048</v>
      </c>
      <c r="M5" s="4">
        <v>3</v>
      </c>
    </row>
    <row r="6" spans="1:13" x14ac:dyDescent="0.2">
      <c r="A6" s="10" t="s">
        <v>12</v>
      </c>
      <c r="B6" s="11" t="s">
        <v>23</v>
      </c>
      <c r="C6" s="11" t="s">
        <v>60</v>
      </c>
      <c r="D6" s="11">
        <v>0.34891974214240901</v>
      </c>
      <c r="E6" s="11">
        <v>0.350308727365512</v>
      </c>
      <c r="F6" s="11">
        <v>1.3889852231030999E-3</v>
      </c>
      <c r="G6" s="11">
        <v>180.86621095973501</v>
      </c>
      <c r="H6" s="11">
        <v>182.394094705149</v>
      </c>
      <c r="I6" s="11">
        <v>1.52788374541344</v>
      </c>
      <c r="J6" s="11">
        <v>723.46484383894199</v>
      </c>
      <c r="K6" s="11">
        <v>729.57637882059601</v>
      </c>
      <c r="L6" s="11">
        <f>Sheet1!$K6-Sheet1!$J6</f>
        <v>6.1115349816540174</v>
      </c>
      <c r="M6" s="11">
        <v>4</v>
      </c>
    </row>
    <row r="7" spans="1:13" x14ac:dyDescent="0.2">
      <c r="A7" s="9" t="s">
        <v>12</v>
      </c>
      <c r="B7" s="4" t="s">
        <v>24</v>
      </c>
      <c r="C7" s="4" t="s">
        <v>60</v>
      </c>
      <c r="D7" s="4">
        <v>0.25411281262144297</v>
      </c>
      <c r="E7" s="4">
        <v>0.25594016361475902</v>
      </c>
      <c r="F7" s="4">
        <v>1.8273509933161201E-3</v>
      </c>
      <c r="G7" s="4">
        <v>386.83572283402401</v>
      </c>
      <c r="H7" s="4">
        <v>396.90610746629397</v>
      </c>
      <c r="I7" s="4">
        <v>10.070384632269599</v>
      </c>
      <c r="J7" s="4">
        <v>3868.35722834024</v>
      </c>
      <c r="K7" s="4">
        <v>3969.06107466294</v>
      </c>
      <c r="L7" s="4">
        <f>Sheet1!$K7-Sheet1!$J7</f>
        <v>100.70384632269997</v>
      </c>
      <c r="M7" s="4">
        <v>10</v>
      </c>
    </row>
    <row r="8" spans="1:13" x14ac:dyDescent="0.2">
      <c r="A8" s="10" t="s">
        <v>12</v>
      </c>
      <c r="B8" s="11" t="s">
        <v>25</v>
      </c>
      <c r="C8" s="11" t="s">
        <v>60</v>
      </c>
      <c r="D8" s="11">
        <v>0.230221007311981</v>
      </c>
      <c r="E8" s="11">
        <v>0.24325254992351</v>
      </c>
      <c r="F8" s="11">
        <v>1.30315426115283E-2</v>
      </c>
      <c r="G8" s="11">
        <v>65.226038240396704</v>
      </c>
      <c r="H8" s="11">
        <v>67.144313089986596</v>
      </c>
      <c r="I8" s="11">
        <v>1.91827484958989</v>
      </c>
      <c r="J8" s="11">
        <v>913.164535365554</v>
      </c>
      <c r="K8" s="11">
        <v>940.020383259813</v>
      </c>
      <c r="L8" s="11">
        <f>Sheet1!$K8-Sheet1!$J8</f>
        <v>26.855847894259</v>
      </c>
      <c r="M8" s="11">
        <v>14</v>
      </c>
    </row>
    <row r="9" spans="1:13" x14ac:dyDescent="0.2">
      <c r="A9" s="9" t="s">
        <v>12</v>
      </c>
      <c r="B9" s="4" t="s">
        <v>26</v>
      </c>
      <c r="C9" s="4" t="s">
        <v>60</v>
      </c>
      <c r="D9" s="4">
        <v>0.26084147965314802</v>
      </c>
      <c r="E9" s="4">
        <v>0.28412485454318498</v>
      </c>
      <c r="F9" s="4">
        <v>2.3283374890037099E-2</v>
      </c>
      <c r="G9" s="4">
        <v>48.772232266624201</v>
      </c>
      <c r="H9" s="4">
        <v>50.979348522870602</v>
      </c>
      <c r="I9" s="4">
        <v>2.2071162562463398</v>
      </c>
      <c r="J9" s="4">
        <v>438.95009039961798</v>
      </c>
      <c r="K9" s="4">
        <v>458.81413670583498</v>
      </c>
      <c r="L9" s="4">
        <f>Sheet1!$K9-Sheet1!$J9</f>
        <v>19.864046306217006</v>
      </c>
      <c r="M9" s="4">
        <v>9</v>
      </c>
    </row>
    <row r="10" spans="1:13" x14ac:dyDescent="0.2">
      <c r="A10" s="10" t="s">
        <v>12</v>
      </c>
      <c r="B10" s="11" t="s">
        <v>27</v>
      </c>
      <c r="C10" s="11" t="s">
        <v>60</v>
      </c>
      <c r="D10" s="11">
        <v>0.449464383394791</v>
      </c>
      <c r="E10" s="11">
        <v>0.46060227581471203</v>
      </c>
      <c r="F10" s="11">
        <v>1.1137892419921599E-2</v>
      </c>
      <c r="G10" s="11">
        <v>830.20079708608296</v>
      </c>
      <c r="H10" s="11">
        <v>843.74807490783098</v>
      </c>
      <c r="I10" s="11">
        <v>13.547277821747899</v>
      </c>
      <c r="J10" s="11">
        <v>35698.634274701501</v>
      </c>
      <c r="K10" s="11">
        <v>36281.167221036703</v>
      </c>
      <c r="L10" s="11">
        <f>Sheet1!$K10-Sheet1!$J10</f>
        <v>582.53294633520272</v>
      </c>
      <c r="M10" s="11">
        <v>43</v>
      </c>
    </row>
    <row r="11" spans="1:13" x14ac:dyDescent="0.2">
      <c r="A11" s="9" t="s">
        <v>12</v>
      </c>
      <c r="B11" s="4" t="s">
        <v>28</v>
      </c>
      <c r="C11" s="4" t="s">
        <v>60</v>
      </c>
      <c r="D11" s="4">
        <v>0.43792392496958699</v>
      </c>
      <c r="E11" s="4">
        <v>0.47636943212703498</v>
      </c>
      <c r="F11" s="4">
        <v>3.8445507157448801E-2</v>
      </c>
      <c r="G11" s="4">
        <v>25.6200114031091</v>
      </c>
      <c r="H11" s="4">
        <v>27.140000334762099</v>
      </c>
      <c r="I11" s="4">
        <v>1.51998893165301</v>
      </c>
      <c r="J11" s="4">
        <v>76.860034209327495</v>
      </c>
      <c r="K11" s="4">
        <v>81.420001004286505</v>
      </c>
      <c r="L11" s="4">
        <f>Sheet1!$K11-Sheet1!$J11</f>
        <v>4.5599667949590099</v>
      </c>
      <c r="M11" s="4">
        <v>3</v>
      </c>
    </row>
    <row r="12" spans="1:13" x14ac:dyDescent="0.2">
      <c r="A12" s="10" t="s">
        <v>12</v>
      </c>
      <c r="B12" s="11" t="s">
        <v>29</v>
      </c>
      <c r="C12" s="11" t="s">
        <v>60</v>
      </c>
      <c r="D12" s="11">
        <v>0.28864450315385598</v>
      </c>
      <c r="E12" s="11">
        <v>0.29187170780309202</v>
      </c>
      <c r="F12" s="11">
        <v>3.2272046492358201E-3</v>
      </c>
      <c r="G12" s="11">
        <v>197.31763100329999</v>
      </c>
      <c r="H12" s="11">
        <v>198.68521030873501</v>
      </c>
      <c r="I12" s="11">
        <v>1.3675793054352701</v>
      </c>
      <c r="J12" s="11">
        <v>13614.916539227699</v>
      </c>
      <c r="K12" s="11">
        <v>13709.2795113027</v>
      </c>
      <c r="L12" s="11">
        <f>Sheet1!$K12-Sheet1!$J12</f>
        <v>94.36297207500138</v>
      </c>
      <c r="M12" s="11">
        <v>69</v>
      </c>
    </row>
    <row r="13" spans="1:13" x14ac:dyDescent="0.2">
      <c r="A13" s="9" t="s">
        <v>12</v>
      </c>
      <c r="B13" s="4" t="s">
        <v>30</v>
      </c>
      <c r="C13" s="4" t="s">
        <v>60</v>
      </c>
      <c r="D13" s="4">
        <v>0.301041997083346</v>
      </c>
      <c r="E13" s="4">
        <v>0.31151328722223998</v>
      </c>
      <c r="F13" s="4">
        <v>1.04712901388935E-2</v>
      </c>
      <c r="G13" s="4">
        <v>155.09802934691001</v>
      </c>
      <c r="H13" s="4">
        <v>159.21581383974001</v>
      </c>
      <c r="I13" s="4">
        <v>4.1177844928290801</v>
      </c>
      <c r="J13" s="4">
        <v>2481.5684695505702</v>
      </c>
      <c r="K13" s="4">
        <v>2547.4530214358401</v>
      </c>
      <c r="L13" s="4">
        <f>Sheet1!$K13-Sheet1!$J13</f>
        <v>65.884551885269957</v>
      </c>
      <c r="M13" s="4">
        <v>16</v>
      </c>
    </row>
    <row r="14" spans="1:13" x14ac:dyDescent="0.2">
      <c r="A14" s="10" t="s">
        <v>12</v>
      </c>
      <c r="B14" s="11" t="s">
        <v>31</v>
      </c>
      <c r="C14" s="11" t="s">
        <v>60</v>
      </c>
      <c r="D14" s="11">
        <v>0.30992731822672298</v>
      </c>
      <c r="E14" s="11">
        <v>0.30992731822672298</v>
      </c>
      <c r="F14" s="11">
        <v>0</v>
      </c>
      <c r="G14" s="11">
        <v>355.94382581412401</v>
      </c>
      <c r="H14" s="11">
        <v>355.94382581412401</v>
      </c>
      <c r="I14" s="11">
        <v>0</v>
      </c>
      <c r="J14" s="11">
        <v>1423.7753032564899</v>
      </c>
      <c r="K14" s="11">
        <v>1423.7753032564899</v>
      </c>
      <c r="L14" s="11">
        <f>Sheet1!$K14-Sheet1!$J14</f>
        <v>0</v>
      </c>
      <c r="M14" s="11">
        <v>4</v>
      </c>
    </row>
    <row r="15" spans="1:13" x14ac:dyDescent="0.2">
      <c r="A15" s="9" t="s">
        <v>13</v>
      </c>
      <c r="B15" s="4">
        <v>0</v>
      </c>
      <c r="C15" s="4" t="s">
        <v>60</v>
      </c>
      <c r="D15" s="4">
        <v>0.39909339056927801</v>
      </c>
      <c r="E15" s="4">
        <v>0.40469427470542702</v>
      </c>
      <c r="F15" s="4">
        <v>5.6008841361486397E-3</v>
      </c>
      <c r="G15" s="4">
        <v>389.344105544169</v>
      </c>
      <c r="H15" s="4">
        <v>392.90353760418998</v>
      </c>
      <c r="I15" s="4">
        <v>3.5594320600210798</v>
      </c>
      <c r="J15" s="4">
        <v>42438.507504314497</v>
      </c>
      <c r="K15" s="4">
        <v>42826.4855988567</v>
      </c>
      <c r="L15" s="4">
        <f>Sheet1!$K15-Sheet1!$J15</f>
        <v>387.9780945422026</v>
      </c>
      <c r="M15" s="4">
        <v>109</v>
      </c>
    </row>
    <row r="16" spans="1:13" x14ac:dyDescent="0.2">
      <c r="A16" s="10" t="s">
        <v>13</v>
      </c>
      <c r="B16" s="11">
        <v>1</v>
      </c>
      <c r="C16" s="11" t="s">
        <v>60</v>
      </c>
      <c r="D16" s="11">
        <v>0.37167712340963799</v>
      </c>
      <c r="E16" s="11">
        <v>0.37700912797841302</v>
      </c>
      <c r="F16" s="11">
        <v>5.3320045687744299E-3</v>
      </c>
      <c r="G16" s="11">
        <v>423.58152544174601</v>
      </c>
      <c r="H16" s="11">
        <v>426.77924020279698</v>
      </c>
      <c r="I16" s="11">
        <v>3.1977147610511198</v>
      </c>
      <c r="J16" s="11">
        <v>13554.6088141358</v>
      </c>
      <c r="K16" s="11">
        <v>13656.9356864895</v>
      </c>
      <c r="L16" s="11">
        <f>Sheet1!$K16-Sheet1!$J16</f>
        <v>102.32687235370031</v>
      </c>
      <c r="M16" s="11">
        <v>32</v>
      </c>
    </row>
    <row r="17" spans="1:13" x14ac:dyDescent="0.2">
      <c r="A17" s="9" t="s">
        <v>13</v>
      </c>
      <c r="B17" s="4">
        <v>2</v>
      </c>
      <c r="C17" s="4" t="s">
        <v>60</v>
      </c>
      <c r="D17" s="4">
        <v>0.380253976310923</v>
      </c>
      <c r="E17" s="4">
        <v>0.40053405297448902</v>
      </c>
      <c r="F17" s="4">
        <v>2.0280076663565402E-2</v>
      </c>
      <c r="G17" s="4">
        <v>295.96572280279798</v>
      </c>
      <c r="H17" s="4">
        <v>308.483034658002</v>
      </c>
      <c r="I17" s="4">
        <v>12.5173118552043</v>
      </c>
      <c r="J17" s="4">
        <v>9766.8688524923291</v>
      </c>
      <c r="K17" s="4">
        <v>10179.940143714</v>
      </c>
      <c r="L17" s="4">
        <f>Sheet1!$K17-Sheet1!$J17</f>
        <v>413.07129122167134</v>
      </c>
      <c r="M17" s="4">
        <v>33</v>
      </c>
    </row>
    <row r="18" spans="1:13" x14ac:dyDescent="0.2">
      <c r="A18" s="10" t="s">
        <v>13</v>
      </c>
      <c r="B18" s="11">
        <v>3</v>
      </c>
      <c r="C18" s="11" t="s">
        <v>60</v>
      </c>
      <c r="D18" s="11">
        <v>0.33436647296076399</v>
      </c>
      <c r="E18" s="11">
        <v>0.35724789360379799</v>
      </c>
      <c r="F18" s="11">
        <v>2.2881420643034198E-2</v>
      </c>
      <c r="G18" s="11">
        <v>469.98720274256198</v>
      </c>
      <c r="H18" s="11">
        <v>482.45165834386199</v>
      </c>
      <c r="I18" s="11">
        <v>12.4644556013006</v>
      </c>
      <c r="J18" s="11">
        <v>12689.654474049101</v>
      </c>
      <c r="K18" s="11">
        <v>13026.194775284201</v>
      </c>
      <c r="L18" s="11">
        <f>Sheet1!$K18-Sheet1!$J18</f>
        <v>336.54030123509983</v>
      </c>
      <c r="M18" s="11">
        <v>27</v>
      </c>
    </row>
    <row r="19" spans="1:13" x14ac:dyDescent="0.2">
      <c r="A19" s="9" t="s">
        <v>13</v>
      </c>
      <c r="B19" s="4">
        <v>4</v>
      </c>
      <c r="C19" s="4" t="s">
        <v>60</v>
      </c>
      <c r="D19" s="4">
        <v>0.18989399215361299</v>
      </c>
      <c r="E19" s="4">
        <v>0.21889401178689899</v>
      </c>
      <c r="F19" s="4">
        <v>2.9000019633286502E-2</v>
      </c>
      <c r="G19" s="4">
        <v>259.76959922537202</v>
      </c>
      <c r="H19" s="4">
        <v>288.831943296264</v>
      </c>
      <c r="I19" s="4">
        <v>29.0623440708918</v>
      </c>
      <c r="J19" s="4">
        <v>7533.3183775358002</v>
      </c>
      <c r="K19" s="4">
        <v>8376.1263555916594</v>
      </c>
      <c r="L19" s="4">
        <f>Sheet1!$K19-Sheet1!$J19</f>
        <v>842.80797805585917</v>
      </c>
      <c r="M19" s="4">
        <v>29</v>
      </c>
    </row>
    <row r="20" spans="1:13" x14ac:dyDescent="0.2">
      <c r="A20" s="10" t="s">
        <v>13</v>
      </c>
      <c r="B20" s="11">
        <v>5</v>
      </c>
      <c r="C20" s="11" t="s">
        <v>60</v>
      </c>
      <c r="D20" s="11">
        <v>0.11305687853441999</v>
      </c>
      <c r="E20" s="11">
        <v>0.11305687853441999</v>
      </c>
      <c r="F20" s="11">
        <v>0</v>
      </c>
      <c r="G20" s="11">
        <v>78.469904942953605</v>
      </c>
      <c r="H20" s="11">
        <v>78.469904942953605</v>
      </c>
      <c r="I20" s="11">
        <v>0</v>
      </c>
      <c r="J20" s="11">
        <v>1883.2777186308799</v>
      </c>
      <c r="K20" s="11">
        <v>1883.2777186308799</v>
      </c>
      <c r="L20" s="11">
        <f>Sheet1!$K20-Sheet1!$J20</f>
        <v>0</v>
      </c>
      <c r="M20" s="11">
        <v>24</v>
      </c>
    </row>
    <row r="21" spans="1:13" x14ac:dyDescent="0.2">
      <c r="A21" s="9" t="s">
        <v>13</v>
      </c>
      <c r="B21" s="4">
        <v>6</v>
      </c>
      <c r="C21" s="4" t="s">
        <v>60</v>
      </c>
      <c r="D21" s="4">
        <v>0.145307899261685</v>
      </c>
      <c r="E21" s="4">
        <v>0.145307899261685</v>
      </c>
      <c r="F21" s="4">
        <v>0</v>
      </c>
      <c r="G21" s="4">
        <v>56.601303828569101</v>
      </c>
      <c r="H21" s="4">
        <v>56.601303828569101</v>
      </c>
      <c r="I21" s="4">
        <v>0</v>
      </c>
      <c r="J21" s="4">
        <v>1245.22868422852</v>
      </c>
      <c r="K21" s="4">
        <v>1245.22868422852</v>
      </c>
      <c r="L21" s="4">
        <f>Sheet1!$K21-Sheet1!$J21</f>
        <v>0</v>
      </c>
      <c r="M21" s="4">
        <v>22</v>
      </c>
    </row>
    <row r="22" spans="1:13" x14ac:dyDescent="0.2">
      <c r="A22" s="10" t="s">
        <v>13</v>
      </c>
      <c r="B22" s="11">
        <v>7</v>
      </c>
      <c r="C22" s="11" t="s">
        <v>60</v>
      </c>
      <c r="D22" s="11">
        <v>0.164007508365276</v>
      </c>
      <c r="E22" s="11">
        <v>0.164007508365276</v>
      </c>
      <c r="F22" s="11">
        <v>0</v>
      </c>
      <c r="G22" s="11">
        <v>315.708468187064</v>
      </c>
      <c r="H22" s="11">
        <v>315.708468187064</v>
      </c>
      <c r="I22" s="11">
        <v>0</v>
      </c>
      <c r="J22" s="11">
        <v>27782.345200461601</v>
      </c>
      <c r="K22" s="11">
        <v>27782.345200461601</v>
      </c>
      <c r="L22" s="11">
        <f>Sheet1!$K22-Sheet1!$J22</f>
        <v>0</v>
      </c>
      <c r="M22" s="11">
        <v>88</v>
      </c>
    </row>
    <row r="23" spans="1:13" x14ac:dyDescent="0.2">
      <c r="A23" s="9" t="s">
        <v>14</v>
      </c>
      <c r="B23" s="4" t="s">
        <v>32</v>
      </c>
      <c r="C23" s="4" t="s">
        <v>60</v>
      </c>
      <c r="D23" s="4">
        <v>0.36102467636121399</v>
      </c>
      <c r="E23" s="4">
        <v>0.37155536773242298</v>
      </c>
      <c r="F23" s="4">
        <v>1.05306913712085E-2</v>
      </c>
      <c r="G23" s="4">
        <v>452.14883474200502</v>
      </c>
      <c r="H23" s="4">
        <v>460.40747987645602</v>
      </c>
      <c r="I23" s="4">
        <v>8.2586451344508092</v>
      </c>
      <c r="J23" s="4">
        <v>106254.97616437099</v>
      </c>
      <c r="K23" s="4">
        <v>108195.757770967</v>
      </c>
      <c r="L23" s="4">
        <f>Sheet1!$K23-Sheet1!$J23</f>
        <v>1940.7816065960069</v>
      </c>
      <c r="M23" s="4">
        <v>235</v>
      </c>
    </row>
    <row r="24" spans="1:13" x14ac:dyDescent="0.2">
      <c r="A24" s="10" t="s">
        <v>14</v>
      </c>
      <c r="B24" s="11" t="s">
        <v>33</v>
      </c>
      <c r="C24" s="11" t="s">
        <v>60</v>
      </c>
      <c r="D24" s="11">
        <v>0.29422879381894801</v>
      </c>
      <c r="E24" s="11">
        <v>0.30736688488314401</v>
      </c>
      <c r="F24" s="11">
        <v>1.31380910641954E-2</v>
      </c>
      <c r="G24" s="11">
        <v>84.622349375915505</v>
      </c>
      <c r="H24" s="11">
        <v>87.090873369151694</v>
      </c>
      <c r="I24" s="11">
        <v>2.46852399323623</v>
      </c>
      <c r="J24" s="11">
        <v>1438.57993939056</v>
      </c>
      <c r="K24" s="11">
        <v>1480.54484727558</v>
      </c>
      <c r="L24" s="11">
        <f>Sheet1!$K24-Sheet1!$J24</f>
        <v>41.964907885020011</v>
      </c>
      <c r="M24" s="11">
        <v>17</v>
      </c>
    </row>
    <row r="25" spans="1:13" x14ac:dyDescent="0.2">
      <c r="A25" s="9" t="s">
        <v>14</v>
      </c>
      <c r="B25" s="4" t="s">
        <v>34</v>
      </c>
      <c r="C25" s="4" t="s">
        <v>60</v>
      </c>
      <c r="D25" s="4">
        <v>0.11587643256013901</v>
      </c>
      <c r="E25" s="4">
        <v>0.117761271429251</v>
      </c>
      <c r="F25" s="4">
        <v>1.8848388691121E-3</v>
      </c>
      <c r="G25" s="4">
        <v>82.145120732919295</v>
      </c>
      <c r="H25" s="4">
        <v>83.037781651916603</v>
      </c>
      <c r="I25" s="4">
        <v>0.89266091899733202</v>
      </c>
      <c r="J25" s="4">
        <v>9200.2535220869595</v>
      </c>
      <c r="K25" s="4">
        <v>9300.2315450146598</v>
      </c>
      <c r="L25" s="4">
        <f>Sheet1!$K25-Sheet1!$J25</f>
        <v>99.978022927700295</v>
      </c>
      <c r="M25" s="4">
        <v>112</v>
      </c>
    </row>
    <row r="26" spans="1:13" x14ac:dyDescent="0.2">
      <c r="A26" s="10" t="s">
        <v>15</v>
      </c>
      <c r="B26" s="11" t="s">
        <v>35</v>
      </c>
      <c r="C26" s="11" t="s">
        <v>60</v>
      </c>
      <c r="D26" s="11">
        <v>0.12932859863360699</v>
      </c>
      <c r="E26" s="11">
        <v>0.129643528384979</v>
      </c>
      <c r="F26" s="11">
        <v>3.1492975137207999E-4</v>
      </c>
      <c r="G26" s="11">
        <v>233.91450079363</v>
      </c>
      <c r="H26" s="11">
        <v>233.96647327806599</v>
      </c>
      <c r="I26" s="11">
        <v>5.1972484436160302E-2</v>
      </c>
      <c r="J26" s="11">
        <v>1169.5725039681499</v>
      </c>
      <c r="K26" s="11">
        <v>1169.83236639033</v>
      </c>
      <c r="L26" s="11">
        <f>Sheet1!$K26-Sheet1!$J26</f>
        <v>0.25986242218004918</v>
      </c>
      <c r="M26" s="11">
        <v>5</v>
      </c>
    </row>
    <row r="27" spans="1:13" x14ac:dyDescent="0.2">
      <c r="A27" s="9" t="s">
        <v>15</v>
      </c>
      <c r="B27" s="4" t="s">
        <v>36</v>
      </c>
      <c r="C27" s="4" t="s">
        <v>60</v>
      </c>
      <c r="D27" s="4">
        <v>0.498635407554542</v>
      </c>
      <c r="E27" s="4">
        <v>0.50468005037800401</v>
      </c>
      <c r="F27" s="4">
        <v>6.0446428234616203E-3</v>
      </c>
      <c r="G27" s="4">
        <v>2290.6823445763198</v>
      </c>
      <c r="H27" s="4">
        <v>2302.7064573048001</v>
      </c>
      <c r="I27" s="4">
        <v>12.0241127284764</v>
      </c>
      <c r="J27" s="4">
        <v>9162.7293783053101</v>
      </c>
      <c r="K27" s="4">
        <v>9210.8258292192204</v>
      </c>
      <c r="L27" s="4">
        <f>Sheet1!$K27-Sheet1!$J27</f>
        <v>48.096450913910303</v>
      </c>
      <c r="M27" s="4">
        <v>4</v>
      </c>
    </row>
    <row r="28" spans="1:13" x14ac:dyDescent="0.2">
      <c r="A28" s="10" t="s">
        <v>15</v>
      </c>
      <c r="B28" s="11" t="s">
        <v>37</v>
      </c>
      <c r="C28" s="11" t="s">
        <v>60</v>
      </c>
      <c r="D28" s="11">
        <v>0.39583019888073401</v>
      </c>
      <c r="E28" s="11">
        <v>0.40952931207327498</v>
      </c>
      <c r="F28" s="11">
        <v>1.36991131925406E-2</v>
      </c>
      <c r="G28" s="11">
        <v>307.64529042445298</v>
      </c>
      <c r="H28" s="11">
        <v>315.02208094418597</v>
      </c>
      <c r="I28" s="11">
        <v>7.3767905197332801</v>
      </c>
      <c r="J28" s="11">
        <v>30456.8837520208</v>
      </c>
      <c r="K28" s="11">
        <v>31187.186013474398</v>
      </c>
      <c r="L28" s="11">
        <f>Sheet1!$K28-Sheet1!$J28</f>
        <v>730.30226145359848</v>
      </c>
      <c r="M28" s="11">
        <v>99</v>
      </c>
    </row>
    <row r="29" spans="1:13" x14ac:dyDescent="0.2">
      <c r="A29" s="9" t="s">
        <v>15</v>
      </c>
      <c r="B29" s="4" t="s">
        <v>38</v>
      </c>
      <c r="C29" s="4" t="s">
        <v>60</v>
      </c>
      <c r="D29" s="4">
        <v>1.0510052964490001E-2</v>
      </c>
      <c r="E29" s="4">
        <v>1.07807536156181E-2</v>
      </c>
      <c r="F29" s="4">
        <v>2.7070065112806598E-4</v>
      </c>
      <c r="G29" s="4">
        <v>9.2595631174478594</v>
      </c>
      <c r="H29" s="4">
        <v>9.2813005909137303</v>
      </c>
      <c r="I29" s="4">
        <v>2.17374734658691E-2</v>
      </c>
      <c r="J29" s="4">
        <v>111.11475740937399</v>
      </c>
      <c r="K29" s="4">
        <v>111.375607090964</v>
      </c>
      <c r="L29" s="4">
        <f>Sheet1!$K29-Sheet1!$J29</f>
        <v>0.26084968159000255</v>
      </c>
      <c r="M29" s="4">
        <v>12</v>
      </c>
    </row>
    <row r="30" spans="1:13" x14ac:dyDescent="0.2">
      <c r="A30" s="10" t="s">
        <v>15</v>
      </c>
      <c r="B30" s="11" t="s">
        <v>39</v>
      </c>
      <c r="C30" s="11" t="s">
        <v>60</v>
      </c>
      <c r="D30" s="11">
        <v>7.2083335691881301E-2</v>
      </c>
      <c r="E30" s="11">
        <v>7.4093990128458298E-2</v>
      </c>
      <c r="F30" s="11">
        <v>2.0106544365770199E-3</v>
      </c>
      <c r="G30" s="11">
        <v>56.110162337706797</v>
      </c>
      <c r="H30" s="11">
        <v>57.469712588110397</v>
      </c>
      <c r="I30" s="11">
        <v>1.3595502504035899</v>
      </c>
      <c r="J30" s="11">
        <v>1627.1947077934899</v>
      </c>
      <c r="K30" s="11">
        <v>1666.6216650552001</v>
      </c>
      <c r="L30" s="11">
        <f>Sheet1!$K30-Sheet1!$J30</f>
        <v>39.426957261710186</v>
      </c>
      <c r="M30" s="11">
        <v>29</v>
      </c>
    </row>
    <row r="31" spans="1:13" x14ac:dyDescent="0.2">
      <c r="A31" s="9" t="s">
        <v>15</v>
      </c>
      <c r="B31" s="4" t="s">
        <v>40</v>
      </c>
      <c r="C31" s="4" t="s">
        <v>60</v>
      </c>
      <c r="D31" s="4">
        <v>0.44371436686585197</v>
      </c>
      <c r="E31" s="4">
        <v>0.47080637148769</v>
      </c>
      <c r="F31" s="4">
        <v>2.7092004621837799E-2</v>
      </c>
      <c r="G31" s="4">
        <v>155.01439537838999</v>
      </c>
      <c r="H31" s="4">
        <v>163.21532500869699</v>
      </c>
      <c r="I31" s="4">
        <v>8.2009296303071508</v>
      </c>
      <c r="J31" s="4">
        <v>1395.1295584055099</v>
      </c>
      <c r="K31" s="4">
        <v>1468.9379250782799</v>
      </c>
      <c r="L31" s="4">
        <f>Sheet1!$K31-Sheet1!$J31</f>
        <v>73.808366672770035</v>
      </c>
      <c r="M31" s="4">
        <v>9</v>
      </c>
    </row>
    <row r="32" spans="1:13" x14ac:dyDescent="0.2">
      <c r="A32" s="10" t="s">
        <v>15</v>
      </c>
      <c r="B32" s="11" t="s">
        <v>41</v>
      </c>
      <c r="C32" s="11" t="s">
        <v>60</v>
      </c>
      <c r="D32" s="11">
        <v>0.40665411748730501</v>
      </c>
      <c r="E32" s="11">
        <v>0.44505887324557297</v>
      </c>
      <c r="F32" s="11">
        <v>3.84047557582681E-2</v>
      </c>
      <c r="G32" s="11">
        <v>162.66164699492199</v>
      </c>
      <c r="H32" s="11">
        <v>178.023549298229</v>
      </c>
      <c r="I32" s="11">
        <v>15.3619023033072</v>
      </c>
      <c r="J32" s="11">
        <v>162.66164699492199</v>
      </c>
      <c r="K32" s="11">
        <v>178.023549298229</v>
      </c>
      <c r="L32" s="11">
        <f>Sheet1!$K32-Sheet1!$J32</f>
        <v>15.361902303307005</v>
      </c>
      <c r="M32" s="11">
        <v>1</v>
      </c>
    </row>
    <row r="33" spans="1:13" x14ac:dyDescent="0.2">
      <c r="A33" s="9" t="s">
        <v>15</v>
      </c>
      <c r="B33" s="4" t="s">
        <v>42</v>
      </c>
      <c r="C33" s="4" t="s">
        <v>60</v>
      </c>
      <c r="D33" s="4">
        <v>0.25250979142136798</v>
      </c>
      <c r="E33" s="4">
        <v>0.25719781520715401</v>
      </c>
      <c r="F33" s="4">
        <v>4.6880237857853399E-3</v>
      </c>
      <c r="G33" s="4">
        <v>229.647751718092</v>
      </c>
      <c r="H33" s="4">
        <v>233.080568161277</v>
      </c>
      <c r="I33" s="4">
        <v>3.4328164431841799</v>
      </c>
      <c r="J33" s="4">
        <v>4363.3072826437601</v>
      </c>
      <c r="K33" s="4">
        <v>4428.53079506426</v>
      </c>
      <c r="L33" s="4">
        <f>Sheet1!$K33-Sheet1!$J33</f>
        <v>65.223512420499901</v>
      </c>
      <c r="M33" s="4">
        <v>19</v>
      </c>
    </row>
    <row r="34" spans="1:13" x14ac:dyDescent="0.2">
      <c r="A34" s="10" t="s">
        <v>15</v>
      </c>
      <c r="B34" s="11" t="s">
        <v>43</v>
      </c>
      <c r="C34" s="11" t="s">
        <v>60</v>
      </c>
      <c r="D34" s="11">
        <v>0.35652365309641798</v>
      </c>
      <c r="E34" s="11">
        <v>0.43013268221676998</v>
      </c>
      <c r="F34" s="11">
        <v>7.3609029120351804E-2</v>
      </c>
      <c r="G34" s="11">
        <v>7.1304730619283596</v>
      </c>
      <c r="H34" s="11">
        <v>8.6026536443353994</v>
      </c>
      <c r="I34" s="11">
        <v>1.47218058240703</v>
      </c>
      <c r="J34" s="11">
        <v>7.1304730619283596</v>
      </c>
      <c r="K34" s="11">
        <v>8.6026536443353994</v>
      </c>
      <c r="L34" s="11">
        <f>Sheet1!$K34-Sheet1!$J34</f>
        <v>1.4721805824070398</v>
      </c>
      <c r="M34" s="11">
        <v>1</v>
      </c>
    </row>
    <row r="35" spans="1:13" x14ac:dyDescent="0.2">
      <c r="A35" s="9" t="s">
        <v>15</v>
      </c>
      <c r="B35" s="4" t="s">
        <v>44</v>
      </c>
      <c r="C35" s="4" t="s">
        <v>60</v>
      </c>
      <c r="D35" s="4">
        <v>0.57293544757683601</v>
      </c>
      <c r="E35" s="4">
        <v>0.583495516249253</v>
      </c>
      <c r="F35" s="4">
        <v>1.05600686724174E-2</v>
      </c>
      <c r="G35" s="4">
        <v>418.13499625940102</v>
      </c>
      <c r="H35" s="4">
        <v>423.901537812816</v>
      </c>
      <c r="I35" s="4">
        <v>5.7665415534144797</v>
      </c>
      <c r="J35" s="4">
        <v>1254.4049887782</v>
      </c>
      <c r="K35" s="4">
        <v>1271.70461343844</v>
      </c>
      <c r="L35" s="4">
        <f>Sheet1!$K35-Sheet1!$J35</f>
        <v>17.299624660239942</v>
      </c>
      <c r="M35" s="4">
        <v>3</v>
      </c>
    </row>
    <row r="36" spans="1:13" x14ac:dyDescent="0.2">
      <c r="A36" s="10" t="s">
        <v>15</v>
      </c>
      <c r="B36" s="11" t="s">
        <v>45</v>
      </c>
      <c r="C36" s="11" t="s">
        <v>60</v>
      </c>
      <c r="D36" s="11">
        <v>0.50070548748003996</v>
      </c>
      <c r="E36" s="11">
        <v>0.50707757936083697</v>
      </c>
      <c r="F36" s="11">
        <v>6.3720918807971001E-3</v>
      </c>
      <c r="G36" s="11">
        <v>11758.472683243001</v>
      </c>
      <c r="H36" s="11">
        <v>11898.7390466457</v>
      </c>
      <c r="I36" s="11">
        <v>140.26636340267001</v>
      </c>
      <c r="J36" s="11">
        <v>23516.945366486099</v>
      </c>
      <c r="K36" s="11">
        <v>23797.478093291498</v>
      </c>
      <c r="L36" s="11">
        <f>Sheet1!$K36-Sheet1!$J36</f>
        <v>280.53272680539885</v>
      </c>
      <c r="M36" s="11">
        <v>2</v>
      </c>
    </row>
    <row r="37" spans="1:13" x14ac:dyDescent="0.2">
      <c r="A37" s="9" t="s">
        <v>15</v>
      </c>
      <c r="B37" s="4" t="s">
        <v>46</v>
      </c>
      <c r="C37" s="4" t="s">
        <v>60</v>
      </c>
      <c r="D37" s="4">
        <v>7.0580081423213106E-2</v>
      </c>
      <c r="E37" s="4">
        <v>7.1976572731102001E-2</v>
      </c>
      <c r="F37" s="4">
        <v>1.39649130788885E-3</v>
      </c>
      <c r="G37" s="4">
        <v>288.95968498711602</v>
      </c>
      <c r="H37" s="4">
        <v>299.61567300247998</v>
      </c>
      <c r="I37" s="4">
        <v>10.655988015364001</v>
      </c>
      <c r="J37" s="4">
        <v>5490.2340147552104</v>
      </c>
      <c r="K37" s="4">
        <v>5692.6977870471301</v>
      </c>
      <c r="L37" s="4">
        <f>Sheet1!$K37-Sheet1!$J37</f>
        <v>202.46377229191967</v>
      </c>
      <c r="M37" s="4">
        <v>19</v>
      </c>
    </row>
    <row r="38" spans="1:13" x14ac:dyDescent="0.2">
      <c r="A38" s="10" t="s">
        <v>15</v>
      </c>
      <c r="B38" s="11" t="s">
        <v>47</v>
      </c>
      <c r="C38" s="11" t="s">
        <v>60</v>
      </c>
      <c r="D38" s="11">
        <v>0.41180790319705501</v>
      </c>
      <c r="E38" s="11">
        <v>0.421652077253303</v>
      </c>
      <c r="F38" s="11">
        <v>9.8441740562477502E-3</v>
      </c>
      <c r="G38" s="11">
        <v>1013.33856894094</v>
      </c>
      <c r="H38" s="11">
        <v>1038.1799562311601</v>
      </c>
      <c r="I38" s="11">
        <v>24.841387290216801</v>
      </c>
      <c r="J38" s="11">
        <v>15200.0785341142</v>
      </c>
      <c r="K38" s="11">
        <v>15572.6993434674</v>
      </c>
      <c r="L38" s="11">
        <f>Sheet1!$K38-Sheet1!$J38</f>
        <v>372.62080935320046</v>
      </c>
      <c r="M38" s="11">
        <v>15</v>
      </c>
    </row>
    <row r="39" spans="1:13" x14ac:dyDescent="0.2">
      <c r="A39" s="9" t="s">
        <v>15</v>
      </c>
      <c r="B39" s="4" t="s">
        <v>48</v>
      </c>
      <c r="C39" s="4" t="s">
        <v>60</v>
      </c>
      <c r="D39" s="4">
        <v>0.20938262817054601</v>
      </c>
      <c r="E39" s="4">
        <v>0.21354870942071899</v>
      </c>
      <c r="F39" s="4">
        <v>4.1660812501732401E-3</v>
      </c>
      <c r="G39" s="4">
        <v>169.26833161676601</v>
      </c>
      <c r="H39" s="4">
        <v>170.35632149753701</v>
      </c>
      <c r="I39" s="4">
        <v>1.08798988077103</v>
      </c>
      <c r="J39" s="4">
        <v>9986.8315653892205</v>
      </c>
      <c r="K39" s="4">
        <v>10051.0229683547</v>
      </c>
      <c r="L39" s="4">
        <f>Sheet1!$K39-Sheet1!$J39</f>
        <v>64.191402965479938</v>
      </c>
      <c r="M39" s="4">
        <v>59</v>
      </c>
    </row>
    <row r="40" spans="1:13" x14ac:dyDescent="0.2">
      <c r="A40" s="10" t="s">
        <v>15</v>
      </c>
      <c r="B40" s="11" t="s">
        <v>49</v>
      </c>
      <c r="C40" s="11" t="s">
        <v>60</v>
      </c>
      <c r="D40" s="11">
        <v>0.16368052276460601</v>
      </c>
      <c r="E40" s="11">
        <v>0.16549349602711499</v>
      </c>
      <c r="F40" s="11">
        <v>1.8129732625091499E-3</v>
      </c>
      <c r="G40" s="11">
        <v>105.20947949550499</v>
      </c>
      <c r="H40" s="11">
        <v>105.660868206237</v>
      </c>
      <c r="I40" s="11">
        <v>0.45138871073213599</v>
      </c>
      <c r="J40" s="11">
        <v>2840.6559463786498</v>
      </c>
      <c r="K40" s="11">
        <v>2852.8434415684101</v>
      </c>
      <c r="L40" s="11">
        <f>Sheet1!$K40-Sheet1!$J40</f>
        <v>12.187495189760284</v>
      </c>
      <c r="M40" s="11">
        <v>27</v>
      </c>
    </row>
    <row r="41" spans="1:13" x14ac:dyDescent="0.2">
      <c r="A41" s="9" t="s">
        <v>15</v>
      </c>
      <c r="B41" s="4" t="s">
        <v>50</v>
      </c>
      <c r="C41" s="4" t="s">
        <v>60</v>
      </c>
      <c r="D41" s="4">
        <v>0.25759480415389102</v>
      </c>
      <c r="E41" s="4">
        <v>0.26468995295290598</v>
      </c>
      <c r="F41" s="4">
        <v>7.0951487990148403E-3</v>
      </c>
      <c r="G41" s="4">
        <v>180.88656616396099</v>
      </c>
      <c r="H41" s="4">
        <v>184.02021456309399</v>
      </c>
      <c r="I41" s="4">
        <v>3.1336483991328699</v>
      </c>
      <c r="J41" s="4">
        <v>904.43283081980906</v>
      </c>
      <c r="K41" s="4">
        <v>920.10107281547403</v>
      </c>
      <c r="L41" s="4">
        <f>Sheet1!$K41-Sheet1!$J41</f>
        <v>15.668241995664971</v>
      </c>
      <c r="M41" s="4">
        <v>5</v>
      </c>
    </row>
    <row r="42" spans="1:13" x14ac:dyDescent="0.2">
      <c r="A42" s="10" t="s">
        <v>15</v>
      </c>
      <c r="B42" s="11" t="s">
        <v>51</v>
      </c>
      <c r="C42" s="11" t="s">
        <v>60</v>
      </c>
      <c r="D42" s="11">
        <v>0.40461736736549297</v>
      </c>
      <c r="E42" s="11">
        <v>0.41446490802157498</v>
      </c>
      <c r="F42" s="11">
        <v>9.8475406560825495E-3</v>
      </c>
      <c r="G42" s="11">
        <v>165.50301058901599</v>
      </c>
      <c r="H42" s="11">
        <v>168.60117933178799</v>
      </c>
      <c r="I42" s="11">
        <v>3.0981687427712701</v>
      </c>
      <c r="J42" s="11">
        <v>5792.6053706155799</v>
      </c>
      <c r="K42" s="11">
        <v>5901.0412766125801</v>
      </c>
      <c r="L42" s="11">
        <f>Sheet1!$K42-Sheet1!$J42</f>
        <v>108.43590599700019</v>
      </c>
      <c r="M42" s="11">
        <v>35</v>
      </c>
    </row>
    <row r="43" spans="1:13" x14ac:dyDescent="0.2">
      <c r="A43" s="9" t="s">
        <v>15</v>
      </c>
      <c r="B43" s="4" t="s">
        <v>52</v>
      </c>
      <c r="C43" s="4" t="s">
        <v>60</v>
      </c>
      <c r="D43" s="4">
        <v>0.338037781299382</v>
      </c>
      <c r="E43" s="4">
        <v>0.34439857171917698</v>
      </c>
      <c r="F43" s="4">
        <v>6.3607904197955896E-3</v>
      </c>
      <c r="G43" s="4">
        <v>172.594847395416</v>
      </c>
      <c r="H43" s="4">
        <v>174.350458117317</v>
      </c>
      <c r="I43" s="4">
        <v>1.75561072190156</v>
      </c>
      <c r="J43" s="4">
        <v>3451.8969479083198</v>
      </c>
      <c r="K43" s="4">
        <v>3487.00916234635</v>
      </c>
      <c r="L43" s="4">
        <f>Sheet1!$K43-Sheet1!$J43</f>
        <v>35.112214438030151</v>
      </c>
      <c r="M43" s="4">
        <v>20</v>
      </c>
    </row>
    <row r="44" spans="1:13" x14ac:dyDescent="0.2">
      <c r="A44" s="10" t="s">
        <v>16</v>
      </c>
      <c r="B44" s="11" t="s">
        <v>53</v>
      </c>
      <c r="C44" s="11" t="s">
        <v>60</v>
      </c>
      <c r="D44" s="11">
        <v>0.28081407108188</v>
      </c>
      <c r="E44" s="11">
        <v>0.28920236220408702</v>
      </c>
      <c r="F44" s="11">
        <v>8.3882911222072903E-3</v>
      </c>
      <c r="G44" s="11">
        <v>235.694303955442</v>
      </c>
      <c r="H44" s="11">
        <v>240.863203754133</v>
      </c>
      <c r="I44" s="11">
        <v>5.1688997986912302</v>
      </c>
      <c r="J44" s="11">
        <v>76129.260177607895</v>
      </c>
      <c r="K44" s="11">
        <v>77798.814812585202</v>
      </c>
      <c r="L44" s="11">
        <f>Sheet1!$K44-Sheet1!$J44</f>
        <v>1669.5546349773067</v>
      </c>
      <c r="M44" s="11">
        <v>323</v>
      </c>
    </row>
    <row r="45" spans="1:13" x14ac:dyDescent="0.2">
      <c r="A45" s="9" t="s">
        <v>16</v>
      </c>
      <c r="B45" s="4" t="s">
        <v>54</v>
      </c>
      <c r="C45" s="4" t="s">
        <v>60</v>
      </c>
      <c r="D45" s="4">
        <v>0.29555863236819302</v>
      </c>
      <c r="E45" s="4">
        <v>0.30043043581192302</v>
      </c>
      <c r="F45" s="4">
        <v>4.8718034437298099E-3</v>
      </c>
      <c r="G45" s="4">
        <v>994.25730361562898</v>
      </c>
      <c r="H45" s="4">
        <v>1004.33461830907</v>
      </c>
      <c r="I45" s="4">
        <v>10.0773146934485</v>
      </c>
      <c r="J45" s="4">
        <v>40764.549448240803</v>
      </c>
      <c r="K45" s="4">
        <v>41177.719350672101</v>
      </c>
      <c r="L45" s="4">
        <f>Sheet1!$K45-Sheet1!$J45</f>
        <v>413.1699024312984</v>
      </c>
      <c r="M45" s="4">
        <v>41</v>
      </c>
    </row>
    <row r="46" spans="1:13" x14ac:dyDescent="0.2">
      <c r="A46" s="10" t="s">
        <v>17</v>
      </c>
      <c r="B46" s="11" t="s">
        <v>53</v>
      </c>
      <c r="C46" s="11" t="s">
        <v>60</v>
      </c>
      <c r="D46" s="11">
        <v>0.3537404901683</v>
      </c>
      <c r="E46" s="11">
        <v>0.36159558257652202</v>
      </c>
      <c r="F46" s="11">
        <v>7.8550924082213501E-3</v>
      </c>
      <c r="G46" s="11">
        <v>192.28122662195699</v>
      </c>
      <c r="H46" s="11">
        <v>196.25959383604399</v>
      </c>
      <c r="I46" s="11">
        <v>3.9783672140867301</v>
      </c>
      <c r="J46" s="11">
        <v>7498.9678382563397</v>
      </c>
      <c r="K46" s="11">
        <v>7654.1241596057198</v>
      </c>
      <c r="L46" s="11">
        <f>Sheet1!$K46-Sheet1!$J46</f>
        <v>155.15632134938005</v>
      </c>
      <c r="M46" s="11">
        <v>39</v>
      </c>
    </row>
    <row r="47" spans="1:13" x14ac:dyDescent="0.2">
      <c r="A47" s="9" t="s">
        <v>17</v>
      </c>
      <c r="B47" s="4" t="s">
        <v>54</v>
      </c>
      <c r="C47" s="4" t="s">
        <v>60</v>
      </c>
      <c r="D47" s="4">
        <v>0.27392298390762898</v>
      </c>
      <c r="E47" s="4">
        <v>0.28193164042992203</v>
      </c>
      <c r="F47" s="4">
        <v>8.0086565222930606E-3</v>
      </c>
      <c r="G47" s="4">
        <v>336.59951319259198</v>
      </c>
      <c r="H47" s="4">
        <v>342.530492318928</v>
      </c>
      <c r="I47" s="4">
        <v>5.9309791263362301</v>
      </c>
      <c r="J47" s="4">
        <v>109394.841787592</v>
      </c>
      <c r="K47" s="4">
        <v>111322.41000365101</v>
      </c>
      <c r="L47" s="4">
        <f>Sheet1!$K47-Sheet1!$J47</f>
        <v>1927.5682160590077</v>
      </c>
      <c r="M47" s="4">
        <v>325</v>
      </c>
    </row>
    <row r="48" spans="1:13" x14ac:dyDescent="0.2">
      <c r="A48" s="10" t="s">
        <v>18</v>
      </c>
      <c r="B48" s="11" t="s">
        <v>55</v>
      </c>
      <c r="C48" s="11" t="s">
        <v>60</v>
      </c>
      <c r="D48" s="11">
        <v>0.243499925553814</v>
      </c>
      <c r="E48" s="11">
        <v>0.25568107479796598</v>
      </c>
      <c r="F48" s="11">
        <v>1.21811492441512E-2</v>
      </c>
      <c r="G48" s="11">
        <v>11.764179539585401</v>
      </c>
      <c r="H48" s="11">
        <v>12.255081913718</v>
      </c>
      <c r="I48" s="11">
        <v>0.49090237413258903</v>
      </c>
      <c r="J48" s="11">
        <v>858.78510638973898</v>
      </c>
      <c r="K48" s="11">
        <v>894.62097970141804</v>
      </c>
      <c r="L48" s="11">
        <f>Sheet1!$K48-Sheet1!$J48</f>
        <v>35.835873311679052</v>
      </c>
      <c r="M48" s="11">
        <v>73</v>
      </c>
    </row>
    <row r="49" spans="1:13" x14ac:dyDescent="0.2">
      <c r="A49" s="9" t="s">
        <v>18</v>
      </c>
      <c r="B49" s="4" t="s">
        <v>56</v>
      </c>
      <c r="C49" s="4" t="s">
        <v>60</v>
      </c>
      <c r="D49" s="4">
        <v>0.369530051132478</v>
      </c>
      <c r="E49" s="4">
        <v>0.38330524617880302</v>
      </c>
      <c r="F49" s="4">
        <v>1.37751950463248E-2</v>
      </c>
      <c r="G49" s="4">
        <v>55.760949234346299</v>
      </c>
      <c r="H49" s="4">
        <v>57.874519312163201</v>
      </c>
      <c r="I49" s="4">
        <v>2.1135700778168802</v>
      </c>
      <c r="J49" s="4">
        <v>4070.5492941072798</v>
      </c>
      <c r="K49" s="4">
        <v>4224.8399097879101</v>
      </c>
      <c r="L49" s="4">
        <f>Sheet1!$K49-Sheet1!$J49</f>
        <v>154.29061568063025</v>
      </c>
      <c r="M49" s="4">
        <v>73</v>
      </c>
    </row>
    <row r="50" spans="1:13" x14ac:dyDescent="0.2">
      <c r="A50" s="10" t="s">
        <v>18</v>
      </c>
      <c r="B50" s="11" t="s">
        <v>57</v>
      </c>
      <c r="C50" s="11" t="s">
        <v>60</v>
      </c>
      <c r="D50" s="11">
        <v>0.28949180171604999</v>
      </c>
      <c r="E50" s="11">
        <v>0.29471778796925002</v>
      </c>
      <c r="F50" s="11">
        <v>5.2259862532003003E-3</v>
      </c>
      <c r="G50" s="11">
        <v>104.16437733529</v>
      </c>
      <c r="H50" s="11">
        <v>105.903070669317</v>
      </c>
      <c r="I50" s="11">
        <v>1.7386933340272801</v>
      </c>
      <c r="J50" s="11">
        <v>7499.8351681408803</v>
      </c>
      <c r="K50" s="11">
        <v>7625.0210881908497</v>
      </c>
      <c r="L50" s="11">
        <f>Sheet1!$K50-Sheet1!$J50</f>
        <v>125.18592004996935</v>
      </c>
      <c r="M50" s="11">
        <v>72</v>
      </c>
    </row>
    <row r="51" spans="1:13" x14ac:dyDescent="0.2">
      <c r="A51" s="9" t="s">
        <v>18</v>
      </c>
      <c r="B51" s="4" t="s">
        <v>58</v>
      </c>
      <c r="C51" s="4" t="s">
        <v>60</v>
      </c>
      <c r="D51" s="4">
        <v>0.27247763942153802</v>
      </c>
      <c r="E51" s="4">
        <v>0.277471090112069</v>
      </c>
      <c r="F51" s="4">
        <v>4.9934506905313604E-3</v>
      </c>
      <c r="G51" s="4">
        <v>217.693865557066</v>
      </c>
      <c r="H51" s="4">
        <v>221.50262087267799</v>
      </c>
      <c r="I51" s="4">
        <v>3.80875531561201</v>
      </c>
      <c r="J51" s="4">
        <v>15891.6521856658</v>
      </c>
      <c r="K51" s="4">
        <v>16169.6913237055</v>
      </c>
      <c r="L51" s="4">
        <f>Sheet1!$K51-Sheet1!$J51</f>
        <v>278.03913803969954</v>
      </c>
      <c r="M51" s="4">
        <v>73</v>
      </c>
    </row>
    <row r="52" spans="1:13" x14ac:dyDescent="0.2">
      <c r="A52" s="10" t="s">
        <v>18</v>
      </c>
      <c r="B52" s="11" t="s">
        <v>59</v>
      </c>
      <c r="C52" s="11" t="s">
        <v>60</v>
      </c>
      <c r="D52" s="11">
        <v>0.23747100256323</v>
      </c>
      <c r="E52" s="11">
        <v>0.24121834406764001</v>
      </c>
      <c r="F52" s="11">
        <v>3.7473415044096698E-3</v>
      </c>
      <c r="G52" s="11">
        <v>1213.3286009800599</v>
      </c>
      <c r="H52" s="11">
        <v>1233.7309707105701</v>
      </c>
      <c r="I52" s="11">
        <v>20.402369730502802</v>
      </c>
      <c r="J52" s="11">
        <v>88572.987871545003</v>
      </c>
      <c r="K52" s="11">
        <v>90062.360861871697</v>
      </c>
      <c r="L52" s="11">
        <f>Sheet1!$K52-Sheet1!$J52</f>
        <v>1489.372990326694</v>
      </c>
      <c r="M52" s="11">
        <v>73</v>
      </c>
    </row>
    <row r="53" spans="1:13" x14ac:dyDescent="0.2">
      <c r="A53" s="9" t="s">
        <v>12</v>
      </c>
      <c r="B53" s="4" t="s">
        <v>19</v>
      </c>
      <c r="C53" s="4" t="s">
        <v>61</v>
      </c>
      <c r="D53" s="4">
        <v>0.48425350583789001</v>
      </c>
      <c r="E53" s="4">
        <v>0.52601106196343705</v>
      </c>
      <c r="F53" s="4">
        <v>4.1757556125546401E-2</v>
      </c>
      <c r="G53" s="4">
        <v>640.67461109086105</v>
      </c>
      <c r="H53" s="4">
        <v>713.93410525619504</v>
      </c>
      <c r="I53" s="4">
        <v>73.259494165334004</v>
      </c>
      <c r="J53" s="4">
        <v>53175.992720541399</v>
      </c>
      <c r="K53" s="4">
        <v>59256.530736264198</v>
      </c>
      <c r="L53" s="4">
        <f>Sheet1!$K53-Sheet1!$J53</f>
        <v>6080.5380157227992</v>
      </c>
      <c r="M53" s="4">
        <v>83</v>
      </c>
    </row>
    <row r="54" spans="1:13" x14ac:dyDescent="0.2">
      <c r="A54" s="10" t="s">
        <v>12</v>
      </c>
      <c r="B54" s="11" t="s">
        <v>20</v>
      </c>
      <c r="C54" s="11" t="s">
        <v>61</v>
      </c>
      <c r="D54" s="11">
        <v>2.3621421226126201E-2</v>
      </c>
      <c r="E54" s="11">
        <v>2.87277491698038E-2</v>
      </c>
      <c r="F54" s="11">
        <v>5.1063279436775501E-3</v>
      </c>
      <c r="G54" s="11">
        <v>27.3665004922305</v>
      </c>
      <c r="H54" s="11">
        <v>33.348542643066999</v>
      </c>
      <c r="I54" s="11">
        <v>5.9820421508364898</v>
      </c>
      <c r="J54" s="11">
        <v>2709.2835487308198</v>
      </c>
      <c r="K54" s="11">
        <v>3301.5057216636401</v>
      </c>
      <c r="L54" s="11">
        <f>Sheet1!$K54-Sheet1!$J54</f>
        <v>592.22217293282029</v>
      </c>
      <c r="M54" s="11">
        <v>99</v>
      </c>
    </row>
    <row r="55" spans="1:13" x14ac:dyDescent="0.2">
      <c r="A55" s="9" t="s">
        <v>12</v>
      </c>
      <c r="B55" s="4" t="s">
        <v>21</v>
      </c>
      <c r="C55" s="4" t="s">
        <v>61</v>
      </c>
      <c r="D55" s="4">
        <v>0.41230620331815199</v>
      </c>
      <c r="E55" s="4">
        <v>0.422571924270845</v>
      </c>
      <c r="F55" s="4">
        <v>1.0265720952693499E-2</v>
      </c>
      <c r="G55" s="4">
        <v>47.580877663150197</v>
      </c>
      <c r="H55" s="4">
        <v>49.828854597073601</v>
      </c>
      <c r="I55" s="4">
        <v>2.24797693392334</v>
      </c>
      <c r="J55" s="4">
        <v>333.06614364205097</v>
      </c>
      <c r="K55" s="4">
        <v>348.80198217951499</v>
      </c>
      <c r="L55" s="4">
        <f>Sheet1!$K55-Sheet1!$J55</f>
        <v>15.735838537464019</v>
      </c>
      <c r="M55" s="4">
        <v>7</v>
      </c>
    </row>
    <row r="56" spans="1:13" x14ac:dyDescent="0.2">
      <c r="A56" s="10" t="s">
        <v>12</v>
      </c>
      <c r="B56" s="11" t="s">
        <v>22</v>
      </c>
      <c r="C56" s="11" t="s">
        <v>61</v>
      </c>
      <c r="D56" s="11">
        <v>0.42735901953774202</v>
      </c>
      <c r="E56" s="11">
        <v>0.46376321153372002</v>
      </c>
      <c r="F56" s="11">
        <v>3.6404191995977303E-2</v>
      </c>
      <c r="G56" s="11">
        <v>478.59196468144398</v>
      </c>
      <c r="H56" s="11">
        <v>528.37108011140401</v>
      </c>
      <c r="I56" s="11">
        <v>49.779115429959703</v>
      </c>
      <c r="J56" s="11">
        <v>1435.77589404433</v>
      </c>
      <c r="K56" s="11">
        <v>1585.1132403342101</v>
      </c>
      <c r="L56" s="11">
        <f>Sheet1!$K56-Sheet1!$J56</f>
        <v>149.33734628988009</v>
      </c>
      <c r="M56" s="11">
        <v>3</v>
      </c>
    </row>
    <row r="57" spans="1:13" x14ac:dyDescent="0.2">
      <c r="A57" s="9" t="s">
        <v>12</v>
      </c>
      <c r="B57" s="4" t="s">
        <v>23</v>
      </c>
      <c r="C57" s="4" t="s">
        <v>61</v>
      </c>
      <c r="D57" s="4">
        <v>0.34891974214240901</v>
      </c>
      <c r="E57" s="4">
        <v>0.38447670018254498</v>
      </c>
      <c r="F57" s="4">
        <v>3.5556958040136102E-2</v>
      </c>
      <c r="G57" s="4">
        <v>180.86621095973501</v>
      </c>
      <c r="H57" s="4">
        <v>184.64671151708299</v>
      </c>
      <c r="I57" s="4">
        <v>3.7805005573472901</v>
      </c>
      <c r="J57" s="4">
        <v>723.46484383894199</v>
      </c>
      <c r="K57" s="4">
        <v>738.58684606833197</v>
      </c>
      <c r="L57" s="4">
        <f>Sheet1!$K57-Sheet1!$J57</f>
        <v>15.122002229389977</v>
      </c>
      <c r="M57" s="4">
        <v>4</v>
      </c>
    </row>
    <row r="58" spans="1:13" x14ac:dyDescent="0.2">
      <c r="A58" s="10" t="s">
        <v>12</v>
      </c>
      <c r="B58" s="11" t="s">
        <v>24</v>
      </c>
      <c r="C58" s="11" t="s">
        <v>61</v>
      </c>
      <c r="D58" s="11">
        <v>0.25411281262144297</v>
      </c>
      <c r="E58" s="11">
        <v>0.26456441412315601</v>
      </c>
      <c r="F58" s="11">
        <v>1.04516015017132E-2</v>
      </c>
      <c r="G58" s="11">
        <v>386.83572283402401</v>
      </c>
      <c r="H58" s="11">
        <v>398.656620093345</v>
      </c>
      <c r="I58" s="11">
        <v>11.8208972593207</v>
      </c>
      <c r="J58" s="11">
        <v>3868.35722834024</v>
      </c>
      <c r="K58" s="11">
        <v>3986.5662009334501</v>
      </c>
      <c r="L58" s="11">
        <f>Sheet1!$K58-Sheet1!$J58</f>
        <v>118.20897259321009</v>
      </c>
      <c r="M58" s="11">
        <v>10</v>
      </c>
    </row>
    <row r="59" spans="1:13" x14ac:dyDescent="0.2">
      <c r="A59" s="9" t="s">
        <v>12</v>
      </c>
      <c r="B59" s="4" t="s">
        <v>25</v>
      </c>
      <c r="C59" s="4" t="s">
        <v>61</v>
      </c>
      <c r="D59" s="4">
        <v>0.230221007311981</v>
      </c>
      <c r="E59" s="4">
        <v>0.26539968545680498</v>
      </c>
      <c r="F59" s="4">
        <v>3.5178678144823602E-2</v>
      </c>
      <c r="G59" s="4">
        <v>65.226038240396704</v>
      </c>
      <c r="H59" s="4">
        <v>107.96048703572001</v>
      </c>
      <c r="I59" s="4">
        <v>42.734448795323402</v>
      </c>
      <c r="J59" s="4">
        <v>913.164535365554</v>
      </c>
      <c r="K59" s="4">
        <v>1511.4468185000801</v>
      </c>
      <c r="L59" s="4">
        <f>Sheet1!$K59-Sheet1!$J59</f>
        <v>598.2822831345261</v>
      </c>
      <c r="M59" s="4">
        <v>14</v>
      </c>
    </row>
    <row r="60" spans="1:13" x14ac:dyDescent="0.2">
      <c r="A60" s="10" t="s">
        <v>12</v>
      </c>
      <c r="B60" s="11" t="s">
        <v>26</v>
      </c>
      <c r="C60" s="11" t="s">
        <v>61</v>
      </c>
      <c r="D60" s="11">
        <v>0.26084147965314802</v>
      </c>
      <c r="E60" s="11">
        <v>0.296069108381737</v>
      </c>
      <c r="F60" s="11">
        <v>3.5227628728589401E-2</v>
      </c>
      <c r="G60" s="11">
        <v>48.772232266624201</v>
      </c>
      <c r="H60" s="11">
        <v>54.944509092683496</v>
      </c>
      <c r="I60" s="11">
        <v>6.1722768260592504</v>
      </c>
      <c r="J60" s="11">
        <v>438.95009039961798</v>
      </c>
      <c r="K60" s="11">
        <v>494.50058183415098</v>
      </c>
      <c r="L60" s="11">
        <f>Sheet1!$K60-Sheet1!$J60</f>
        <v>55.550491434533001</v>
      </c>
      <c r="M60" s="11">
        <v>9</v>
      </c>
    </row>
    <row r="61" spans="1:13" x14ac:dyDescent="0.2">
      <c r="A61" s="9" t="s">
        <v>12</v>
      </c>
      <c r="B61" s="4" t="s">
        <v>27</v>
      </c>
      <c r="C61" s="4" t="s">
        <v>61</v>
      </c>
      <c r="D61" s="4">
        <v>0.449464383394791</v>
      </c>
      <c r="E61" s="4">
        <v>0.46695622527117198</v>
      </c>
      <c r="F61" s="4">
        <v>1.74918418763815E-2</v>
      </c>
      <c r="G61" s="4">
        <v>830.20079708608296</v>
      </c>
      <c r="H61" s="4">
        <v>845.90522342305201</v>
      </c>
      <c r="I61" s="4">
        <v>15.704426336968501</v>
      </c>
      <c r="J61" s="4">
        <v>35698.634274701501</v>
      </c>
      <c r="K61" s="4">
        <v>36373.924607191198</v>
      </c>
      <c r="L61" s="4">
        <f>Sheet1!$K61-Sheet1!$J61</f>
        <v>675.2903324896979</v>
      </c>
      <c r="M61" s="4">
        <v>43</v>
      </c>
    </row>
    <row r="62" spans="1:13" x14ac:dyDescent="0.2">
      <c r="A62" s="10" t="s">
        <v>12</v>
      </c>
      <c r="B62" s="11" t="s">
        <v>28</v>
      </c>
      <c r="C62" s="11" t="s">
        <v>61</v>
      </c>
      <c r="D62" s="11">
        <v>0.43792392496958699</v>
      </c>
      <c r="E62" s="11">
        <v>0.55205893021322805</v>
      </c>
      <c r="F62" s="11">
        <v>0.11413500524364099</v>
      </c>
      <c r="G62" s="11">
        <v>25.6200114031091</v>
      </c>
      <c r="H62" s="11">
        <v>30.1427348010643</v>
      </c>
      <c r="I62" s="11">
        <v>4.52272339795518</v>
      </c>
      <c r="J62" s="11">
        <v>76.860034209327495</v>
      </c>
      <c r="K62" s="11">
        <v>90.428204403193007</v>
      </c>
      <c r="L62" s="11">
        <f>Sheet1!$K62-Sheet1!$J62</f>
        <v>13.568170193865512</v>
      </c>
      <c r="M62" s="11">
        <v>3</v>
      </c>
    </row>
    <row r="63" spans="1:13" x14ac:dyDescent="0.2">
      <c r="A63" s="9" t="s">
        <v>12</v>
      </c>
      <c r="B63" s="4" t="s">
        <v>29</v>
      </c>
      <c r="C63" s="4" t="s">
        <v>61</v>
      </c>
      <c r="D63" s="4">
        <v>0.28864450315385598</v>
      </c>
      <c r="E63" s="4">
        <v>0.29633439500643</v>
      </c>
      <c r="F63" s="4">
        <v>7.6898918525735499E-3</v>
      </c>
      <c r="G63" s="4">
        <v>197.31763100329999</v>
      </c>
      <c r="H63" s="4">
        <v>199.24722882847701</v>
      </c>
      <c r="I63" s="4">
        <v>1.92959782517711</v>
      </c>
      <c r="J63" s="4">
        <v>13614.916539227699</v>
      </c>
      <c r="K63" s="4">
        <v>13748.058789164899</v>
      </c>
      <c r="L63" s="4">
        <f>Sheet1!$K63-Sheet1!$J63</f>
        <v>133.14224993720018</v>
      </c>
      <c r="M63" s="4">
        <v>69</v>
      </c>
    </row>
    <row r="64" spans="1:13" x14ac:dyDescent="0.2">
      <c r="A64" s="10" t="s">
        <v>12</v>
      </c>
      <c r="B64" s="11" t="s">
        <v>30</v>
      </c>
      <c r="C64" s="11" t="s">
        <v>61</v>
      </c>
      <c r="D64" s="11">
        <v>0.301041997083346</v>
      </c>
      <c r="E64" s="11">
        <v>0.31350668375969298</v>
      </c>
      <c r="F64" s="11">
        <v>1.24646866763462E-2</v>
      </c>
      <c r="G64" s="11">
        <v>155.09802934691001</v>
      </c>
      <c r="H64" s="11">
        <v>162.40035958484901</v>
      </c>
      <c r="I64" s="11">
        <v>7.3023302379383797</v>
      </c>
      <c r="J64" s="11">
        <v>2481.5684695505702</v>
      </c>
      <c r="K64" s="11">
        <v>2598.4057533575901</v>
      </c>
      <c r="L64" s="11">
        <f>Sheet1!$K64-Sheet1!$J64</f>
        <v>116.83728380701996</v>
      </c>
      <c r="M64" s="11">
        <v>16</v>
      </c>
    </row>
    <row r="65" spans="1:13" x14ac:dyDescent="0.2">
      <c r="A65" s="9" t="s">
        <v>12</v>
      </c>
      <c r="B65" s="4" t="s">
        <v>31</v>
      </c>
      <c r="C65" s="4" t="s">
        <v>61</v>
      </c>
      <c r="D65" s="4">
        <v>0.30992731822672298</v>
      </c>
      <c r="E65" s="4">
        <v>0.33272098643374398</v>
      </c>
      <c r="F65" s="4">
        <v>2.2793668207021198E-2</v>
      </c>
      <c r="G65" s="4">
        <v>355.94382581412401</v>
      </c>
      <c r="H65" s="4">
        <v>378.95492781048603</v>
      </c>
      <c r="I65" s="4">
        <v>23.011101996361401</v>
      </c>
      <c r="J65" s="4">
        <v>1423.7753032564899</v>
      </c>
      <c r="K65" s="4">
        <v>1515.81971124194</v>
      </c>
      <c r="L65" s="4">
        <f>Sheet1!$K65-Sheet1!$J65</f>
        <v>92.044407985450107</v>
      </c>
      <c r="M65" s="4">
        <v>4</v>
      </c>
    </row>
    <row r="66" spans="1:13" x14ac:dyDescent="0.2">
      <c r="A66" s="10" t="s">
        <v>13</v>
      </c>
      <c r="B66" s="11">
        <v>1</v>
      </c>
      <c r="C66" s="11" t="s">
        <v>61</v>
      </c>
      <c r="D66" s="11">
        <v>0.39909339056927801</v>
      </c>
      <c r="E66" s="11">
        <v>0.39909339056927801</v>
      </c>
      <c r="F66" s="11">
        <v>0</v>
      </c>
      <c r="G66" s="11">
        <v>389.344105544169</v>
      </c>
      <c r="H66" s="11">
        <v>389.344105544169</v>
      </c>
      <c r="I66" s="11">
        <v>0</v>
      </c>
      <c r="J66" s="11">
        <v>42438.507504314497</v>
      </c>
      <c r="K66" s="11">
        <v>42438.507504314497</v>
      </c>
      <c r="L66" s="11">
        <f>Sheet1!$K66-Sheet1!$J66</f>
        <v>0</v>
      </c>
      <c r="M66" s="11">
        <v>109</v>
      </c>
    </row>
    <row r="67" spans="1:13" x14ac:dyDescent="0.2">
      <c r="A67" s="9" t="s">
        <v>13</v>
      </c>
      <c r="B67" s="4">
        <v>2</v>
      </c>
      <c r="C67" s="4" t="s">
        <v>61</v>
      </c>
      <c r="D67" s="4">
        <v>0.23262615417447699</v>
      </c>
      <c r="E67" s="4">
        <v>0.26056551362999197</v>
      </c>
      <c r="F67" s="4">
        <v>2.7939359455514699E-2</v>
      </c>
      <c r="G67" s="4">
        <v>291.98157694719299</v>
      </c>
      <c r="H67" s="4">
        <v>325.92620270126201</v>
      </c>
      <c r="I67" s="4">
        <v>33.944625754069499</v>
      </c>
      <c r="J67" s="4">
        <v>74455.302121534201</v>
      </c>
      <c r="K67" s="4">
        <v>83111.181688822006</v>
      </c>
      <c r="L67" s="4">
        <f>Sheet1!$K67-Sheet1!$J67</f>
        <v>8655.8795672878041</v>
      </c>
      <c r="M67" s="4">
        <v>255</v>
      </c>
    </row>
    <row r="68" spans="1:13" x14ac:dyDescent="0.2">
      <c r="A68" s="10" t="s">
        <v>14</v>
      </c>
      <c r="B68" s="11" t="s">
        <v>32</v>
      </c>
      <c r="C68" s="11" t="s">
        <v>61</v>
      </c>
      <c r="D68" s="11">
        <v>0.36102467636121399</v>
      </c>
      <c r="E68" s="11">
        <v>0.38554497014436501</v>
      </c>
      <c r="F68" s="11">
        <v>2.4520293783151001E-2</v>
      </c>
      <c r="G68" s="11">
        <v>452.14883474200502</v>
      </c>
      <c r="H68" s="11">
        <v>486.19983606760002</v>
      </c>
      <c r="I68" s="11">
        <v>34.051001325595003</v>
      </c>
      <c r="J68" s="11">
        <v>106254.97616437099</v>
      </c>
      <c r="K68" s="11">
        <v>114256.961475886</v>
      </c>
      <c r="L68" s="11">
        <f>Sheet1!$K68-Sheet1!$J68</f>
        <v>8001.9853115150036</v>
      </c>
      <c r="M68" s="11">
        <v>235</v>
      </c>
    </row>
    <row r="69" spans="1:13" x14ac:dyDescent="0.2">
      <c r="A69" s="9" t="s">
        <v>14</v>
      </c>
      <c r="B69" s="4" t="s">
        <v>33</v>
      </c>
      <c r="C69" s="4" t="s">
        <v>61</v>
      </c>
      <c r="D69" s="4">
        <v>0.29422879381894801</v>
      </c>
      <c r="E69" s="4">
        <v>0.30970514002640498</v>
      </c>
      <c r="F69" s="4">
        <v>1.54763462074568E-2</v>
      </c>
      <c r="G69" s="4">
        <v>84.622349375915505</v>
      </c>
      <c r="H69" s="4">
        <v>85.843320429804805</v>
      </c>
      <c r="I69" s="4">
        <v>1.2209710538893499</v>
      </c>
      <c r="J69" s="4">
        <v>1438.57993939056</v>
      </c>
      <c r="K69" s="4">
        <v>1459.3364473066799</v>
      </c>
      <c r="L69" s="4">
        <f>Sheet1!$K69-Sheet1!$J69</f>
        <v>20.756507916119972</v>
      </c>
      <c r="M69" s="4">
        <v>17</v>
      </c>
    </row>
    <row r="70" spans="1:13" x14ac:dyDescent="0.2">
      <c r="A70" s="10" t="s">
        <v>14</v>
      </c>
      <c r="B70" s="11" t="s">
        <v>34</v>
      </c>
      <c r="C70" s="11" t="s">
        <v>61</v>
      </c>
      <c r="D70" s="11">
        <v>0.11587643256013901</v>
      </c>
      <c r="E70" s="11">
        <v>0.125690448065398</v>
      </c>
      <c r="F70" s="11">
        <v>9.8140155052588406E-3</v>
      </c>
      <c r="G70" s="11">
        <v>82.145120732919295</v>
      </c>
      <c r="H70" s="11">
        <v>87.798136338783493</v>
      </c>
      <c r="I70" s="11">
        <v>5.6530156058641596</v>
      </c>
      <c r="J70" s="11">
        <v>9200.2535220869595</v>
      </c>
      <c r="K70" s="11">
        <v>9833.3912699437496</v>
      </c>
      <c r="L70" s="11">
        <f>Sheet1!$K70-Sheet1!$J70</f>
        <v>633.13774785679016</v>
      </c>
      <c r="M70" s="11">
        <v>112</v>
      </c>
    </row>
    <row r="71" spans="1:13" x14ac:dyDescent="0.2">
      <c r="A71" s="9" t="s">
        <v>15</v>
      </c>
      <c r="B71" s="4" t="s">
        <v>35</v>
      </c>
      <c r="C71" s="4" t="s">
        <v>61</v>
      </c>
      <c r="D71" s="4">
        <v>0.12932859863360699</v>
      </c>
      <c r="E71" s="4">
        <v>0.13704767315116101</v>
      </c>
      <c r="F71" s="4">
        <v>7.7190745175545403E-3</v>
      </c>
      <c r="G71" s="4">
        <v>233.91450079363</v>
      </c>
      <c r="H71" s="4">
        <v>242.46034081610901</v>
      </c>
      <c r="I71" s="4">
        <v>8.5458400224796005</v>
      </c>
      <c r="J71" s="4">
        <v>1169.5725039681499</v>
      </c>
      <c r="K71" s="4">
        <v>1212.30170408054</v>
      </c>
      <c r="L71" s="4">
        <f>Sheet1!$K71-Sheet1!$J71</f>
        <v>42.729200112390117</v>
      </c>
      <c r="M71" s="4">
        <v>5</v>
      </c>
    </row>
    <row r="72" spans="1:13" x14ac:dyDescent="0.2">
      <c r="A72" s="10" t="s">
        <v>15</v>
      </c>
      <c r="B72" s="11" t="s">
        <v>36</v>
      </c>
      <c r="C72" s="11" t="s">
        <v>61</v>
      </c>
      <c r="D72" s="11">
        <v>0.498635407554542</v>
      </c>
      <c r="E72" s="11">
        <v>0.511706112642626</v>
      </c>
      <c r="F72" s="11">
        <v>1.3070705088084099E-2</v>
      </c>
      <c r="G72" s="11">
        <v>2290.6823445763198</v>
      </c>
      <c r="H72" s="11">
        <v>2293.9747111986699</v>
      </c>
      <c r="I72" s="11">
        <v>3.2923666223412198</v>
      </c>
      <c r="J72" s="11">
        <v>9162.7293783053101</v>
      </c>
      <c r="K72" s="11">
        <v>9175.8988447946795</v>
      </c>
      <c r="L72" s="11">
        <f>Sheet1!$K72-Sheet1!$J72</f>
        <v>13.16946648936937</v>
      </c>
      <c r="M72" s="11">
        <v>4</v>
      </c>
    </row>
    <row r="73" spans="1:13" x14ac:dyDescent="0.2">
      <c r="A73" s="9" t="s">
        <v>15</v>
      </c>
      <c r="B73" s="4" t="s">
        <v>37</v>
      </c>
      <c r="C73" s="4" t="s">
        <v>61</v>
      </c>
      <c r="D73" s="4">
        <v>0.39583019888073401</v>
      </c>
      <c r="E73" s="4">
        <v>0.419809770866238</v>
      </c>
      <c r="F73" s="4">
        <v>2.39795719855041E-2</v>
      </c>
      <c r="G73" s="4">
        <v>307.64529042445298</v>
      </c>
      <c r="H73" s="4">
        <v>324.81098454172002</v>
      </c>
      <c r="I73" s="4">
        <v>17.165694117267499</v>
      </c>
      <c r="J73" s="4">
        <v>30456.8837520208</v>
      </c>
      <c r="K73" s="4">
        <v>32156.287469630301</v>
      </c>
      <c r="L73" s="4">
        <f>Sheet1!$K73-Sheet1!$J73</f>
        <v>1699.4037176095007</v>
      </c>
      <c r="M73" s="4">
        <v>99</v>
      </c>
    </row>
    <row r="74" spans="1:13" x14ac:dyDescent="0.2">
      <c r="A74" s="10" t="s">
        <v>15</v>
      </c>
      <c r="B74" s="11" t="s">
        <v>38</v>
      </c>
      <c r="C74" s="11" t="s">
        <v>61</v>
      </c>
      <c r="D74" s="11">
        <v>1.0510052964490001E-2</v>
      </c>
      <c r="E74" s="11">
        <v>1.6000294328239399E-2</v>
      </c>
      <c r="F74" s="11">
        <v>5.4902413637493101E-3</v>
      </c>
      <c r="G74" s="11">
        <v>9.2595631174478594</v>
      </c>
      <c r="H74" s="11">
        <v>13.542612172071999</v>
      </c>
      <c r="I74" s="11">
        <v>4.2830490546242102</v>
      </c>
      <c r="J74" s="11">
        <v>111.11475740937399</v>
      </c>
      <c r="K74" s="11">
        <v>162.511346064864</v>
      </c>
      <c r="L74" s="11">
        <f>Sheet1!$K74-Sheet1!$J74</f>
        <v>51.396588655490007</v>
      </c>
      <c r="M74" s="11">
        <v>12</v>
      </c>
    </row>
    <row r="75" spans="1:13" x14ac:dyDescent="0.2">
      <c r="A75" s="9" t="s">
        <v>15</v>
      </c>
      <c r="B75" s="4" t="s">
        <v>39</v>
      </c>
      <c r="C75" s="4" t="s">
        <v>61</v>
      </c>
      <c r="D75" s="4">
        <v>7.2083335691881301E-2</v>
      </c>
      <c r="E75" s="4">
        <v>8.2798140455736996E-2</v>
      </c>
      <c r="F75" s="4">
        <v>1.07148047638556E-2</v>
      </c>
      <c r="G75" s="4">
        <v>56.110162337706797</v>
      </c>
      <c r="H75" s="4">
        <v>62.198283707703297</v>
      </c>
      <c r="I75" s="4">
        <v>6.0881213699965402</v>
      </c>
      <c r="J75" s="4">
        <v>1627.1947077934899</v>
      </c>
      <c r="K75" s="4">
        <v>1803.7502275233901</v>
      </c>
      <c r="L75" s="4">
        <f>Sheet1!$K75-Sheet1!$J75</f>
        <v>176.5555197299002</v>
      </c>
      <c r="M75" s="4">
        <v>29</v>
      </c>
    </row>
    <row r="76" spans="1:13" x14ac:dyDescent="0.2">
      <c r="A76" s="10" t="s">
        <v>15</v>
      </c>
      <c r="B76" s="11" t="s">
        <v>40</v>
      </c>
      <c r="C76" s="11" t="s">
        <v>61</v>
      </c>
      <c r="D76" s="11">
        <v>0.44371436686585197</v>
      </c>
      <c r="E76" s="11">
        <v>0.47750533640149001</v>
      </c>
      <c r="F76" s="11">
        <v>3.37909695356374E-2</v>
      </c>
      <c r="G76" s="11">
        <v>155.01439537838999</v>
      </c>
      <c r="H76" s="11">
        <v>166.03547288557999</v>
      </c>
      <c r="I76" s="11">
        <v>11.021077507190199</v>
      </c>
      <c r="J76" s="11">
        <v>1395.1295584055099</v>
      </c>
      <c r="K76" s="11">
        <v>1494.31925597022</v>
      </c>
      <c r="L76" s="11">
        <f>Sheet1!$K76-Sheet1!$J76</f>
        <v>99.189697564710059</v>
      </c>
      <c r="M76" s="11">
        <v>9</v>
      </c>
    </row>
    <row r="77" spans="1:13" x14ac:dyDescent="0.2">
      <c r="A77" s="9" t="s">
        <v>15</v>
      </c>
      <c r="B77" s="4" t="s">
        <v>41</v>
      </c>
      <c r="C77" s="4" t="s">
        <v>61</v>
      </c>
      <c r="D77" s="4">
        <v>0.40665411748730501</v>
      </c>
      <c r="E77" s="4">
        <v>0.43275669979700798</v>
      </c>
      <c r="F77" s="4">
        <v>2.6102582309702801E-2</v>
      </c>
      <c r="G77" s="4">
        <v>162.66164699492199</v>
      </c>
      <c r="H77" s="4">
        <v>173.10267991880301</v>
      </c>
      <c r="I77" s="4">
        <v>10.441032923881099</v>
      </c>
      <c r="J77" s="4">
        <v>162.66164699492199</v>
      </c>
      <c r="K77" s="4">
        <v>173.10267991880301</v>
      </c>
      <c r="L77" s="4">
        <f>Sheet1!$K77-Sheet1!$J77</f>
        <v>10.441032923881011</v>
      </c>
      <c r="M77" s="4">
        <v>1</v>
      </c>
    </row>
    <row r="78" spans="1:13" x14ac:dyDescent="0.2">
      <c r="A78" s="10" t="s">
        <v>15</v>
      </c>
      <c r="B78" s="11" t="s">
        <v>42</v>
      </c>
      <c r="C78" s="11" t="s">
        <v>61</v>
      </c>
      <c r="D78" s="11">
        <v>0.25250979142136798</v>
      </c>
      <c r="E78" s="11">
        <v>0.25510480803191199</v>
      </c>
      <c r="F78" s="11">
        <v>2.5950166105439499E-3</v>
      </c>
      <c r="G78" s="11">
        <v>229.647751718092</v>
      </c>
      <c r="H78" s="11">
        <v>231.90399616430699</v>
      </c>
      <c r="I78" s="11">
        <v>2.2562444462142701</v>
      </c>
      <c r="J78" s="11">
        <v>4363.3072826437601</v>
      </c>
      <c r="K78" s="11">
        <v>4406.1759271218298</v>
      </c>
      <c r="L78" s="11">
        <f>Sheet1!$K78-Sheet1!$J78</f>
        <v>42.868644478069655</v>
      </c>
      <c r="M78" s="11">
        <v>19</v>
      </c>
    </row>
    <row r="79" spans="1:13" x14ac:dyDescent="0.2">
      <c r="A79" s="9" t="s">
        <v>15</v>
      </c>
      <c r="B79" s="4" t="s">
        <v>43</v>
      </c>
      <c r="C79" s="4" t="s">
        <v>61</v>
      </c>
      <c r="D79" s="4">
        <v>0.35652365309641798</v>
      </c>
      <c r="E79" s="4">
        <v>0.45181041362199897</v>
      </c>
      <c r="F79" s="4">
        <v>9.5286760525581493E-2</v>
      </c>
      <c r="G79" s="4">
        <v>7.1304730619283596</v>
      </c>
      <c r="H79" s="4">
        <v>9.0362082724399908</v>
      </c>
      <c r="I79" s="4">
        <v>1.9057352105116201</v>
      </c>
      <c r="J79" s="4">
        <v>7.1304730619283596</v>
      </c>
      <c r="K79" s="4">
        <v>9.0362082724399908</v>
      </c>
      <c r="L79" s="4">
        <f>Sheet1!$K79-Sheet1!$J79</f>
        <v>1.9057352105116312</v>
      </c>
      <c r="M79" s="4">
        <v>1</v>
      </c>
    </row>
    <row r="80" spans="1:13" x14ac:dyDescent="0.2">
      <c r="A80" s="10" t="s">
        <v>15</v>
      </c>
      <c r="B80" s="11" t="s">
        <v>44</v>
      </c>
      <c r="C80" s="11" t="s">
        <v>61</v>
      </c>
      <c r="D80" s="11">
        <v>0.57293544757683601</v>
      </c>
      <c r="E80" s="11">
        <v>0.57293544757683601</v>
      </c>
      <c r="F80" s="11">
        <v>0</v>
      </c>
      <c r="G80" s="11">
        <v>418.13499625940102</v>
      </c>
      <c r="H80" s="11">
        <v>418.13499625940102</v>
      </c>
      <c r="I80" s="11">
        <v>0</v>
      </c>
      <c r="J80" s="11">
        <v>1254.4049887782</v>
      </c>
      <c r="K80" s="11">
        <v>1254.4049887782</v>
      </c>
      <c r="L80" s="11">
        <f>Sheet1!$K80-Sheet1!$J80</f>
        <v>0</v>
      </c>
      <c r="M80" s="11">
        <v>3</v>
      </c>
    </row>
    <row r="81" spans="1:13" x14ac:dyDescent="0.2">
      <c r="A81" s="9" t="s">
        <v>15</v>
      </c>
      <c r="B81" s="4" t="s">
        <v>45</v>
      </c>
      <c r="C81" s="4" t="s">
        <v>61</v>
      </c>
      <c r="D81" s="4">
        <v>0.50070548748003996</v>
      </c>
      <c r="E81" s="4">
        <v>0.507386860643398</v>
      </c>
      <c r="F81" s="4">
        <v>6.6813731633580996E-3</v>
      </c>
      <c r="G81" s="4">
        <v>11758.472683243001</v>
      </c>
      <c r="H81" s="4">
        <v>11898.1133823572</v>
      </c>
      <c r="I81" s="4">
        <v>139.640699114184</v>
      </c>
      <c r="J81" s="4">
        <v>23516.945366486099</v>
      </c>
      <c r="K81" s="4">
        <v>23796.226764714502</v>
      </c>
      <c r="L81" s="4">
        <f>Sheet1!$K81-Sheet1!$J81</f>
        <v>279.2813982284024</v>
      </c>
      <c r="M81" s="4">
        <v>2</v>
      </c>
    </row>
    <row r="82" spans="1:13" x14ac:dyDescent="0.2">
      <c r="A82" s="10" t="s">
        <v>15</v>
      </c>
      <c r="B82" s="11" t="s">
        <v>46</v>
      </c>
      <c r="C82" s="11" t="s">
        <v>61</v>
      </c>
      <c r="D82" s="11">
        <v>7.0580081423213106E-2</v>
      </c>
      <c r="E82" s="11">
        <v>9.9806862074664202E-2</v>
      </c>
      <c r="F82" s="11">
        <v>2.9226780651451002E-2</v>
      </c>
      <c r="G82" s="11">
        <v>288.95968498711602</v>
      </c>
      <c r="H82" s="11">
        <v>377.57087677220699</v>
      </c>
      <c r="I82" s="11">
        <v>88.611191785091293</v>
      </c>
      <c r="J82" s="11">
        <v>5490.2340147552104</v>
      </c>
      <c r="K82" s="11">
        <v>7173.8466586719496</v>
      </c>
      <c r="L82" s="11">
        <f>Sheet1!$K82-Sheet1!$J82</f>
        <v>1683.6126439167392</v>
      </c>
      <c r="M82" s="11">
        <v>19</v>
      </c>
    </row>
    <row r="83" spans="1:13" x14ac:dyDescent="0.2">
      <c r="A83" s="9" t="s">
        <v>15</v>
      </c>
      <c r="B83" s="4" t="s">
        <v>47</v>
      </c>
      <c r="C83" s="4" t="s">
        <v>61</v>
      </c>
      <c r="D83" s="4">
        <v>0.41180790319705501</v>
      </c>
      <c r="E83" s="4">
        <v>0.48353733376595198</v>
      </c>
      <c r="F83" s="4">
        <v>7.1729430568896899E-2</v>
      </c>
      <c r="G83" s="4">
        <v>1013.33856894094</v>
      </c>
      <c r="H83" s="4">
        <v>1188.01237367316</v>
      </c>
      <c r="I83" s="4">
        <v>174.67380473222099</v>
      </c>
      <c r="J83" s="4">
        <v>15200.0785341142</v>
      </c>
      <c r="K83" s="4">
        <v>17820.1856050975</v>
      </c>
      <c r="L83" s="4">
        <f>Sheet1!$K83-Sheet1!$J83</f>
        <v>2620.1070709833002</v>
      </c>
      <c r="M83" s="4">
        <v>15</v>
      </c>
    </row>
    <row r="84" spans="1:13" x14ac:dyDescent="0.2">
      <c r="A84" s="10" t="s">
        <v>15</v>
      </c>
      <c r="B84" s="11" t="s">
        <v>48</v>
      </c>
      <c r="C84" s="11" t="s">
        <v>61</v>
      </c>
      <c r="D84" s="11">
        <v>0.20938262817054601</v>
      </c>
      <c r="E84" s="11">
        <v>0.22651704052740099</v>
      </c>
      <c r="F84" s="11">
        <v>1.7134412356854398E-2</v>
      </c>
      <c r="G84" s="11">
        <v>169.26833161676601</v>
      </c>
      <c r="H84" s="11">
        <v>191.096654472963</v>
      </c>
      <c r="I84" s="11">
        <v>21.828322856196401</v>
      </c>
      <c r="J84" s="11">
        <v>9986.8315653892205</v>
      </c>
      <c r="K84" s="11">
        <v>11274.702613904799</v>
      </c>
      <c r="L84" s="11">
        <f>Sheet1!$K84-Sheet1!$J84</f>
        <v>1287.8710485155789</v>
      </c>
      <c r="M84" s="11">
        <v>59</v>
      </c>
    </row>
    <row r="85" spans="1:13" x14ac:dyDescent="0.2">
      <c r="A85" s="9" t="s">
        <v>15</v>
      </c>
      <c r="B85" s="4" t="s">
        <v>49</v>
      </c>
      <c r="C85" s="4" t="s">
        <v>61</v>
      </c>
      <c r="D85" s="4">
        <v>0.16368052276460601</v>
      </c>
      <c r="E85" s="4">
        <v>0.17415744940736599</v>
      </c>
      <c r="F85" s="4">
        <v>1.0476926642760001E-2</v>
      </c>
      <c r="G85" s="4">
        <v>105.20947949550499</v>
      </c>
      <c r="H85" s="4">
        <v>112.262703337584</v>
      </c>
      <c r="I85" s="4">
        <v>7.05322384207855</v>
      </c>
      <c r="J85" s="4">
        <v>2840.6559463786498</v>
      </c>
      <c r="K85" s="4">
        <v>3031.0929901147701</v>
      </c>
      <c r="L85" s="4">
        <f>Sheet1!$K85-Sheet1!$J85</f>
        <v>190.43704373612036</v>
      </c>
      <c r="M85" s="4">
        <v>27</v>
      </c>
    </row>
    <row r="86" spans="1:13" x14ac:dyDescent="0.2">
      <c r="A86" s="10" t="s">
        <v>15</v>
      </c>
      <c r="B86" s="11" t="s">
        <v>50</v>
      </c>
      <c r="C86" s="11" t="s">
        <v>61</v>
      </c>
      <c r="D86" s="11">
        <v>0.25759480415389102</v>
      </c>
      <c r="E86" s="11">
        <v>0.26679363760512698</v>
      </c>
      <c r="F86" s="11">
        <v>9.1988334512361301E-3</v>
      </c>
      <c r="G86" s="11">
        <v>180.88656616396099</v>
      </c>
      <c r="H86" s="11">
        <v>181.273494348659</v>
      </c>
      <c r="I86" s="11">
        <v>0.38692818469747298</v>
      </c>
      <c r="J86" s="11">
        <v>904.43283081980906</v>
      </c>
      <c r="K86" s="11">
        <v>906.36747174329696</v>
      </c>
      <c r="L86" s="11">
        <f>Sheet1!$K86-Sheet1!$J86</f>
        <v>1.9346409234879047</v>
      </c>
      <c r="M86" s="11">
        <v>5</v>
      </c>
    </row>
    <row r="87" spans="1:13" x14ac:dyDescent="0.2">
      <c r="A87" s="9" t="s">
        <v>15</v>
      </c>
      <c r="B87" s="4" t="s">
        <v>51</v>
      </c>
      <c r="C87" s="4" t="s">
        <v>61</v>
      </c>
      <c r="D87" s="4">
        <v>0.40461736736549297</v>
      </c>
      <c r="E87" s="4">
        <v>0.41934034812556698</v>
      </c>
      <c r="F87" s="4">
        <v>1.47229807600745E-2</v>
      </c>
      <c r="G87" s="4">
        <v>165.50301058901599</v>
      </c>
      <c r="H87" s="4">
        <v>173.31854570978001</v>
      </c>
      <c r="I87" s="4">
        <v>7.81553512076409</v>
      </c>
      <c r="J87" s="4">
        <v>5792.6053706155799</v>
      </c>
      <c r="K87" s="4">
        <v>6066.1490998423296</v>
      </c>
      <c r="L87" s="4">
        <f>Sheet1!$K87-Sheet1!$J87</f>
        <v>273.54372922674975</v>
      </c>
      <c r="M87" s="4">
        <v>35</v>
      </c>
    </row>
    <row r="88" spans="1:13" x14ac:dyDescent="0.2">
      <c r="A88" s="10" t="s">
        <v>15</v>
      </c>
      <c r="B88" s="11" t="s">
        <v>52</v>
      </c>
      <c r="C88" s="11" t="s">
        <v>61</v>
      </c>
      <c r="D88" s="11">
        <v>0.338037781299382</v>
      </c>
      <c r="E88" s="11">
        <v>0.35346459846801198</v>
      </c>
      <c r="F88" s="11">
        <v>1.5426817168630799E-2</v>
      </c>
      <c r="G88" s="11">
        <v>172.594847395416</v>
      </c>
      <c r="H88" s="11">
        <v>181.666466844593</v>
      </c>
      <c r="I88" s="11">
        <v>9.0716194491775095</v>
      </c>
      <c r="J88" s="11">
        <v>3451.8969479083198</v>
      </c>
      <c r="K88" s="11">
        <v>3633.3293368918698</v>
      </c>
      <c r="L88" s="11">
        <f>Sheet1!$K88-Sheet1!$J88</f>
        <v>181.43238898355003</v>
      </c>
      <c r="M88" s="11">
        <v>20</v>
      </c>
    </row>
    <row r="89" spans="1:13" x14ac:dyDescent="0.2">
      <c r="A89" s="9" t="s">
        <v>16</v>
      </c>
      <c r="B89" s="4" t="s">
        <v>53</v>
      </c>
      <c r="C89" s="4" t="s">
        <v>61</v>
      </c>
      <c r="D89" s="4">
        <v>0.28081407108188</v>
      </c>
      <c r="E89" s="4">
        <v>0.302209189252858</v>
      </c>
      <c r="F89" s="4">
        <v>2.1395118170978E-2</v>
      </c>
      <c r="G89" s="4">
        <v>235.694303955442</v>
      </c>
      <c r="H89" s="4">
        <v>261.40761102844101</v>
      </c>
      <c r="I89" s="4">
        <v>25.713307072998401</v>
      </c>
      <c r="J89" s="4">
        <v>76129.260177607895</v>
      </c>
      <c r="K89" s="4">
        <v>84434.658362186397</v>
      </c>
      <c r="L89" s="4">
        <f>Sheet1!$K89-Sheet1!$J89</f>
        <v>8305.398184578502</v>
      </c>
      <c r="M89" s="4">
        <v>323</v>
      </c>
    </row>
    <row r="90" spans="1:13" x14ac:dyDescent="0.2">
      <c r="A90" s="10" t="s">
        <v>16</v>
      </c>
      <c r="B90" s="11" t="s">
        <v>54</v>
      </c>
      <c r="C90" s="11" t="s">
        <v>61</v>
      </c>
      <c r="D90" s="11">
        <v>0.29555863236819302</v>
      </c>
      <c r="E90" s="11">
        <v>0.30077603461039698</v>
      </c>
      <c r="F90" s="11">
        <v>5.2174022422040297E-3</v>
      </c>
      <c r="G90" s="11">
        <v>994.25730361562898</v>
      </c>
      <c r="H90" s="11">
        <v>1002.80563002317</v>
      </c>
      <c r="I90" s="11">
        <v>8.5483264075419996</v>
      </c>
      <c r="J90" s="11">
        <v>40764.549448240803</v>
      </c>
      <c r="K90" s="11">
        <v>41115.030830950003</v>
      </c>
      <c r="L90" s="11">
        <f>Sheet1!$K90-Sheet1!$J90</f>
        <v>350.48138270920026</v>
      </c>
      <c r="M90" s="11">
        <v>41</v>
      </c>
    </row>
    <row r="91" spans="1:13" x14ac:dyDescent="0.2">
      <c r="A91" s="9" t="s">
        <v>17</v>
      </c>
      <c r="B91" s="4" t="s">
        <v>53</v>
      </c>
      <c r="C91" s="4" t="s">
        <v>61</v>
      </c>
      <c r="D91" s="4">
        <v>0.3537404901683</v>
      </c>
      <c r="E91" s="4">
        <v>0.37000889341252702</v>
      </c>
      <c r="F91" s="4">
        <v>1.6268403244227E-2</v>
      </c>
      <c r="G91" s="4">
        <v>192.28122662195699</v>
      </c>
      <c r="H91" s="4">
        <v>212.68948443458501</v>
      </c>
      <c r="I91" s="4">
        <v>20.408257812628101</v>
      </c>
      <c r="J91" s="4">
        <v>7498.9678382563397</v>
      </c>
      <c r="K91" s="4">
        <v>8294.8898929488296</v>
      </c>
      <c r="L91" s="4">
        <f>Sheet1!$K91-Sheet1!$J91</f>
        <v>795.92205469248984</v>
      </c>
      <c r="M91" s="4">
        <v>39</v>
      </c>
    </row>
    <row r="92" spans="1:13" x14ac:dyDescent="0.2">
      <c r="A92" s="10" t="s">
        <v>17</v>
      </c>
      <c r="B92" s="11" t="s">
        <v>54</v>
      </c>
      <c r="C92" s="11" t="s">
        <v>61</v>
      </c>
      <c r="D92" s="11">
        <v>0.27392298390762898</v>
      </c>
      <c r="E92" s="11">
        <v>0.29389242678341798</v>
      </c>
      <c r="F92" s="11">
        <v>1.99694428757889E-2</v>
      </c>
      <c r="G92" s="11">
        <v>336.59951319259198</v>
      </c>
      <c r="H92" s="11">
        <v>360.78399784673098</v>
      </c>
      <c r="I92" s="11">
        <v>24.184484654139101</v>
      </c>
      <c r="J92" s="11">
        <v>109394.841787592</v>
      </c>
      <c r="K92" s="11">
        <v>117254.79930018701</v>
      </c>
      <c r="L92" s="11">
        <f>Sheet1!$K92-Sheet1!$J92</f>
        <v>7859.9575125950068</v>
      </c>
      <c r="M92" s="11">
        <v>325</v>
      </c>
    </row>
    <row r="93" spans="1:13" x14ac:dyDescent="0.2">
      <c r="A93" s="9" t="s">
        <v>18</v>
      </c>
      <c r="B93" s="4" t="s">
        <v>55</v>
      </c>
      <c r="C93" s="4" t="s">
        <v>61</v>
      </c>
      <c r="D93" s="4">
        <v>0.243499925553814</v>
      </c>
      <c r="E93" s="4">
        <v>0.26902817140048002</v>
      </c>
      <c r="F93" s="4">
        <v>2.55282458466661E-2</v>
      </c>
      <c r="G93" s="4">
        <v>11.764179539585401</v>
      </c>
      <c r="H93" s="4">
        <v>12.793173218996101</v>
      </c>
      <c r="I93" s="4">
        <v>1.0289936794107</v>
      </c>
      <c r="J93" s="4">
        <v>858.78510638973898</v>
      </c>
      <c r="K93" s="4">
        <v>933.90164498672095</v>
      </c>
      <c r="L93" s="4">
        <f>Sheet1!$K93-Sheet1!$J93</f>
        <v>75.116538596981968</v>
      </c>
      <c r="M93" s="4">
        <v>73</v>
      </c>
    </row>
    <row r="94" spans="1:13" x14ac:dyDescent="0.2">
      <c r="A94" s="10" t="s">
        <v>18</v>
      </c>
      <c r="B94" s="11" t="s">
        <v>56</v>
      </c>
      <c r="C94" s="11" t="s">
        <v>61</v>
      </c>
      <c r="D94" s="11">
        <v>0.369530051132478</v>
      </c>
      <c r="E94" s="11">
        <v>0.391783507906526</v>
      </c>
      <c r="F94" s="11">
        <v>2.2253456774047602E-2</v>
      </c>
      <c r="G94" s="11">
        <v>55.760949234346299</v>
      </c>
      <c r="H94" s="11">
        <v>59.004344293137898</v>
      </c>
      <c r="I94" s="11">
        <v>3.2433950587915601</v>
      </c>
      <c r="J94" s="11">
        <v>4070.5492941072798</v>
      </c>
      <c r="K94" s="11">
        <v>4307.3171333990604</v>
      </c>
      <c r="L94" s="11">
        <f>Sheet1!$K94-Sheet1!$J94</f>
        <v>236.76783929178055</v>
      </c>
      <c r="M94" s="11">
        <v>73</v>
      </c>
    </row>
    <row r="95" spans="1:13" x14ac:dyDescent="0.2">
      <c r="A95" s="9" t="s">
        <v>18</v>
      </c>
      <c r="B95" s="4" t="s">
        <v>57</v>
      </c>
      <c r="C95" s="4" t="s">
        <v>61</v>
      </c>
      <c r="D95" s="4">
        <v>0.28949180171604999</v>
      </c>
      <c r="E95" s="4">
        <v>0.30107801790382199</v>
      </c>
      <c r="F95" s="4">
        <v>1.15862161877718E-2</v>
      </c>
      <c r="G95" s="4">
        <v>104.16437733529</v>
      </c>
      <c r="H95" s="4">
        <v>108.510007694264</v>
      </c>
      <c r="I95" s="4">
        <v>4.3456303589747103</v>
      </c>
      <c r="J95" s="4">
        <v>7499.8351681408803</v>
      </c>
      <c r="K95" s="4">
        <v>7812.7205539870602</v>
      </c>
      <c r="L95" s="4">
        <f>Sheet1!$K95-Sheet1!$J95</f>
        <v>312.88538584617982</v>
      </c>
      <c r="M95" s="4">
        <v>72</v>
      </c>
    </row>
    <row r="96" spans="1:13" x14ac:dyDescent="0.2">
      <c r="A96" s="10" t="s">
        <v>18</v>
      </c>
      <c r="B96" s="11" t="s">
        <v>58</v>
      </c>
      <c r="C96" s="11" t="s">
        <v>61</v>
      </c>
      <c r="D96" s="11">
        <v>0.27247763942153802</v>
      </c>
      <c r="E96" s="11">
        <v>0.28622921167757398</v>
      </c>
      <c r="F96" s="11">
        <v>1.3751572256036499E-2</v>
      </c>
      <c r="G96" s="11">
        <v>217.693865557066</v>
      </c>
      <c r="H96" s="11">
        <v>229.15340044818399</v>
      </c>
      <c r="I96" s="11">
        <v>11.4595348911177</v>
      </c>
      <c r="J96" s="11">
        <v>15891.6521856658</v>
      </c>
      <c r="K96" s="11">
        <v>16728.198232717401</v>
      </c>
      <c r="L96" s="11">
        <f>Sheet1!$K96-Sheet1!$J96</f>
        <v>836.54604705160091</v>
      </c>
      <c r="M96" s="11">
        <v>73</v>
      </c>
    </row>
    <row r="97" spans="1:13" x14ac:dyDescent="0.2">
      <c r="A97" s="9" t="s">
        <v>18</v>
      </c>
      <c r="B97" s="4" t="s">
        <v>59</v>
      </c>
      <c r="C97" s="4" t="s">
        <v>61</v>
      </c>
      <c r="D97" s="4">
        <v>0.23747100256323</v>
      </c>
      <c r="E97" s="4">
        <v>0.26210661940753099</v>
      </c>
      <c r="F97" s="4">
        <v>2.4635616844300198E-2</v>
      </c>
      <c r="G97" s="4">
        <v>1213.3286009800599</v>
      </c>
      <c r="H97" s="4">
        <v>1311.88426887734</v>
      </c>
      <c r="I97" s="4">
        <v>98.555667897276507</v>
      </c>
      <c r="J97" s="4">
        <v>88572.987871545003</v>
      </c>
      <c r="K97" s="4">
        <v>95767.551628046203</v>
      </c>
      <c r="L97" s="4">
        <f>Sheet1!$K97-Sheet1!$J97</f>
        <v>7194.5637565012003</v>
      </c>
      <c r="M97" s="4">
        <v>73</v>
      </c>
    </row>
    <row r="98" spans="1:13" x14ac:dyDescent="0.2">
      <c r="A98" s="10" t="s">
        <v>12</v>
      </c>
      <c r="B98" s="11" t="s">
        <v>19</v>
      </c>
      <c r="C98" s="11" t="s">
        <v>62</v>
      </c>
      <c r="D98" s="11">
        <v>0.48425350583789001</v>
      </c>
      <c r="E98" s="11">
        <v>0.53436346398045398</v>
      </c>
      <c r="F98" s="11">
        <v>5.0109958142563402E-2</v>
      </c>
      <c r="G98" s="11">
        <v>640.67461109086105</v>
      </c>
      <c r="H98" s="11">
        <v>723.00312418825104</v>
      </c>
      <c r="I98" s="11">
        <v>82.328513097389802</v>
      </c>
      <c r="J98" s="11">
        <v>53175.992720541399</v>
      </c>
      <c r="K98" s="11">
        <v>60009.259307624801</v>
      </c>
      <c r="L98" s="11">
        <f>Sheet1!$K98-Sheet1!$J98</f>
        <v>6833.2665870834026</v>
      </c>
      <c r="M98" s="11">
        <v>83</v>
      </c>
    </row>
    <row r="99" spans="1:13" x14ac:dyDescent="0.2">
      <c r="A99" s="9" t="s">
        <v>12</v>
      </c>
      <c r="B99" s="4" t="s">
        <v>20</v>
      </c>
      <c r="C99" s="4" t="s">
        <v>62</v>
      </c>
      <c r="D99" s="4">
        <v>2.3621421226126201E-2</v>
      </c>
      <c r="E99" s="4">
        <v>2.9453702877393802E-2</v>
      </c>
      <c r="F99" s="4">
        <v>5.8322816512675398E-3</v>
      </c>
      <c r="G99" s="4">
        <v>27.3665004922305</v>
      </c>
      <c r="H99" s="4">
        <v>34.263647053682</v>
      </c>
      <c r="I99" s="4">
        <v>6.8971465614514598</v>
      </c>
      <c r="J99" s="4">
        <v>2709.2835487308198</v>
      </c>
      <c r="K99" s="4">
        <v>3392.1010583145198</v>
      </c>
      <c r="L99" s="4">
        <f>Sheet1!$K99-Sheet1!$J99</f>
        <v>682.81750958370003</v>
      </c>
      <c r="M99" s="4">
        <v>99</v>
      </c>
    </row>
    <row r="100" spans="1:13" x14ac:dyDescent="0.2">
      <c r="A100" s="10" t="s">
        <v>12</v>
      </c>
      <c r="B100" s="11" t="s">
        <v>21</v>
      </c>
      <c r="C100" s="11" t="s">
        <v>62</v>
      </c>
      <c r="D100" s="11">
        <v>0.41230620331815199</v>
      </c>
      <c r="E100" s="11">
        <v>0.42873665278661499</v>
      </c>
      <c r="F100" s="11">
        <v>1.64304494684634E-2</v>
      </c>
      <c r="G100" s="11">
        <v>47.580877663150197</v>
      </c>
      <c r="H100" s="11">
        <v>50.390626775845803</v>
      </c>
      <c r="I100" s="11">
        <v>2.8097491126955298</v>
      </c>
      <c r="J100" s="11">
        <v>333.06614364205097</v>
      </c>
      <c r="K100" s="11">
        <v>352.73438743091998</v>
      </c>
      <c r="L100" s="11">
        <f>Sheet1!$K100-Sheet1!$J100</f>
        <v>19.668243788869006</v>
      </c>
      <c r="M100" s="11">
        <v>7</v>
      </c>
    </row>
    <row r="101" spans="1:13" x14ac:dyDescent="0.2">
      <c r="A101" s="9" t="s">
        <v>12</v>
      </c>
      <c r="B101" s="4" t="s">
        <v>22</v>
      </c>
      <c r="C101" s="4" t="s">
        <v>62</v>
      </c>
      <c r="D101" s="4">
        <v>0.42735901953774202</v>
      </c>
      <c r="E101" s="4">
        <v>0.47189449237465902</v>
      </c>
      <c r="F101" s="4">
        <v>4.4535472836916001E-2</v>
      </c>
      <c r="G101" s="4">
        <v>478.59196468144398</v>
      </c>
      <c r="H101" s="4">
        <v>537.54998233334004</v>
      </c>
      <c r="I101" s="4">
        <v>58.958017651895503</v>
      </c>
      <c r="J101" s="4">
        <v>1435.77589404433</v>
      </c>
      <c r="K101" s="4">
        <v>1612.6499470000199</v>
      </c>
      <c r="L101" s="4">
        <f>Sheet1!$K101-Sheet1!$J101</f>
        <v>176.87405295568988</v>
      </c>
      <c r="M101" s="4">
        <v>3</v>
      </c>
    </row>
    <row r="102" spans="1:13" x14ac:dyDescent="0.2">
      <c r="A102" s="10" t="s">
        <v>12</v>
      </c>
      <c r="B102" s="11" t="s">
        <v>23</v>
      </c>
      <c r="C102" s="11" t="s">
        <v>62</v>
      </c>
      <c r="D102" s="11">
        <v>0.34891974214240901</v>
      </c>
      <c r="E102" s="11">
        <v>0.38912476020967401</v>
      </c>
      <c r="F102" s="11">
        <v>4.02050180672653E-2</v>
      </c>
      <c r="G102" s="11">
        <v>180.86621095973501</v>
      </c>
      <c r="H102" s="11">
        <v>186.52895969378099</v>
      </c>
      <c r="I102" s="11">
        <v>5.66274873404614</v>
      </c>
      <c r="J102" s="11">
        <v>723.46484383894199</v>
      </c>
      <c r="K102" s="11">
        <v>746.11583877512703</v>
      </c>
      <c r="L102" s="11">
        <f>Sheet1!$K102-Sheet1!$J102</f>
        <v>22.650994936185043</v>
      </c>
      <c r="M102" s="11">
        <v>4</v>
      </c>
    </row>
    <row r="103" spans="1:13" x14ac:dyDescent="0.2">
      <c r="A103" s="9" t="s">
        <v>12</v>
      </c>
      <c r="B103" s="4" t="s">
        <v>24</v>
      </c>
      <c r="C103" s="4" t="s">
        <v>62</v>
      </c>
      <c r="D103" s="4">
        <v>0.25411281262144297</v>
      </c>
      <c r="E103" s="4">
        <v>0.266687010396434</v>
      </c>
      <c r="F103" s="4">
        <v>1.25741977749904E-2</v>
      </c>
      <c r="G103" s="4">
        <v>386.83572283402401</v>
      </c>
      <c r="H103" s="4">
        <v>402.560923562852</v>
      </c>
      <c r="I103" s="4">
        <v>15.7252007288276</v>
      </c>
      <c r="J103" s="4">
        <v>3868.35722834024</v>
      </c>
      <c r="K103" s="4">
        <v>4025.6092356285199</v>
      </c>
      <c r="L103" s="4">
        <f>Sheet1!$K103-Sheet1!$J103</f>
        <v>157.25200728827986</v>
      </c>
      <c r="M103" s="4">
        <v>10</v>
      </c>
    </row>
    <row r="104" spans="1:13" x14ac:dyDescent="0.2">
      <c r="A104" s="10" t="s">
        <v>12</v>
      </c>
      <c r="B104" s="11" t="s">
        <v>25</v>
      </c>
      <c r="C104" s="11" t="s">
        <v>62</v>
      </c>
      <c r="D104" s="11">
        <v>0.230221007311981</v>
      </c>
      <c r="E104" s="11">
        <v>0.27261400948831899</v>
      </c>
      <c r="F104" s="11">
        <v>4.23930021763377E-2</v>
      </c>
      <c r="G104" s="11">
        <v>65.226038240396704</v>
      </c>
      <c r="H104" s="11">
        <v>112.751269363207</v>
      </c>
      <c r="I104" s="11">
        <v>47.525231122810403</v>
      </c>
      <c r="J104" s="11">
        <v>913.164535365554</v>
      </c>
      <c r="K104" s="11">
        <v>1578.5177710849</v>
      </c>
      <c r="L104" s="11">
        <f>Sheet1!$K104-Sheet1!$J104</f>
        <v>665.353235719346</v>
      </c>
      <c r="M104" s="11">
        <v>14</v>
      </c>
    </row>
    <row r="105" spans="1:13" x14ac:dyDescent="0.2">
      <c r="A105" s="9" t="s">
        <v>12</v>
      </c>
      <c r="B105" s="4" t="s">
        <v>26</v>
      </c>
      <c r="C105" s="4" t="s">
        <v>62</v>
      </c>
      <c r="D105" s="4">
        <v>0.26084147965314802</v>
      </c>
      <c r="E105" s="4">
        <v>0.30302059099329298</v>
      </c>
      <c r="F105" s="4">
        <v>4.2179111340145001E-2</v>
      </c>
      <c r="G105" s="4">
        <v>48.772232266624201</v>
      </c>
      <c r="H105" s="4">
        <v>55.840110257196898</v>
      </c>
      <c r="I105" s="4">
        <v>7.0678779905726703</v>
      </c>
      <c r="J105" s="4">
        <v>438.95009039961798</v>
      </c>
      <c r="K105" s="4">
        <v>502.56099231477202</v>
      </c>
      <c r="L105" s="4">
        <f>Sheet1!$K105-Sheet1!$J105</f>
        <v>63.610901915154045</v>
      </c>
      <c r="M105" s="4">
        <v>9</v>
      </c>
    </row>
    <row r="106" spans="1:13" x14ac:dyDescent="0.2">
      <c r="A106" s="10" t="s">
        <v>12</v>
      </c>
      <c r="B106" s="11" t="s">
        <v>27</v>
      </c>
      <c r="C106" s="11" t="s">
        <v>62</v>
      </c>
      <c r="D106" s="11">
        <v>0.449464383394791</v>
      </c>
      <c r="E106" s="11">
        <v>0.4739434599174</v>
      </c>
      <c r="F106" s="11">
        <v>2.44790765226089E-2</v>
      </c>
      <c r="G106" s="11">
        <v>830.20079708608296</v>
      </c>
      <c r="H106" s="11">
        <v>852.85460535651896</v>
      </c>
      <c r="I106" s="11">
        <v>22.653808270435501</v>
      </c>
      <c r="J106" s="11">
        <v>35698.634274701501</v>
      </c>
      <c r="K106" s="11">
        <v>36672.748030330302</v>
      </c>
      <c r="L106" s="11">
        <f>Sheet1!$K106-Sheet1!$J106</f>
        <v>974.1137556288013</v>
      </c>
      <c r="M106" s="11">
        <v>43</v>
      </c>
    </row>
    <row r="107" spans="1:13" x14ac:dyDescent="0.2">
      <c r="A107" s="9" t="s">
        <v>12</v>
      </c>
      <c r="B107" s="4" t="s">
        <v>28</v>
      </c>
      <c r="C107" s="4" t="s">
        <v>62</v>
      </c>
      <c r="D107" s="4">
        <v>0.43792392496958699</v>
      </c>
      <c r="E107" s="4">
        <v>0.56454253974043</v>
      </c>
      <c r="F107" s="4">
        <v>0.12661861477084299</v>
      </c>
      <c r="G107" s="4">
        <v>25.6200114031091</v>
      </c>
      <c r="H107" s="4">
        <v>30.795327107204699</v>
      </c>
      <c r="I107" s="4">
        <v>5.1753157040955298</v>
      </c>
      <c r="J107" s="4">
        <v>76.860034209327495</v>
      </c>
      <c r="K107" s="4">
        <v>92.385981321614096</v>
      </c>
      <c r="L107" s="4">
        <f>Sheet1!$K107-Sheet1!$J107</f>
        <v>15.525947112286602</v>
      </c>
      <c r="M107" s="4">
        <v>3</v>
      </c>
    </row>
    <row r="108" spans="1:13" x14ac:dyDescent="0.2">
      <c r="A108" s="10" t="s">
        <v>12</v>
      </c>
      <c r="B108" s="11" t="s">
        <v>29</v>
      </c>
      <c r="C108" s="11" t="s">
        <v>62</v>
      </c>
      <c r="D108" s="11">
        <v>0.28864450315385598</v>
      </c>
      <c r="E108" s="11">
        <v>0.29942262949279003</v>
      </c>
      <c r="F108" s="11">
        <v>1.07781263389344E-2</v>
      </c>
      <c r="G108" s="11">
        <v>197.31763100329999</v>
      </c>
      <c r="H108" s="11">
        <v>200.691247058237</v>
      </c>
      <c r="I108" s="11">
        <v>3.37361605493735</v>
      </c>
      <c r="J108" s="11">
        <v>13614.916539227699</v>
      </c>
      <c r="K108" s="11">
        <v>13847.6960470183</v>
      </c>
      <c r="L108" s="11">
        <f>Sheet1!$K108-Sheet1!$J108</f>
        <v>232.7795077906012</v>
      </c>
      <c r="M108" s="11">
        <v>69</v>
      </c>
    </row>
    <row r="109" spans="1:13" x14ac:dyDescent="0.2">
      <c r="A109" s="9" t="s">
        <v>12</v>
      </c>
      <c r="B109" s="4" t="s">
        <v>30</v>
      </c>
      <c r="C109" s="4" t="s">
        <v>62</v>
      </c>
      <c r="D109" s="4">
        <v>0.301041997083346</v>
      </c>
      <c r="E109" s="4">
        <v>0.31902236438237203</v>
      </c>
      <c r="F109" s="4">
        <v>1.79803672990251E-2</v>
      </c>
      <c r="G109" s="4">
        <v>155.09802934691001</v>
      </c>
      <c r="H109" s="4">
        <v>164.94380701351301</v>
      </c>
      <c r="I109" s="4">
        <v>9.84577766660286</v>
      </c>
      <c r="J109" s="4">
        <v>2481.5684695505702</v>
      </c>
      <c r="K109" s="4">
        <v>2639.10091221622</v>
      </c>
      <c r="L109" s="4">
        <f>Sheet1!$K109-Sheet1!$J109</f>
        <v>157.5324426656498</v>
      </c>
      <c r="M109" s="4">
        <v>16</v>
      </c>
    </row>
    <row r="110" spans="1:13" x14ac:dyDescent="0.2">
      <c r="A110" s="10" t="s">
        <v>12</v>
      </c>
      <c r="B110" s="11" t="s">
        <v>31</v>
      </c>
      <c r="C110" s="11" t="s">
        <v>62</v>
      </c>
      <c r="D110" s="11">
        <v>0.30992731822672298</v>
      </c>
      <c r="E110" s="11">
        <v>0.33494138709181798</v>
      </c>
      <c r="F110" s="11">
        <v>2.5014068865094798E-2</v>
      </c>
      <c r="G110" s="11">
        <v>355.94382581412401</v>
      </c>
      <c r="H110" s="11">
        <v>381.20538320908798</v>
      </c>
      <c r="I110" s="11">
        <v>25.261557394963798</v>
      </c>
      <c r="J110" s="11">
        <v>1423.7753032564899</v>
      </c>
      <c r="K110" s="11">
        <v>1524.8215328363499</v>
      </c>
      <c r="L110" s="11">
        <f>Sheet1!$K110-Sheet1!$J110</f>
        <v>101.04622957985998</v>
      </c>
      <c r="M110" s="11">
        <v>4</v>
      </c>
    </row>
    <row r="111" spans="1:13" x14ac:dyDescent="0.2">
      <c r="A111" s="9" t="s">
        <v>13</v>
      </c>
      <c r="B111" s="4">
        <v>0</v>
      </c>
      <c r="C111" s="4" t="s">
        <v>62</v>
      </c>
      <c r="D111" s="4">
        <v>0.39909339056927801</v>
      </c>
      <c r="E111" s="4">
        <v>0.40469427470542702</v>
      </c>
      <c r="F111" s="4">
        <v>5.6008841361486397E-3</v>
      </c>
      <c r="G111" s="4">
        <v>389.344105544169</v>
      </c>
      <c r="H111" s="4">
        <v>392.90353760418998</v>
      </c>
      <c r="I111" s="4">
        <v>3.5594320600210798</v>
      </c>
      <c r="J111" s="4">
        <v>42438.507504314497</v>
      </c>
      <c r="K111" s="4">
        <v>42826.4855988567</v>
      </c>
      <c r="L111" s="4">
        <f>Sheet1!$K111-Sheet1!$J111</f>
        <v>387.9780945422026</v>
      </c>
      <c r="M111" s="4">
        <v>109</v>
      </c>
    </row>
    <row r="112" spans="1:13" x14ac:dyDescent="0.2">
      <c r="A112" s="10" t="s">
        <v>13</v>
      </c>
      <c r="B112" s="11">
        <v>1</v>
      </c>
      <c r="C112" s="11" t="s">
        <v>62</v>
      </c>
      <c r="D112" s="11">
        <v>0.37167712340963799</v>
      </c>
      <c r="E112" s="11">
        <v>0.37700912797841302</v>
      </c>
      <c r="F112" s="11">
        <v>5.3320045687744299E-3</v>
      </c>
      <c r="G112" s="11">
        <v>423.58152544174601</v>
      </c>
      <c r="H112" s="11">
        <v>426.77924020279698</v>
      </c>
      <c r="I112" s="11">
        <v>3.1977147610511198</v>
      </c>
      <c r="J112" s="11">
        <v>13554.6088141358</v>
      </c>
      <c r="K112" s="11">
        <v>13656.9356864895</v>
      </c>
      <c r="L112" s="11">
        <f>Sheet1!$K112-Sheet1!$J112</f>
        <v>102.32687235370031</v>
      </c>
      <c r="M112" s="11">
        <v>32</v>
      </c>
    </row>
    <row r="113" spans="1:13" x14ac:dyDescent="0.2">
      <c r="A113" s="9" t="s">
        <v>13</v>
      </c>
      <c r="B113" s="4">
        <v>2</v>
      </c>
      <c r="C113" s="4" t="s">
        <v>62</v>
      </c>
      <c r="D113" s="4">
        <v>0.21267265186270501</v>
      </c>
      <c r="E113" s="4">
        <v>0.24867079780002499</v>
      </c>
      <c r="F113" s="4">
        <v>3.5998145937319398E-2</v>
      </c>
      <c r="G113" s="4">
        <v>273.097279405373</v>
      </c>
      <c r="H113" s="4">
        <v>316.20125451367801</v>
      </c>
      <c r="I113" s="4">
        <v>43.103975108304098</v>
      </c>
      <c r="J113" s="4">
        <v>60900.693307398302</v>
      </c>
      <c r="K113" s="4">
        <v>70512.879756550203</v>
      </c>
      <c r="L113" s="4">
        <f>Sheet1!$K113-Sheet1!$J113</f>
        <v>9612.1864491519009</v>
      </c>
      <c r="M113" s="4">
        <v>223</v>
      </c>
    </row>
    <row r="114" spans="1:13" x14ac:dyDescent="0.2">
      <c r="A114" s="10" t="s">
        <v>14</v>
      </c>
      <c r="B114" s="11" t="s">
        <v>32</v>
      </c>
      <c r="C114" s="11" t="s">
        <v>62</v>
      </c>
      <c r="D114" s="11">
        <v>0.36102467636121399</v>
      </c>
      <c r="E114" s="11">
        <v>0.39146301075325501</v>
      </c>
      <c r="F114" s="11">
        <v>3.04383343920403E-2</v>
      </c>
      <c r="G114" s="11">
        <v>452.14883474200502</v>
      </c>
      <c r="H114" s="11">
        <v>491.82125319746302</v>
      </c>
      <c r="I114" s="11">
        <v>39.672418455457901</v>
      </c>
      <c r="J114" s="11">
        <v>106254.97616437099</v>
      </c>
      <c r="K114" s="11">
        <v>115577.99450140299</v>
      </c>
      <c r="L114" s="11">
        <f>Sheet1!$K114-Sheet1!$J114</f>
        <v>9323.018337032001</v>
      </c>
      <c r="M114" s="11">
        <v>235</v>
      </c>
    </row>
    <row r="115" spans="1:13" x14ac:dyDescent="0.2">
      <c r="A115" s="9" t="s">
        <v>14</v>
      </c>
      <c r="B115" s="4" t="s">
        <v>33</v>
      </c>
      <c r="C115" s="4" t="s">
        <v>62</v>
      </c>
      <c r="D115" s="4">
        <v>0.29422879381894801</v>
      </c>
      <c r="E115" s="4">
        <v>0.31765500846492001</v>
      </c>
      <c r="F115" s="4">
        <v>2.3426214645971201E-2</v>
      </c>
      <c r="G115" s="4">
        <v>84.622349375915505</v>
      </c>
      <c r="H115" s="4">
        <v>87.619560560687106</v>
      </c>
      <c r="I115" s="4">
        <v>2.9972111847715901</v>
      </c>
      <c r="J115" s="4">
        <v>1438.57993939056</v>
      </c>
      <c r="K115" s="4">
        <v>1489.53252953168</v>
      </c>
      <c r="L115" s="4">
        <f>Sheet1!$K115-Sheet1!$J115</f>
        <v>50.952590141120027</v>
      </c>
      <c r="M115" s="4">
        <v>17</v>
      </c>
    </row>
    <row r="116" spans="1:13" x14ac:dyDescent="0.2">
      <c r="A116" s="10" t="s">
        <v>14</v>
      </c>
      <c r="B116" s="11" t="s">
        <v>34</v>
      </c>
      <c r="C116" s="11" t="s">
        <v>62</v>
      </c>
      <c r="D116" s="11">
        <v>0.11587643256013901</v>
      </c>
      <c r="E116" s="11">
        <v>0.12710368997042701</v>
      </c>
      <c r="F116" s="11">
        <v>1.12272574102876E-2</v>
      </c>
      <c r="G116" s="11">
        <v>82.145120732919295</v>
      </c>
      <c r="H116" s="11">
        <v>88.649767955008898</v>
      </c>
      <c r="I116" s="11">
        <v>6.5046472220895497</v>
      </c>
      <c r="J116" s="11">
        <v>9200.2535220869595</v>
      </c>
      <c r="K116" s="11">
        <v>9928.7740109609895</v>
      </c>
      <c r="L116" s="11">
        <f>Sheet1!$K116-Sheet1!$J116</f>
        <v>728.52048887402998</v>
      </c>
      <c r="M116" s="11">
        <v>112</v>
      </c>
    </row>
    <row r="117" spans="1:13" x14ac:dyDescent="0.2">
      <c r="A117" s="9" t="s">
        <v>15</v>
      </c>
      <c r="B117" s="4" t="s">
        <v>35</v>
      </c>
      <c r="C117" s="4" t="s">
        <v>62</v>
      </c>
      <c r="D117" s="4">
        <v>0.12932859863360699</v>
      </c>
      <c r="E117" s="4">
        <v>0.13783546019113799</v>
      </c>
      <c r="F117" s="4">
        <v>8.5068615575313398E-3</v>
      </c>
      <c r="G117" s="4">
        <v>233.91450079363</v>
      </c>
      <c r="H117" s="4">
        <v>243.327385842376</v>
      </c>
      <c r="I117" s="4">
        <v>9.4128850487467393</v>
      </c>
      <c r="J117" s="4">
        <v>1169.5725039681499</v>
      </c>
      <c r="K117" s="4">
        <v>1216.63692921188</v>
      </c>
      <c r="L117" s="4">
        <f>Sheet1!$K117-Sheet1!$J117</f>
        <v>47.064425243730057</v>
      </c>
      <c r="M117" s="4">
        <v>5</v>
      </c>
    </row>
    <row r="118" spans="1:13" x14ac:dyDescent="0.2">
      <c r="A118" s="10" t="s">
        <v>15</v>
      </c>
      <c r="B118" s="11" t="s">
        <v>36</v>
      </c>
      <c r="C118" s="11" t="s">
        <v>62</v>
      </c>
      <c r="D118" s="11">
        <v>0.498635407554542</v>
      </c>
      <c r="E118" s="11">
        <v>0.515554749861867</v>
      </c>
      <c r="F118" s="11">
        <v>1.6919342307324899E-2</v>
      </c>
      <c r="G118" s="11">
        <v>2290.6823445763198</v>
      </c>
      <c r="H118" s="11">
        <v>2305.9688671499598</v>
      </c>
      <c r="I118" s="11">
        <v>15.2865225736354</v>
      </c>
      <c r="J118" s="11">
        <v>9162.7293783053101</v>
      </c>
      <c r="K118" s="11">
        <v>9223.8754685998592</v>
      </c>
      <c r="L118" s="11">
        <f>Sheet1!$K118-Sheet1!$J118</f>
        <v>61.14609029454914</v>
      </c>
      <c r="M118" s="11">
        <v>4</v>
      </c>
    </row>
    <row r="119" spans="1:13" x14ac:dyDescent="0.2">
      <c r="A119" s="9" t="s">
        <v>15</v>
      </c>
      <c r="B119" s="4" t="s">
        <v>37</v>
      </c>
      <c r="C119" s="4" t="s">
        <v>62</v>
      </c>
      <c r="D119" s="4">
        <v>0.39583019888073401</v>
      </c>
      <c r="E119" s="4">
        <v>0.426255407504054</v>
      </c>
      <c r="F119" s="4">
        <v>3.04252086233202E-2</v>
      </c>
      <c r="G119" s="4">
        <v>307.64529042445298</v>
      </c>
      <c r="H119" s="4">
        <v>328.64387642806201</v>
      </c>
      <c r="I119" s="4">
        <v>20.998586003609098</v>
      </c>
      <c r="J119" s="4">
        <v>30456.8837520208</v>
      </c>
      <c r="K119" s="4">
        <v>32535.743766378098</v>
      </c>
      <c r="L119" s="4">
        <f>Sheet1!$K119-Sheet1!$J119</f>
        <v>2078.8600143572985</v>
      </c>
      <c r="M119" s="4">
        <v>99</v>
      </c>
    </row>
    <row r="120" spans="1:13" x14ac:dyDescent="0.2">
      <c r="A120" s="10" t="s">
        <v>15</v>
      </c>
      <c r="B120" s="11" t="s">
        <v>38</v>
      </c>
      <c r="C120" s="11" t="s">
        <v>62</v>
      </c>
      <c r="D120" s="11">
        <v>1.0510052964490001E-2</v>
      </c>
      <c r="E120" s="11">
        <v>1.65535767909968E-2</v>
      </c>
      <c r="F120" s="11">
        <v>6.0435238265067002E-3</v>
      </c>
      <c r="G120" s="11">
        <v>9.2595631174478594</v>
      </c>
      <c r="H120" s="11">
        <v>13.966157676541901</v>
      </c>
      <c r="I120" s="11">
        <v>4.7065945590940998</v>
      </c>
      <c r="J120" s="11">
        <v>111.11475740937399</v>
      </c>
      <c r="K120" s="11">
        <v>167.59389211850299</v>
      </c>
      <c r="L120" s="11">
        <f>Sheet1!$K120-Sheet1!$J120</f>
        <v>56.479134709128999</v>
      </c>
      <c r="M120" s="11">
        <v>12</v>
      </c>
    </row>
    <row r="121" spans="1:13" x14ac:dyDescent="0.2">
      <c r="A121" s="9" t="s">
        <v>15</v>
      </c>
      <c r="B121" s="4" t="s">
        <v>39</v>
      </c>
      <c r="C121" s="4" t="s">
        <v>62</v>
      </c>
      <c r="D121" s="4">
        <v>7.2083335691881301E-2</v>
      </c>
      <c r="E121" s="4">
        <v>8.4344552433459397E-2</v>
      </c>
      <c r="F121" s="4">
        <v>1.2261216741578001E-2</v>
      </c>
      <c r="G121" s="4">
        <v>56.110162337706797</v>
      </c>
      <c r="H121" s="4">
        <v>63.239069923936</v>
      </c>
      <c r="I121" s="4">
        <v>7.1289075862292099</v>
      </c>
      <c r="J121" s="4">
        <v>1627.1947077934899</v>
      </c>
      <c r="K121" s="4">
        <v>1833.9330277941399</v>
      </c>
      <c r="L121" s="4">
        <f>Sheet1!$K121-Sheet1!$J121</f>
        <v>206.73832000064999</v>
      </c>
      <c r="M121" s="4">
        <v>29</v>
      </c>
    </row>
    <row r="122" spans="1:13" x14ac:dyDescent="0.2">
      <c r="A122" s="10" t="s">
        <v>15</v>
      </c>
      <c r="B122" s="11" t="s">
        <v>40</v>
      </c>
      <c r="C122" s="11" t="s">
        <v>62</v>
      </c>
      <c r="D122" s="11">
        <v>0.44371436686585197</v>
      </c>
      <c r="E122" s="11">
        <v>0.48569151537268301</v>
      </c>
      <c r="F122" s="11">
        <v>4.1977148506830299E-2</v>
      </c>
      <c r="G122" s="11">
        <v>155.01439537838999</v>
      </c>
      <c r="H122" s="11">
        <v>168.71953390944699</v>
      </c>
      <c r="I122" s="11">
        <v>13.705138531056299</v>
      </c>
      <c r="J122" s="11">
        <v>1395.1295584055099</v>
      </c>
      <c r="K122" s="11">
        <v>1518.4758051850199</v>
      </c>
      <c r="L122" s="11">
        <f>Sheet1!$K122-Sheet1!$J122</f>
        <v>123.34624677951001</v>
      </c>
      <c r="M122" s="11">
        <v>9</v>
      </c>
    </row>
    <row r="123" spans="1:13" x14ac:dyDescent="0.2">
      <c r="A123" s="9" t="s">
        <v>15</v>
      </c>
      <c r="B123" s="4" t="s">
        <v>41</v>
      </c>
      <c r="C123" s="4" t="s">
        <v>62</v>
      </c>
      <c r="D123" s="4">
        <v>0.40665411748730501</v>
      </c>
      <c r="E123" s="4">
        <v>0.44505887324557297</v>
      </c>
      <c r="F123" s="4">
        <v>3.84047557582681E-2</v>
      </c>
      <c r="G123" s="4">
        <v>162.66164699492199</v>
      </c>
      <c r="H123" s="4">
        <v>178.023549298229</v>
      </c>
      <c r="I123" s="4">
        <v>15.3619023033072</v>
      </c>
      <c r="J123" s="4">
        <v>162.66164699492199</v>
      </c>
      <c r="K123" s="4">
        <v>178.023549298229</v>
      </c>
      <c r="L123" s="4">
        <f>Sheet1!$K123-Sheet1!$J123</f>
        <v>15.361902303307005</v>
      </c>
      <c r="M123" s="4">
        <v>1</v>
      </c>
    </row>
    <row r="124" spans="1:13" x14ac:dyDescent="0.2">
      <c r="A124" s="10" t="s">
        <v>15</v>
      </c>
      <c r="B124" s="11" t="s">
        <v>42</v>
      </c>
      <c r="C124" s="11" t="s">
        <v>62</v>
      </c>
      <c r="D124" s="11">
        <v>0.25250979142136798</v>
      </c>
      <c r="E124" s="11">
        <v>0.25832268123416802</v>
      </c>
      <c r="F124" s="11">
        <v>5.8128898127995697E-3</v>
      </c>
      <c r="G124" s="11">
        <v>229.647751718092</v>
      </c>
      <c r="H124" s="11">
        <v>233.50022396740999</v>
      </c>
      <c r="I124" s="11">
        <v>3.85247224931735</v>
      </c>
      <c r="J124" s="11">
        <v>4363.3072826437601</v>
      </c>
      <c r="K124" s="11">
        <v>4436.5042553807898</v>
      </c>
      <c r="L124" s="11">
        <f>Sheet1!$K124-Sheet1!$J124</f>
        <v>73.196972737029682</v>
      </c>
      <c r="M124" s="11">
        <v>19</v>
      </c>
    </row>
    <row r="125" spans="1:13" x14ac:dyDescent="0.2">
      <c r="A125" s="9" t="s">
        <v>15</v>
      </c>
      <c r="B125" s="4" t="s">
        <v>43</v>
      </c>
      <c r="C125" s="4" t="s">
        <v>62</v>
      </c>
      <c r="D125" s="4">
        <v>0.35652365309641798</v>
      </c>
      <c r="E125" s="4">
        <v>0.46842320262359599</v>
      </c>
      <c r="F125" s="4">
        <v>0.111899549527178</v>
      </c>
      <c r="G125" s="4">
        <v>7.1304730619283596</v>
      </c>
      <c r="H125" s="4">
        <v>9.3684640524719303</v>
      </c>
      <c r="I125" s="4">
        <v>2.23799099054356</v>
      </c>
      <c r="J125" s="4">
        <v>7.1304730619283596</v>
      </c>
      <c r="K125" s="4">
        <v>9.3684640524719303</v>
      </c>
      <c r="L125" s="4">
        <f>Sheet1!$K125-Sheet1!$J125</f>
        <v>2.2379909905435706</v>
      </c>
      <c r="M125" s="4">
        <v>1</v>
      </c>
    </row>
    <row r="126" spans="1:13" x14ac:dyDescent="0.2">
      <c r="A126" s="10" t="s">
        <v>15</v>
      </c>
      <c r="B126" s="11" t="s">
        <v>44</v>
      </c>
      <c r="C126" s="11" t="s">
        <v>62</v>
      </c>
      <c r="D126" s="11">
        <v>0.57293544757683601</v>
      </c>
      <c r="E126" s="11">
        <v>0.583495516249253</v>
      </c>
      <c r="F126" s="11">
        <v>1.05600686724174E-2</v>
      </c>
      <c r="G126" s="11">
        <v>418.13499625940102</v>
      </c>
      <c r="H126" s="11">
        <v>423.901537812816</v>
      </c>
      <c r="I126" s="11">
        <v>5.7665415534144797</v>
      </c>
      <c r="J126" s="11">
        <v>1254.4049887782</v>
      </c>
      <c r="K126" s="11">
        <v>1271.70461343844</v>
      </c>
      <c r="L126" s="11">
        <f>Sheet1!$K126-Sheet1!$J126</f>
        <v>17.299624660239942</v>
      </c>
      <c r="M126" s="11">
        <v>3</v>
      </c>
    </row>
    <row r="127" spans="1:13" x14ac:dyDescent="0.2">
      <c r="A127" s="9" t="s">
        <v>15</v>
      </c>
      <c r="B127" s="4" t="s">
        <v>45</v>
      </c>
      <c r="C127" s="4" t="s">
        <v>62</v>
      </c>
      <c r="D127" s="4">
        <v>0.50070548748003996</v>
      </c>
      <c r="E127" s="4">
        <v>0.51017109119203197</v>
      </c>
      <c r="F127" s="4">
        <v>9.4656037119920898E-3</v>
      </c>
      <c r="G127" s="4">
        <v>11758.472683243001</v>
      </c>
      <c r="H127" s="4">
        <v>11963.393443917699</v>
      </c>
      <c r="I127" s="4">
        <v>204.92076067464501</v>
      </c>
      <c r="J127" s="4">
        <v>23516.945366486099</v>
      </c>
      <c r="K127" s="4">
        <v>23926.786887835398</v>
      </c>
      <c r="L127" s="4">
        <f>Sheet1!$K127-Sheet1!$J127</f>
        <v>409.841521349299</v>
      </c>
      <c r="M127" s="4">
        <v>2</v>
      </c>
    </row>
    <row r="128" spans="1:13" x14ac:dyDescent="0.2">
      <c r="A128" s="10" t="s">
        <v>15</v>
      </c>
      <c r="B128" s="11" t="s">
        <v>46</v>
      </c>
      <c r="C128" s="11" t="s">
        <v>62</v>
      </c>
      <c r="D128" s="11">
        <v>7.0580081423213106E-2</v>
      </c>
      <c r="E128" s="11">
        <v>0.102687961739162</v>
      </c>
      <c r="F128" s="11">
        <v>3.2107880315949099E-2</v>
      </c>
      <c r="G128" s="11">
        <v>288.95968498711602</v>
      </c>
      <c r="H128" s="11">
        <v>388.30278166290401</v>
      </c>
      <c r="I128" s="11">
        <v>99.343096675788203</v>
      </c>
      <c r="J128" s="11">
        <v>5490.2340147552104</v>
      </c>
      <c r="K128" s="11">
        <v>7377.7528515951899</v>
      </c>
      <c r="L128" s="11">
        <f>Sheet1!$K128-Sheet1!$J128</f>
        <v>1887.5188368399795</v>
      </c>
      <c r="M128" s="11">
        <v>19</v>
      </c>
    </row>
    <row r="129" spans="1:13" x14ac:dyDescent="0.2">
      <c r="A129" s="9" t="s">
        <v>15</v>
      </c>
      <c r="B129" s="4" t="s">
        <v>47</v>
      </c>
      <c r="C129" s="4" t="s">
        <v>62</v>
      </c>
      <c r="D129" s="4">
        <v>0.41180790319705501</v>
      </c>
      <c r="E129" s="4">
        <v>0.49020989212857302</v>
      </c>
      <c r="F129" s="4">
        <v>7.8401988931518493E-2</v>
      </c>
      <c r="G129" s="4">
        <v>1013.33856894094</v>
      </c>
      <c r="H129" s="4">
        <v>1204.09010408176</v>
      </c>
      <c r="I129" s="4">
        <v>190.75153514081401</v>
      </c>
      <c r="J129" s="4">
        <v>15200.0785341142</v>
      </c>
      <c r="K129" s="4">
        <v>18061.351561226398</v>
      </c>
      <c r="L129" s="4">
        <f>Sheet1!$K129-Sheet1!$J129</f>
        <v>2861.2730271121982</v>
      </c>
      <c r="M129" s="4">
        <v>15</v>
      </c>
    </row>
    <row r="130" spans="1:13" x14ac:dyDescent="0.2">
      <c r="A130" s="10" t="s">
        <v>15</v>
      </c>
      <c r="B130" s="11" t="s">
        <v>48</v>
      </c>
      <c r="C130" s="11" t="s">
        <v>62</v>
      </c>
      <c r="D130" s="11">
        <v>0.20938262817054601</v>
      </c>
      <c r="E130" s="11">
        <v>0.230114431895069</v>
      </c>
      <c r="F130" s="11">
        <v>2.0731803724522799E-2</v>
      </c>
      <c r="G130" s="11">
        <v>169.26833161676601</v>
      </c>
      <c r="H130" s="11">
        <v>193.611392041806</v>
      </c>
      <c r="I130" s="11">
        <v>24.3430604250401</v>
      </c>
      <c r="J130" s="11">
        <v>9986.8315653892205</v>
      </c>
      <c r="K130" s="11">
        <v>11423.0721304665</v>
      </c>
      <c r="L130" s="11">
        <f>Sheet1!$K130-Sheet1!$J130</f>
        <v>1436.2405650772798</v>
      </c>
      <c r="M130" s="11">
        <v>59</v>
      </c>
    </row>
    <row r="131" spans="1:13" x14ac:dyDescent="0.2">
      <c r="A131" s="9" t="s">
        <v>15</v>
      </c>
      <c r="B131" s="4" t="s">
        <v>49</v>
      </c>
      <c r="C131" s="4" t="s">
        <v>62</v>
      </c>
      <c r="D131" s="4">
        <v>0.16368052276460601</v>
      </c>
      <c r="E131" s="4">
        <v>0.17568361908385699</v>
      </c>
      <c r="F131" s="4">
        <v>1.2003096319251E-2</v>
      </c>
      <c r="G131" s="4">
        <v>105.20947949550499</v>
      </c>
      <c r="H131" s="4">
        <v>113.13183850225199</v>
      </c>
      <c r="I131" s="4">
        <v>7.9223590067472802</v>
      </c>
      <c r="J131" s="4">
        <v>2840.6559463786498</v>
      </c>
      <c r="K131" s="4">
        <v>3054.55963956082</v>
      </c>
      <c r="L131" s="4">
        <f>Sheet1!$K131-Sheet1!$J131</f>
        <v>213.90369318217017</v>
      </c>
      <c r="M131" s="4">
        <v>27</v>
      </c>
    </row>
    <row r="132" spans="1:13" x14ac:dyDescent="0.2">
      <c r="A132" s="10" t="s">
        <v>15</v>
      </c>
      <c r="B132" s="11" t="s">
        <v>50</v>
      </c>
      <c r="C132" s="11" t="s">
        <v>62</v>
      </c>
      <c r="D132" s="11">
        <v>0.25759480415389102</v>
      </c>
      <c r="E132" s="11">
        <v>0.27235086030073802</v>
      </c>
      <c r="F132" s="11">
        <v>1.4756056146847199E-2</v>
      </c>
      <c r="G132" s="11">
        <v>180.88656616396099</v>
      </c>
      <c r="H132" s="11">
        <v>184.288346320269</v>
      </c>
      <c r="I132" s="11">
        <v>3.4017801563069998</v>
      </c>
      <c r="J132" s="11">
        <v>904.43283081980906</v>
      </c>
      <c r="K132" s="11">
        <v>921.44173160134403</v>
      </c>
      <c r="L132" s="11">
        <f>Sheet1!$K132-Sheet1!$J132</f>
        <v>17.008900781534976</v>
      </c>
      <c r="M132" s="11">
        <v>5</v>
      </c>
    </row>
    <row r="133" spans="1:13" x14ac:dyDescent="0.2">
      <c r="A133" s="9" t="s">
        <v>15</v>
      </c>
      <c r="B133" s="4" t="s">
        <v>51</v>
      </c>
      <c r="C133" s="4" t="s">
        <v>62</v>
      </c>
      <c r="D133" s="4">
        <v>0.40461736736549297</v>
      </c>
      <c r="E133" s="4">
        <v>0.426508731337855</v>
      </c>
      <c r="F133" s="4">
        <v>2.1891363972361699E-2</v>
      </c>
      <c r="G133" s="4">
        <v>165.50301058901599</v>
      </c>
      <c r="H133" s="4">
        <v>176.13717368753601</v>
      </c>
      <c r="I133" s="4">
        <v>10.634163098519901</v>
      </c>
      <c r="J133" s="4">
        <v>5792.6053706155799</v>
      </c>
      <c r="K133" s="4">
        <v>6164.80107906378</v>
      </c>
      <c r="L133" s="4">
        <f>Sheet1!$K133-Sheet1!$J133</f>
        <v>372.19570844820009</v>
      </c>
      <c r="M133" s="4">
        <v>35</v>
      </c>
    </row>
    <row r="134" spans="1:13" x14ac:dyDescent="0.2">
      <c r="A134" s="10" t="s">
        <v>15</v>
      </c>
      <c r="B134" s="11" t="s">
        <v>52</v>
      </c>
      <c r="C134" s="11" t="s">
        <v>62</v>
      </c>
      <c r="D134" s="11">
        <v>0.338037781299382</v>
      </c>
      <c r="E134" s="11">
        <v>0.35782926115303298</v>
      </c>
      <c r="F134" s="11">
        <v>1.9791479853650901E-2</v>
      </c>
      <c r="G134" s="11">
        <v>172.594847395416</v>
      </c>
      <c r="H134" s="11">
        <v>183.733769454466</v>
      </c>
      <c r="I134" s="11">
        <v>11.1389220590505</v>
      </c>
      <c r="J134" s="11">
        <v>3451.8969479083198</v>
      </c>
      <c r="K134" s="11">
        <v>3674.6753890893301</v>
      </c>
      <c r="L134" s="11">
        <f>Sheet1!$K134-Sheet1!$J134</f>
        <v>222.77844118101029</v>
      </c>
      <c r="M134" s="11">
        <v>20</v>
      </c>
    </row>
    <row r="135" spans="1:13" x14ac:dyDescent="0.2">
      <c r="A135" s="9" t="s">
        <v>16</v>
      </c>
      <c r="B135" s="4" t="s">
        <v>53</v>
      </c>
      <c r="C135" s="4" t="s">
        <v>62</v>
      </c>
      <c r="D135" s="4">
        <v>0.28081407108188</v>
      </c>
      <c r="E135" s="4">
        <v>0.30710013763493899</v>
      </c>
      <c r="F135" s="4">
        <v>2.6286066553058901E-2</v>
      </c>
      <c r="G135" s="4">
        <v>235.694303955442</v>
      </c>
      <c r="H135" s="4">
        <v>265.20571575856002</v>
      </c>
      <c r="I135" s="4">
        <v>29.5114118031176</v>
      </c>
      <c r="J135" s="4">
        <v>76129.260177607895</v>
      </c>
      <c r="K135" s="4">
        <v>85661.446190014904</v>
      </c>
      <c r="L135" s="4">
        <f>Sheet1!$K135-Sheet1!$J135</f>
        <v>9532.1860124070081</v>
      </c>
      <c r="M135" s="4">
        <v>323</v>
      </c>
    </row>
    <row r="136" spans="1:13" x14ac:dyDescent="0.2">
      <c r="A136" s="10" t="s">
        <v>16</v>
      </c>
      <c r="B136" s="11" t="s">
        <v>54</v>
      </c>
      <c r="C136" s="11" t="s">
        <v>62</v>
      </c>
      <c r="D136" s="11">
        <v>0.29555863236819302</v>
      </c>
      <c r="E136" s="11">
        <v>0.30332223150051402</v>
      </c>
      <c r="F136" s="11">
        <v>7.7635991323209098E-3</v>
      </c>
      <c r="G136" s="11">
        <v>994.25730361562898</v>
      </c>
      <c r="H136" s="11">
        <v>1008.1671915093</v>
      </c>
      <c r="I136" s="11">
        <v>13.9098878936767</v>
      </c>
      <c r="J136" s="11">
        <v>40764.549448240803</v>
      </c>
      <c r="K136" s="11">
        <v>41334.854851881501</v>
      </c>
      <c r="L136" s="11">
        <f>Sheet1!$K136-Sheet1!$J136</f>
        <v>570.30540364069748</v>
      </c>
      <c r="M136" s="11">
        <v>41</v>
      </c>
    </row>
    <row r="137" spans="1:13" x14ac:dyDescent="0.2">
      <c r="A137" s="9" t="s">
        <v>17</v>
      </c>
      <c r="B137" s="4" t="s">
        <v>53</v>
      </c>
      <c r="C137" s="4" t="s">
        <v>62</v>
      </c>
      <c r="D137" s="4">
        <v>0.3537404901683</v>
      </c>
      <c r="E137" s="4">
        <v>0.37680148355649801</v>
      </c>
      <c r="F137" s="4">
        <v>2.30609933881974E-2</v>
      </c>
      <c r="G137" s="4">
        <v>192.28122662195699</v>
      </c>
      <c r="H137" s="4">
        <v>217.05225287488901</v>
      </c>
      <c r="I137" s="4">
        <v>24.771026252932302</v>
      </c>
      <c r="J137" s="4">
        <v>7498.9678382563397</v>
      </c>
      <c r="K137" s="4">
        <v>8465.0378621207001</v>
      </c>
      <c r="L137" s="4">
        <f>Sheet1!$K137-Sheet1!$J137</f>
        <v>966.07002386436034</v>
      </c>
      <c r="M137" s="4">
        <v>39</v>
      </c>
    </row>
    <row r="138" spans="1:13" x14ac:dyDescent="0.2">
      <c r="A138" s="10" t="s">
        <v>17</v>
      </c>
      <c r="B138" s="11" t="s">
        <v>54</v>
      </c>
      <c r="C138" s="11" t="s">
        <v>62</v>
      </c>
      <c r="D138" s="11">
        <v>0.27392298390762898</v>
      </c>
      <c r="E138" s="11">
        <v>0.29825937873508601</v>
      </c>
      <c r="F138" s="11">
        <v>2.4336394827456899E-2</v>
      </c>
      <c r="G138" s="11">
        <v>336.59951319259198</v>
      </c>
      <c r="H138" s="11">
        <v>364.711579014694</v>
      </c>
      <c r="I138" s="11">
        <v>28.1120658221027</v>
      </c>
      <c r="J138" s="11">
        <v>109394.841787592</v>
      </c>
      <c r="K138" s="11">
        <v>118531.26317977499</v>
      </c>
      <c r="L138" s="11">
        <f>Sheet1!$K138-Sheet1!$J138</f>
        <v>9136.4213921829942</v>
      </c>
      <c r="M138" s="11">
        <v>325</v>
      </c>
    </row>
    <row r="139" spans="1:13" x14ac:dyDescent="0.2">
      <c r="A139" s="9" t="s">
        <v>18</v>
      </c>
      <c r="B139" s="4" t="s">
        <v>55</v>
      </c>
      <c r="C139" s="4" t="s">
        <v>62</v>
      </c>
      <c r="D139" s="4">
        <v>0.243499925553814</v>
      </c>
      <c r="E139" s="4">
        <v>0.27474655461111402</v>
      </c>
      <c r="F139" s="4">
        <v>3.12466290573E-2</v>
      </c>
      <c r="G139" s="4">
        <v>11.764179539585401</v>
      </c>
      <c r="H139" s="4">
        <v>13.0508409216449</v>
      </c>
      <c r="I139" s="4">
        <v>1.2866613820595001</v>
      </c>
      <c r="J139" s="4">
        <v>858.78510638973898</v>
      </c>
      <c r="K139" s="4">
        <v>952.71138728008304</v>
      </c>
      <c r="L139" s="4">
        <f>Sheet1!$K139-Sheet1!$J139</f>
        <v>93.92628089034406</v>
      </c>
      <c r="M139" s="4">
        <v>73</v>
      </c>
    </row>
    <row r="140" spans="1:13" x14ac:dyDescent="0.2">
      <c r="A140" s="10" t="s">
        <v>18</v>
      </c>
      <c r="B140" s="11" t="s">
        <v>56</v>
      </c>
      <c r="C140" s="11" t="s">
        <v>62</v>
      </c>
      <c r="D140" s="11">
        <v>0.369530051132478</v>
      </c>
      <c r="E140" s="11">
        <v>0.39809820621591102</v>
      </c>
      <c r="F140" s="11">
        <v>2.8568155083432301E-2</v>
      </c>
      <c r="G140" s="11">
        <v>55.760949234346299</v>
      </c>
      <c r="H140" s="11">
        <v>59.965554387296599</v>
      </c>
      <c r="I140" s="11">
        <v>4.2046051529502604</v>
      </c>
      <c r="J140" s="11">
        <v>4070.5492941072798</v>
      </c>
      <c r="K140" s="11">
        <v>4377.4854702726498</v>
      </c>
      <c r="L140" s="11">
        <f>Sheet1!$K140-Sheet1!$J140</f>
        <v>306.93617616536994</v>
      </c>
      <c r="M140" s="11">
        <v>73</v>
      </c>
    </row>
    <row r="141" spans="1:13" x14ac:dyDescent="0.2">
      <c r="A141" s="9" t="s">
        <v>18</v>
      </c>
      <c r="B141" s="4" t="s">
        <v>57</v>
      </c>
      <c r="C141" s="4" t="s">
        <v>62</v>
      </c>
      <c r="D141" s="4">
        <v>0.28949180171604999</v>
      </c>
      <c r="E141" s="4">
        <v>0.305139487233131</v>
      </c>
      <c r="F141" s="4">
        <v>1.5647685517081102E-2</v>
      </c>
      <c r="G141" s="4">
        <v>104.16437733529</v>
      </c>
      <c r="H141" s="4">
        <v>109.965695875347</v>
      </c>
      <c r="I141" s="4">
        <v>5.8013185400570402</v>
      </c>
      <c r="J141" s="4">
        <v>7499.8351681408803</v>
      </c>
      <c r="K141" s="4">
        <v>7917.5301030249902</v>
      </c>
      <c r="L141" s="4">
        <f>Sheet1!$K141-Sheet1!$J141</f>
        <v>417.6949348841099</v>
      </c>
      <c r="M141" s="4">
        <v>72</v>
      </c>
    </row>
    <row r="142" spans="1:13" x14ac:dyDescent="0.2">
      <c r="A142" s="10" t="s">
        <v>18</v>
      </c>
      <c r="B142" s="11" t="s">
        <v>58</v>
      </c>
      <c r="C142" s="11" t="s">
        <v>62</v>
      </c>
      <c r="D142" s="11">
        <v>0.27247763942153802</v>
      </c>
      <c r="E142" s="11">
        <v>0.29002517000647499</v>
      </c>
      <c r="F142" s="11">
        <v>1.7547530584936601E-2</v>
      </c>
      <c r="G142" s="11">
        <v>217.693865557066</v>
      </c>
      <c r="H142" s="11">
        <v>232.145759009057</v>
      </c>
      <c r="I142" s="11">
        <v>14.451893451990999</v>
      </c>
      <c r="J142" s="11">
        <v>15891.6521856658</v>
      </c>
      <c r="K142" s="11">
        <v>16946.6404076611</v>
      </c>
      <c r="L142" s="11">
        <f>Sheet1!$K142-Sheet1!$J142</f>
        <v>1054.9882219952997</v>
      </c>
      <c r="M142" s="11">
        <v>73</v>
      </c>
    </row>
    <row r="143" spans="1:13" x14ac:dyDescent="0.2">
      <c r="A143" s="9" t="s">
        <v>18</v>
      </c>
      <c r="B143" s="4" t="s">
        <v>59</v>
      </c>
      <c r="C143" s="4" t="s">
        <v>62</v>
      </c>
      <c r="D143" s="4">
        <v>0.23747100256323</v>
      </c>
      <c r="E143" s="4">
        <v>0.26534257419144303</v>
      </c>
      <c r="F143" s="4">
        <v>2.7871571628212698E-2</v>
      </c>
      <c r="G143" s="4">
        <v>1213.3286009800599</v>
      </c>
      <c r="H143" s="4">
        <v>1326.0538859405101</v>
      </c>
      <c r="I143" s="4">
        <v>112.725284960446</v>
      </c>
      <c r="J143" s="4">
        <v>88572.987871545003</v>
      </c>
      <c r="K143" s="4">
        <v>96801.933673657593</v>
      </c>
      <c r="L143" s="4">
        <f>Sheet1!$K143-Sheet1!$J143</f>
        <v>8228.9458021125902</v>
      </c>
      <c r="M143" s="4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081F54-7E50-2244-B6EC-A9E8E9B0AEBF}">
  <dimension ref="A1"/>
  <sheetViews>
    <sheetView workbookViewId="0">
      <selection activeCell="A3" sqref="A3"/>
    </sheetView>
  </sheetViews>
  <sheetFormatPr baseColWidth="10" defaultRowHeight="1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020466-BB45-664B-94ED-3EC2B2AE9902}">
  <dimension ref="A3:B19"/>
  <sheetViews>
    <sheetView workbookViewId="0">
      <selection activeCell="E2" sqref="E2"/>
    </sheetView>
  </sheetViews>
  <sheetFormatPr baseColWidth="10" defaultRowHeight="15" x14ac:dyDescent="0.2"/>
  <cols>
    <col min="1" max="1" width="11.83203125" bestFit="1" customWidth="1"/>
    <col min="2" max="2" width="18.1640625" bestFit="1" customWidth="1"/>
  </cols>
  <sheetData>
    <row r="3" spans="1:2" x14ac:dyDescent="0.2">
      <c r="A3" s="1" t="s">
        <v>64</v>
      </c>
      <c r="B3" t="s">
        <v>66</v>
      </c>
    </row>
    <row r="4" spans="1:2" x14ac:dyDescent="0.2">
      <c r="A4" s="2" t="s">
        <v>62</v>
      </c>
      <c r="B4" s="3">
        <v>10102.491416047151</v>
      </c>
    </row>
    <row r="5" spans="1:2" x14ac:dyDescent="0.2">
      <c r="A5" s="12" t="s">
        <v>14</v>
      </c>
      <c r="B5" s="3">
        <v>10102.491416047151</v>
      </c>
    </row>
    <row r="6" spans="1:2" x14ac:dyDescent="0.2">
      <c r="A6" s="13" t="s">
        <v>32</v>
      </c>
      <c r="B6" s="3">
        <v>9323.018337032001</v>
      </c>
    </row>
    <row r="7" spans="1:2" x14ac:dyDescent="0.2">
      <c r="A7" s="13" t="s">
        <v>33</v>
      </c>
      <c r="B7" s="3">
        <v>50.952590141120027</v>
      </c>
    </row>
    <row r="8" spans="1:2" x14ac:dyDescent="0.2">
      <c r="A8" s="13" t="s">
        <v>34</v>
      </c>
      <c r="B8" s="3">
        <v>728.52048887402998</v>
      </c>
    </row>
    <row r="9" spans="1:2" x14ac:dyDescent="0.2">
      <c r="A9" s="2" t="s">
        <v>60</v>
      </c>
      <c r="B9" s="3">
        <v>2082.724537408727</v>
      </c>
    </row>
    <row r="10" spans="1:2" x14ac:dyDescent="0.2">
      <c r="A10" s="12" t="s">
        <v>14</v>
      </c>
      <c r="B10" s="3">
        <v>2082.724537408727</v>
      </c>
    </row>
    <row r="11" spans="1:2" x14ac:dyDescent="0.2">
      <c r="A11" s="13" t="s">
        <v>32</v>
      </c>
      <c r="B11" s="3">
        <v>1940.7816065960069</v>
      </c>
    </row>
    <row r="12" spans="1:2" x14ac:dyDescent="0.2">
      <c r="A12" s="13" t="s">
        <v>33</v>
      </c>
      <c r="B12" s="3">
        <v>41.964907885020011</v>
      </c>
    </row>
    <row r="13" spans="1:2" x14ac:dyDescent="0.2">
      <c r="A13" s="13" t="s">
        <v>34</v>
      </c>
      <c r="B13" s="3">
        <v>99.978022927700295</v>
      </c>
    </row>
    <row r="14" spans="1:2" x14ac:dyDescent="0.2">
      <c r="A14" s="2" t="s">
        <v>61</v>
      </c>
      <c r="B14" s="3">
        <v>8655.8795672879132</v>
      </c>
    </row>
    <row r="15" spans="1:2" x14ac:dyDescent="0.2">
      <c r="A15" s="12" t="s">
        <v>14</v>
      </c>
      <c r="B15" s="3">
        <v>8655.8795672879132</v>
      </c>
    </row>
    <row r="16" spans="1:2" x14ac:dyDescent="0.2">
      <c r="A16" s="13" t="s">
        <v>32</v>
      </c>
      <c r="B16" s="3">
        <v>8001.9853115150036</v>
      </c>
    </row>
    <row r="17" spans="1:2" x14ac:dyDescent="0.2">
      <c r="A17" s="13" t="s">
        <v>33</v>
      </c>
      <c r="B17" s="3">
        <v>20.756507916119972</v>
      </c>
    </row>
    <row r="18" spans="1:2" x14ac:dyDescent="0.2">
      <c r="A18" s="13" t="s">
        <v>34</v>
      </c>
      <c r="B18" s="3">
        <v>633.13774785679016</v>
      </c>
    </row>
    <row r="19" spans="1:2" x14ac:dyDescent="0.2">
      <c r="A19" s="2" t="s">
        <v>65</v>
      </c>
      <c r="B19" s="3">
        <v>20841.095520743795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BD54FBCA06F694A882683D7ACFDA923" ma:contentTypeVersion="18" ma:contentTypeDescription="Create a new document." ma:contentTypeScope="" ma:versionID="654d623470b4a6fb6721727d56430b4d">
  <xsd:schema xmlns:xsd="http://www.w3.org/2001/XMLSchema" xmlns:xs="http://www.w3.org/2001/XMLSchema" xmlns:p="http://schemas.microsoft.com/office/2006/metadata/properties" xmlns:ns2="cd15c362-78d0-46e3-855d-450aec0345ae" xmlns:ns3="919db50e-9b93-4aa7-8f4d-aba87c2cfe80" targetNamespace="http://schemas.microsoft.com/office/2006/metadata/properties" ma:root="true" ma:fieldsID="a32782979afd25915a6e5b9a8d07914c" ns2:_="" ns3:_="">
    <xsd:import namespace="cd15c362-78d0-46e3-855d-450aec0345ae"/>
    <xsd:import namespace="919db50e-9b93-4aa7-8f4d-aba87c2cfe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5c362-78d0-46e3-855d-450aec0345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5764d4ab-16ae-4785-9752-2479a09129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19db50e-9b93-4aa7-8f4d-aba87c2cfe80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f445403-771f-40fd-a3c7-d4736e9d1dad}" ma:internalName="TaxCatchAll" ma:showField="CatchAllData" ma:web="919db50e-9b93-4aa7-8f4d-aba87c2cfe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15c362-78d0-46e3-855d-450aec0345ae">
      <Terms xmlns="http://schemas.microsoft.com/office/infopath/2007/PartnerControls"/>
    </lcf76f155ced4ddcb4097134ff3c332f>
    <TaxCatchAll xmlns="919db50e-9b93-4aa7-8f4d-aba87c2cfe80" xsi:nil="true"/>
  </documentManagement>
</p:properties>
</file>

<file path=customXml/itemProps1.xml><?xml version="1.0" encoding="utf-8"?>
<ds:datastoreItem xmlns:ds="http://schemas.openxmlformats.org/officeDocument/2006/customXml" ds:itemID="{57C5C900-544E-4C1A-94B5-86D0C8547EE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15c362-78d0-46e3-855d-450aec0345ae"/>
    <ds:schemaRef ds:uri="919db50e-9b93-4aa7-8f4d-aba87c2cfe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A1564F-FD82-4709-AB2C-11B7A670332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4974B60-3433-4623-B9E7-9C442B51AF9A}">
  <ds:schemaRefs>
    <ds:schemaRef ds:uri="http://purl.org/dc/terms/"/>
    <ds:schemaRef ds:uri="http://purl.org/dc/dcmitype/"/>
    <ds:schemaRef ds:uri="http://www.w3.org/XML/1998/namespace"/>
    <ds:schemaRef ds:uri="http://schemas.openxmlformats.org/package/2006/metadata/core-properties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schemas.microsoft.com/office/infopath/2007/PartnerControls"/>
    <ds:schemaRef ds:uri="919db50e-9b93-4aa7-8f4d-aba87c2cfe80"/>
    <ds:schemaRef ds:uri="cd15c362-78d0-46e3-855d-450aec0345a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Joshua Samuel</cp:lastModifiedBy>
  <dcterms:created xsi:type="dcterms:W3CDTF">2025-09-26T16:03:43Z</dcterms:created>
  <dcterms:modified xsi:type="dcterms:W3CDTF">2025-09-26T20:50:07Z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0x0101003BD54FBCA06F694A882683D7ACFDA923</vt:lpwstr>
  </property>
  <property fmtid="{D5CDD505-2E9C-101B-9397-08002B2CF9AE}" pid="3" name="MediaServiceImageTags">
    <vt:lpwstr/>
  </property>
</Properties>
</file>